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Ex1.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aria\Desktop\ex\"/>
    </mc:Choice>
  </mc:AlternateContent>
  <xr:revisionPtr revIDLastSave="0" documentId="13_ncr:1_{501E7B84-7869-4724-9352-F242240230CB}" xr6:coauthVersionLast="47" xr6:coauthVersionMax="47" xr10:uidLastSave="{00000000-0000-0000-0000-000000000000}"/>
  <bookViews>
    <workbookView xWindow="-108" yWindow="-108" windowWidth="23256" windowHeight="12456" xr2:uid="{C24326FB-6A32-42E3-A2EE-70E249420AC7}"/>
  </bookViews>
  <sheets>
    <sheet name="Europe Sales Records" sheetId="2" r:id="rId1"/>
    <sheet name="Pivot Tables" sheetId="1" r:id="rId2"/>
    <sheet name="Dashboard" sheetId="3" r:id="rId3"/>
  </sheets>
  <definedNames>
    <definedName name="_xlchart.v5.0" hidden="1">'Pivot Tables'!$E$54</definedName>
    <definedName name="_xlchart.v5.1" hidden="1">'Pivot Tables'!$E$55:$E$102</definedName>
    <definedName name="_xlchart.v5.10" hidden="1">'Pivot Tables'!$F$54</definedName>
    <definedName name="_xlchart.v5.11" hidden="1">'Pivot Tables'!$F$55:$F$102</definedName>
    <definedName name="_xlchart.v5.12" hidden="1">'Pivot Tables'!$E$54</definedName>
    <definedName name="_xlchart.v5.13" hidden="1">'Pivot Tables'!$E$55:$E$102</definedName>
    <definedName name="_xlchart.v5.14" hidden="1">'Pivot Tables'!$F$54</definedName>
    <definedName name="_xlchart.v5.15" hidden="1">'Pivot Tables'!$F$55:$F$102</definedName>
    <definedName name="_xlchart.v5.2" hidden="1">'Pivot Tables'!$F$54</definedName>
    <definedName name="_xlchart.v5.3" hidden="1">'Pivot Tables'!$F$55:$F$102</definedName>
    <definedName name="_xlchart.v5.4" hidden="1">'Pivot Tables'!$E$54</definedName>
    <definedName name="_xlchart.v5.5" hidden="1">'Pivot Tables'!$E$55:$E$102</definedName>
    <definedName name="_xlchart.v5.6" hidden="1">'Pivot Tables'!$F$54</definedName>
    <definedName name="_xlchart.v5.7" hidden="1">'Pivot Tables'!$F$55:$F$102</definedName>
    <definedName name="_xlchart.v5.8" hidden="1">'Pivot Tables'!$E$54</definedName>
    <definedName name="_xlchart.v5.9" hidden="1">'Pivot Tables'!$E$55:$E$102</definedName>
    <definedName name="_xlcn.WorksheetConnection_Book1Europe_Sales_Records1" hidden="1">Europe_Sales_Records[]</definedName>
    <definedName name="ExternalData_1" localSheetId="0" hidden="1">'Europe Sales Records'!$A$1:$P$1331</definedName>
    <definedName name="Slicer_Country">#N/A</definedName>
    <definedName name="Slicer_Order_Date__Year">#N/A</definedName>
  </definedNames>
  <calcPr calcId="191029"/>
  <pivotCaches>
    <pivotCache cacheId="3270" r:id="rId4"/>
    <pivotCache cacheId="6948" r:id="rId5"/>
    <pivotCache cacheId="7374" r:id="rId6"/>
    <pivotCache cacheId="7377" r:id="rId7"/>
    <pivotCache cacheId="7380" r:id="rId8"/>
    <pivotCache cacheId="7383" r:id="rId9"/>
    <pivotCache cacheId="7386" r:id="rId10"/>
    <pivotCache cacheId="7389" r:id="rId11"/>
    <pivotCache cacheId="7392" r:id="rId12"/>
    <pivotCache cacheId="7395" r:id="rId13"/>
    <pivotCache cacheId="7398" r:id="rId14"/>
    <pivotCache cacheId="7401" r:id="rId15"/>
  </pivotCaches>
  <extLst>
    <ext xmlns:x14="http://schemas.microsoft.com/office/spreadsheetml/2009/9/main" uri="{876F7934-8845-4945-9796-88D515C7AA90}">
      <x14:pivotCaches>
        <pivotCache cacheId="3763"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urope_Sales_Records" name="Europe_Sales_Records" connection="WorksheetConnection_Book1!Europe_Sales_Records"/>
        </x15:modelTables>
        <x15:extLst>
          <ext xmlns:x16="http://schemas.microsoft.com/office/spreadsheetml/2014/11/main" uri="{9835A34E-60A6-4A7C-AAB8-D5F71C897F49}">
            <x16:modelTimeGroupings>
              <x16:modelTimeGrouping tableName="Europe_Sales_Records" columnName="Order Date" columnId="Order Date">
                <x16:calculatedTimeColumn columnName="Order Date (Year)" columnId="Order Date (Year)" contentType="yea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65" i="1" l="1"/>
  <c r="E100" i="1"/>
  <c r="F56" i="1"/>
  <c r="F57" i="1"/>
  <c r="F58" i="1"/>
  <c r="F59" i="1"/>
  <c r="F60" i="1"/>
  <c r="F61" i="1"/>
  <c r="F62" i="1"/>
  <c r="F63" i="1"/>
  <c r="F64"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E103"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1" i="1"/>
  <c r="E102" i="1"/>
  <c r="F55" i="1"/>
  <c r="E55" i="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F4" i="1"/>
  <c r="F12" i="1"/>
  <c r="F9" i="1"/>
  <c r="F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1B56E4-7C6C-44A9-BBBD-E0B79803075C}" keepAlive="1" name="Query - Europe Sales Records" description="Connection to the 'Europe Sales Records' query in the workbook." type="5" refreshedVersion="8" background="1" saveData="1">
    <dbPr connection="Provider=Microsoft.Mashup.OleDb.1;Data Source=$Workbook$;Location=&quot;Europe Sales Records&quot;;Extended Properties=&quot;&quot;" command="SELECT * FROM [Europe Sales Records]"/>
  </connection>
  <connection id="2" xr16:uid="{ED6705C6-3C80-477B-9117-E86507E9567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3CB70869-9298-44C2-AC84-5CA07337BA1F}" name="WorksheetConnection_Book1!Europe_Sales_Records" type="102" refreshedVersion="8" minRefreshableVersion="5">
    <extLst>
      <ext xmlns:x15="http://schemas.microsoft.com/office/spreadsheetml/2010/11/main" uri="{DE250136-89BD-433C-8126-D09CA5730AF9}">
        <x15:connection id="Europe_Sales_Records" autoDelete="1">
          <x15:rangePr sourceName="_xlcn.WorksheetConnection_Book1Europe_Sales_Records1"/>
        </x15:connection>
      </ext>
    </extLst>
  </connection>
</connections>
</file>

<file path=xl/sharedStrings.xml><?xml version="1.0" encoding="utf-8"?>
<sst xmlns="http://schemas.openxmlformats.org/spreadsheetml/2006/main" count="8248" uniqueCount="1442">
  <si>
    <t>Region</t>
  </si>
  <si>
    <t>Country</t>
  </si>
  <si>
    <t>Item Type</t>
  </si>
  <si>
    <t>Sales Channel</t>
  </si>
  <si>
    <t>Order Priority</t>
  </si>
  <si>
    <t>Order Date</t>
  </si>
  <si>
    <t>Order ID</t>
  </si>
  <si>
    <t>Ship Date</t>
  </si>
  <si>
    <t>Units Sold</t>
  </si>
  <si>
    <t>Unit Price</t>
  </si>
  <si>
    <t>Unit Cost</t>
  </si>
  <si>
    <t>Total Revenue</t>
  </si>
  <si>
    <t>Total Cost</t>
  </si>
  <si>
    <t>Total Profit</t>
  </si>
  <si>
    <t>Europe</t>
  </si>
  <si>
    <t>Czech Republic</t>
  </si>
  <si>
    <t>Beverages</t>
  </si>
  <si>
    <t>Offline</t>
  </si>
  <si>
    <t>C</t>
  </si>
  <si>
    <t>478051030</t>
  </si>
  <si>
    <t>Bosnia and Herzegovina</t>
  </si>
  <si>
    <t>Clothes</t>
  </si>
  <si>
    <t>Online</t>
  </si>
  <si>
    <t>M</t>
  </si>
  <si>
    <t>919133651</t>
  </si>
  <si>
    <t>Austria</t>
  </si>
  <si>
    <t>Cereal</t>
  </si>
  <si>
    <t>987410676</t>
  </si>
  <si>
    <t>Bulgaria</t>
  </si>
  <si>
    <t>Office Supplies</t>
  </si>
  <si>
    <t>L</t>
  </si>
  <si>
    <t>672330081</t>
  </si>
  <si>
    <t>Estonia</t>
  </si>
  <si>
    <t>Fruits</t>
  </si>
  <si>
    <t>579463422</t>
  </si>
  <si>
    <t>Montenegro</t>
  </si>
  <si>
    <t>313705861</t>
  </si>
  <si>
    <t>552037513</t>
  </si>
  <si>
    <t>Luxembourg</t>
  </si>
  <si>
    <t>Vegetables</t>
  </si>
  <si>
    <t>744683635</t>
  </si>
  <si>
    <t>Switzerland</t>
  </si>
  <si>
    <t>Meat</t>
  </si>
  <si>
    <t>169378983</t>
  </si>
  <si>
    <t>Finland</t>
  </si>
  <si>
    <t>H</t>
  </si>
  <si>
    <t>566428315</t>
  </si>
  <si>
    <t>Belgium</t>
  </si>
  <si>
    <t>Snacks</t>
  </si>
  <si>
    <t>519380223</t>
  </si>
  <si>
    <t>San Marino</t>
  </si>
  <si>
    <t>904589211</t>
  </si>
  <si>
    <t>Baby Food</t>
  </si>
  <si>
    <t>184412229</t>
  </si>
  <si>
    <t>Netherlands</t>
  </si>
  <si>
    <t>747774398</t>
  </si>
  <si>
    <t>Russia</t>
  </si>
  <si>
    <t>Household</t>
  </si>
  <si>
    <t>194176757</t>
  </si>
  <si>
    <t>Ukraine</t>
  </si>
  <si>
    <t>Cosmetics</t>
  </si>
  <si>
    <t>773645913</t>
  </si>
  <si>
    <t>410740888</t>
  </si>
  <si>
    <t>Latvia</t>
  </si>
  <si>
    <t>847317397</t>
  </si>
  <si>
    <t>Serbia</t>
  </si>
  <si>
    <t>599624192</t>
  </si>
  <si>
    <t>Portugal</t>
  </si>
  <si>
    <t>734318292</t>
  </si>
  <si>
    <t>Poland</t>
  </si>
  <si>
    <t>232196319</t>
  </si>
  <si>
    <t>Liechtenstein</t>
  </si>
  <si>
    <t>229693067</t>
  </si>
  <si>
    <t>United Kingdom</t>
  </si>
  <si>
    <t>121945512</t>
  </si>
  <si>
    <t>Slovenia</t>
  </si>
  <si>
    <t>169799983</t>
  </si>
  <si>
    <t>Malta</t>
  </si>
  <si>
    <t>894589078</t>
  </si>
  <si>
    <t>Personal Care</t>
  </si>
  <si>
    <t>987459170</t>
  </si>
  <si>
    <t>Cyprus</t>
  </si>
  <si>
    <t>600515115</t>
  </si>
  <si>
    <t>208365428</t>
  </si>
  <si>
    <t>Monaco</t>
  </si>
  <si>
    <t>263098371</t>
  </si>
  <si>
    <t>790149009</t>
  </si>
  <si>
    <t>Norway</t>
  </si>
  <si>
    <t>100640618</t>
  </si>
  <si>
    <t>977324712</t>
  </si>
  <si>
    <t>510956799</t>
  </si>
  <si>
    <t>Armenia</t>
  </si>
  <si>
    <t>120977771</t>
  </si>
  <si>
    <t>476991450</t>
  </si>
  <si>
    <t>Denmark</t>
  </si>
  <si>
    <t>973268353</t>
  </si>
  <si>
    <t>771674382</t>
  </si>
  <si>
    <t>Kosovo</t>
  </si>
  <si>
    <t>291995418</t>
  </si>
  <si>
    <t>Hungary</t>
  </si>
  <si>
    <t>128686225</t>
  </si>
  <si>
    <t>Lithuania</t>
  </si>
  <si>
    <t>420875346</t>
  </si>
  <si>
    <t>Albania</t>
  </si>
  <si>
    <t>476633536</t>
  </si>
  <si>
    <t>727997720</t>
  </si>
  <si>
    <t xml:space="preserve">Moldova </t>
  </si>
  <si>
    <t>467045819</t>
  </si>
  <si>
    <t>813973891</t>
  </si>
  <si>
    <t>576944720</t>
  </si>
  <si>
    <t>404789817</t>
  </si>
  <si>
    <t>871923768</t>
  </si>
  <si>
    <t>818976962</t>
  </si>
  <si>
    <t>233811223</t>
  </si>
  <si>
    <t>112330758</t>
  </si>
  <si>
    <t>256095016</t>
  </si>
  <si>
    <t>France</t>
  </si>
  <si>
    <t>245440852</t>
  </si>
  <si>
    <t>Spain</t>
  </si>
  <si>
    <t>817006289</t>
  </si>
  <si>
    <t>Sweden</t>
  </si>
  <si>
    <t>298228013</t>
  </si>
  <si>
    <t>972981679</t>
  </si>
  <si>
    <t>594813811</t>
  </si>
  <si>
    <t>176722657</t>
  </si>
  <si>
    <t>466988742</t>
  </si>
  <si>
    <t>615080583</t>
  </si>
  <si>
    <t>Macedonia</t>
  </si>
  <si>
    <t>350977408</t>
  </si>
  <si>
    <t>Greece</t>
  </si>
  <si>
    <t>701298367</t>
  </si>
  <si>
    <t>Italy</t>
  </si>
  <si>
    <t>309342658</t>
  </si>
  <si>
    <t>384128224</t>
  </si>
  <si>
    <t>990774810</t>
  </si>
  <si>
    <t>394110763</t>
  </si>
  <si>
    <t>899868094</t>
  </si>
  <si>
    <t>Germany</t>
  </si>
  <si>
    <t>361311852</t>
  </si>
  <si>
    <t>930136287</t>
  </si>
  <si>
    <t>179819428</t>
  </si>
  <si>
    <t>291305768</t>
  </si>
  <si>
    <t>602357041</t>
  </si>
  <si>
    <t>653087270</t>
  </si>
  <si>
    <t>812637078</t>
  </si>
  <si>
    <t>456192958</t>
  </si>
  <si>
    <t>986449801</t>
  </si>
  <si>
    <t>910610234</t>
  </si>
  <si>
    <t>696844613</t>
  </si>
  <si>
    <t>353415429</t>
  </si>
  <si>
    <t>Andorra</t>
  </si>
  <si>
    <t>696197879</t>
  </si>
  <si>
    <t>Iceland</t>
  </si>
  <si>
    <t>907349526</t>
  </si>
  <si>
    <t>386440074</t>
  </si>
  <si>
    <t>800352561</t>
  </si>
  <si>
    <t>714165675</t>
  </si>
  <si>
    <t>Croatia</t>
  </si>
  <si>
    <t>189924275</t>
  </si>
  <si>
    <t>546081721</t>
  </si>
  <si>
    <t>979073941</t>
  </si>
  <si>
    <t>396718728</t>
  </si>
  <si>
    <t>948075759</t>
  </si>
  <si>
    <t>737736070</t>
  </si>
  <si>
    <t>Slovakia</t>
  </si>
  <si>
    <t>585362994</t>
  </si>
  <si>
    <t>850872075</t>
  </si>
  <si>
    <t>575583016</t>
  </si>
  <si>
    <t>515773189</t>
  </si>
  <si>
    <t>351247346</t>
  </si>
  <si>
    <t>554721438</t>
  </si>
  <si>
    <t>398333632</t>
  </si>
  <si>
    <t>Vatican City</t>
  </si>
  <si>
    <t>370484149</t>
  </si>
  <si>
    <t>306839406</t>
  </si>
  <si>
    <t>653548610</t>
  </si>
  <si>
    <t>Belarus</t>
  </si>
  <si>
    <t>413078916</t>
  </si>
  <si>
    <t>307721745</t>
  </si>
  <si>
    <t>374663245</t>
  </si>
  <si>
    <t>Ireland</t>
  </si>
  <si>
    <t>901670968</t>
  </si>
  <si>
    <t>353320157</t>
  </si>
  <si>
    <t>645701968</t>
  </si>
  <si>
    <t>148894631</t>
  </si>
  <si>
    <t>443551385</t>
  </si>
  <si>
    <t>508014523</t>
  </si>
  <si>
    <t>987767302</t>
  </si>
  <si>
    <t>103832662</t>
  </si>
  <si>
    <t>445708739</t>
  </si>
  <si>
    <t>354655683</t>
  </si>
  <si>
    <t>624398362</t>
  </si>
  <si>
    <t>264163959</t>
  </si>
  <si>
    <t>520915305</t>
  </si>
  <si>
    <t>424181544</t>
  </si>
  <si>
    <t>560762631</t>
  </si>
  <si>
    <t>458816373</t>
  </si>
  <si>
    <t>142987763</t>
  </si>
  <si>
    <t>480904042</t>
  </si>
  <si>
    <t>571323239</t>
  </si>
  <si>
    <t>281100928</t>
  </si>
  <si>
    <t>659196269</t>
  </si>
  <si>
    <t>595496594</t>
  </si>
  <si>
    <t>354931628</t>
  </si>
  <si>
    <t>436969029</t>
  </si>
  <si>
    <t>810752236</t>
  </si>
  <si>
    <t>886620128</t>
  </si>
  <si>
    <t>889093768</t>
  </si>
  <si>
    <t>454550588</t>
  </si>
  <si>
    <t>926064479</t>
  </si>
  <si>
    <t>413245427</t>
  </si>
  <si>
    <t>884147775</t>
  </si>
  <si>
    <t>328322827</t>
  </si>
  <si>
    <t>158673751</t>
  </si>
  <si>
    <t>464911210</t>
  </si>
  <si>
    <t>395562589</t>
  </si>
  <si>
    <t>459372985</t>
  </si>
  <si>
    <t>693210542</t>
  </si>
  <si>
    <t>153974950</t>
  </si>
  <si>
    <t>Romania</t>
  </si>
  <si>
    <t>747327220</t>
  </si>
  <si>
    <t>166810500</t>
  </si>
  <si>
    <t>386009633</t>
  </si>
  <si>
    <t>993368613</t>
  </si>
  <si>
    <t>405986297</t>
  </si>
  <si>
    <t>476794040</t>
  </si>
  <si>
    <t>380610454</t>
  </si>
  <si>
    <t>455040681</t>
  </si>
  <si>
    <t>917792117</t>
  </si>
  <si>
    <t>728793370</t>
  </si>
  <si>
    <t>185960614</t>
  </si>
  <si>
    <t>445273578</t>
  </si>
  <si>
    <t>Georgia</t>
  </si>
  <si>
    <t>359197413</t>
  </si>
  <si>
    <t>853036296</t>
  </si>
  <si>
    <t>567412793</t>
  </si>
  <si>
    <t>139201343</t>
  </si>
  <si>
    <t>183910119</t>
  </si>
  <si>
    <t>922363460</t>
  </si>
  <si>
    <t>192922341</t>
  </si>
  <si>
    <t>792178905</t>
  </si>
  <si>
    <t>424297845</t>
  </si>
  <si>
    <t>243684327</t>
  </si>
  <si>
    <t>152505099</t>
  </si>
  <si>
    <t>203036630</t>
  </si>
  <si>
    <t>611791121</t>
  </si>
  <si>
    <t>554554927</t>
  </si>
  <si>
    <t>434275662</t>
  </si>
  <si>
    <t>835093390</t>
  </si>
  <si>
    <t>976323497</t>
  </si>
  <si>
    <t>732703387</t>
  </si>
  <si>
    <t>873432672</t>
  </si>
  <si>
    <t>523580348</t>
  </si>
  <si>
    <t>800045716</t>
  </si>
  <si>
    <t>743769109</t>
  </si>
  <si>
    <t>201294267</t>
  </si>
  <si>
    <t>668280589</t>
  </si>
  <si>
    <t>380379998</t>
  </si>
  <si>
    <t>767490565</t>
  </si>
  <si>
    <t>720931279</t>
  </si>
  <si>
    <t>138025033</t>
  </si>
  <si>
    <t>552931869</t>
  </si>
  <si>
    <t>142375361</t>
  </si>
  <si>
    <t>916089236</t>
  </si>
  <si>
    <t>242265546</t>
  </si>
  <si>
    <t>265914475</t>
  </si>
  <si>
    <t>637040793</t>
  </si>
  <si>
    <t>754541289</t>
  </si>
  <si>
    <t>697638976</t>
  </si>
  <si>
    <t>467312324</t>
  </si>
  <si>
    <t>622441852</t>
  </si>
  <si>
    <t>349212729</t>
  </si>
  <si>
    <t>332353007</t>
  </si>
  <si>
    <t>876856458</t>
  </si>
  <si>
    <t>313178002</t>
  </si>
  <si>
    <t>461445796</t>
  </si>
  <si>
    <t>391026866</t>
  </si>
  <si>
    <t>204418504</t>
  </si>
  <si>
    <t>524972951</t>
  </si>
  <si>
    <t>469197165</t>
  </si>
  <si>
    <t>688650786</t>
  </si>
  <si>
    <t>823236739</t>
  </si>
  <si>
    <t>439725911</t>
  </si>
  <si>
    <t>255047452</t>
  </si>
  <si>
    <t>662623488</t>
  </si>
  <si>
    <t>560389268</t>
  </si>
  <si>
    <t>867138278</t>
  </si>
  <si>
    <t>525321424</t>
  </si>
  <si>
    <t>497554337</t>
  </si>
  <si>
    <t>626322257</t>
  </si>
  <si>
    <t>611766231</t>
  </si>
  <si>
    <t>630931794</t>
  </si>
  <si>
    <t>239386355</t>
  </si>
  <si>
    <t>874172532</t>
  </si>
  <si>
    <t>570703542</t>
  </si>
  <si>
    <t>132603538</t>
  </si>
  <si>
    <t>552276551</t>
  </si>
  <si>
    <t>163587558</t>
  </si>
  <si>
    <t>415837943</t>
  </si>
  <si>
    <t>398645198</t>
  </si>
  <si>
    <t>913074433</t>
  </si>
  <si>
    <t>889125955</t>
  </si>
  <si>
    <t>263427960</t>
  </si>
  <si>
    <t>730490243</t>
  </si>
  <si>
    <t>905036389</t>
  </si>
  <si>
    <t>381759297</t>
  </si>
  <si>
    <t>613166129</t>
  </si>
  <si>
    <t>181260526</t>
  </si>
  <si>
    <t>264959609</t>
  </si>
  <si>
    <t>475176560</t>
  </si>
  <si>
    <t>194922626</t>
  </si>
  <si>
    <t>447684133</t>
  </si>
  <si>
    <t>527259910</t>
  </si>
  <si>
    <t>879923617</t>
  </si>
  <si>
    <t>279816472</t>
  </si>
  <si>
    <t>593018233</t>
  </si>
  <si>
    <t>349060380</t>
  </si>
  <si>
    <t>863890445</t>
  </si>
  <si>
    <t>667420995</t>
  </si>
  <si>
    <t>842687690</t>
  </si>
  <si>
    <t>772893178</t>
  </si>
  <si>
    <t>789484250</t>
  </si>
  <si>
    <t>336111962</t>
  </si>
  <si>
    <t>821131742</t>
  </si>
  <si>
    <t>679108560</t>
  </si>
  <si>
    <t>129875409</t>
  </si>
  <si>
    <t>155914723</t>
  </si>
  <si>
    <t>753166282</t>
  </si>
  <si>
    <t>443347108</t>
  </si>
  <si>
    <t>527509677</t>
  </si>
  <si>
    <t>416953313</t>
  </si>
  <si>
    <t>639126908</t>
  </si>
  <si>
    <t>879405200</t>
  </si>
  <si>
    <t>844105184</t>
  </si>
  <si>
    <t>127838218</t>
  </si>
  <si>
    <t>881717050</t>
  </si>
  <si>
    <t>905509746</t>
  </si>
  <si>
    <t>720878922</t>
  </si>
  <si>
    <t>306256616</t>
  </si>
  <si>
    <t>392252957</t>
  </si>
  <si>
    <t>746563756</t>
  </si>
  <si>
    <t>129902875</t>
  </si>
  <si>
    <t>595395314</t>
  </si>
  <si>
    <t>272425591</t>
  </si>
  <si>
    <t>596166074</t>
  </si>
  <si>
    <t>906345736</t>
  </si>
  <si>
    <t>385340154</t>
  </si>
  <si>
    <t>679039466</t>
  </si>
  <si>
    <t>587799727</t>
  </si>
  <si>
    <t>341398274</t>
  </si>
  <si>
    <t>516994559</t>
  </si>
  <si>
    <t>483981502</t>
  </si>
  <si>
    <t>549187934</t>
  </si>
  <si>
    <t>989403665</t>
  </si>
  <si>
    <t>516635358</t>
  </si>
  <si>
    <t>173122918</t>
  </si>
  <si>
    <t>357482516</t>
  </si>
  <si>
    <t>756252324</t>
  </si>
  <si>
    <t>926763570</t>
  </si>
  <si>
    <t>107651269</t>
  </si>
  <si>
    <t>425547969</t>
  </si>
  <si>
    <t>264928710</t>
  </si>
  <si>
    <t>861180341</t>
  </si>
  <si>
    <t>580569350</t>
  </si>
  <si>
    <t>559417665</t>
  </si>
  <si>
    <t>184976994</t>
  </si>
  <si>
    <t>874349772</t>
  </si>
  <si>
    <t>713009965</t>
  </si>
  <si>
    <t>569941365</t>
  </si>
  <si>
    <t>845067346</t>
  </si>
  <si>
    <t>774926936</t>
  </si>
  <si>
    <t>217920958</t>
  </si>
  <si>
    <t>523836123</t>
  </si>
  <si>
    <t>446019017</t>
  </si>
  <si>
    <t>475992381</t>
  </si>
  <si>
    <t>410514724</t>
  </si>
  <si>
    <t>938209950</t>
  </si>
  <si>
    <t>747955071</t>
  </si>
  <si>
    <t>923160398</t>
  </si>
  <si>
    <t>754227149</t>
  </si>
  <si>
    <t>357943856</t>
  </si>
  <si>
    <t>815917098</t>
  </si>
  <si>
    <t>626011979</t>
  </si>
  <si>
    <t>640295922</t>
  </si>
  <si>
    <t>653920686</t>
  </si>
  <si>
    <t>994504153</t>
  </si>
  <si>
    <t>920011270</t>
  </si>
  <si>
    <t>523707807</t>
  </si>
  <si>
    <t>791692674</t>
  </si>
  <si>
    <t>715863835</t>
  </si>
  <si>
    <t>694914710</t>
  </si>
  <si>
    <t>525472486</t>
  </si>
  <si>
    <t>496826493</t>
  </si>
  <si>
    <t>940682303</t>
  </si>
  <si>
    <t>381774747</t>
  </si>
  <si>
    <t>934718358</t>
  </si>
  <si>
    <t>741690289</t>
  </si>
  <si>
    <t>393842971</t>
  </si>
  <si>
    <t>143414771</t>
  </si>
  <si>
    <t>272361218</t>
  </si>
  <si>
    <t>146349751</t>
  </si>
  <si>
    <t>104190576</t>
  </si>
  <si>
    <t>332268464</t>
  </si>
  <si>
    <t>459277713</t>
  </si>
  <si>
    <t>665786778</t>
  </si>
  <si>
    <t>917485272</t>
  </si>
  <si>
    <t>547225844</t>
  </si>
  <si>
    <t>869291770</t>
  </si>
  <si>
    <t>709276759</t>
  </si>
  <si>
    <t>877062451</t>
  </si>
  <si>
    <t>111893022</t>
  </si>
  <si>
    <t>397874438</t>
  </si>
  <si>
    <t>520777547</t>
  </si>
  <si>
    <t>672856652</t>
  </si>
  <si>
    <t>353383243</t>
  </si>
  <si>
    <t>354667699</t>
  </si>
  <si>
    <t>214292466</t>
  </si>
  <si>
    <t>655287110</t>
  </si>
  <si>
    <t>295787847</t>
  </si>
  <si>
    <t>263852393</t>
  </si>
  <si>
    <t>578666484</t>
  </si>
  <si>
    <t>597839343</t>
  </si>
  <si>
    <t>299335229</t>
  </si>
  <si>
    <t>700069701</t>
  </si>
  <si>
    <t>741866242</t>
  </si>
  <si>
    <t>211344611</t>
  </si>
  <si>
    <t>625751483</t>
  </si>
  <si>
    <t>665817677</t>
  </si>
  <si>
    <t>996754205</t>
  </si>
  <si>
    <t>734189975</t>
  </si>
  <si>
    <t>935789954</t>
  </si>
  <si>
    <t>104008615</t>
  </si>
  <si>
    <t>122967326</t>
  </si>
  <si>
    <t>305616748</t>
  </si>
  <si>
    <t>243070638</t>
  </si>
  <si>
    <t>505867040</t>
  </si>
  <si>
    <t>637188422</t>
  </si>
  <si>
    <t>518421494</t>
  </si>
  <si>
    <t>104245078</t>
  </si>
  <si>
    <t>386319911</t>
  </si>
  <si>
    <t>740300261</t>
  </si>
  <si>
    <t>747826755</t>
  </si>
  <si>
    <t>215540015</t>
  </si>
  <si>
    <t>975080668</t>
  </si>
  <si>
    <t>638041150</t>
  </si>
  <si>
    <t>583089339</t>
  </si>
  <si>
    <t>118086564</t>
  </si>
  <si>
    <t>296073234</t>
  </si>
  <si>
    <t>968185460</t>
  </si>
  <si>
    <t>364854514</t>
  </si>
  <si>
    <t>980961358</t>
  </si>
  <si>
    <t>601886260</t>
  </si>
  <si>
    <t>321628463</t>
  </si>
  <si>
    <t>944609057</t>
  </si>
  <si>
    <t>310588920</t>
  </si>
  <si>
    <t>251208674</t>
  </si>
  <si>
    <t>488316380</t>
  </si>
  <si>
    <t>263647687</t>
  </si>
  <si>
    <t>653800523</t>
  </si>
  <si>
    <t>684239947</t>
  </si>
  <si>
    <t>133276450</t>
  </si>
  <si>
    <t>838895261</t>
  </si>
  <si>
    <t>198537814</t>
  </si>
  <si>
    <t>885397469</t>
  </si>
  <si>
    <t>302744853</t>
  </si>
  <si>
    <t>975823962</t>
  </si>
  <si>
    <t>860104024</t>
  </si>
  <si>
    <t>378714883</t>
  </si>
  <si>
    <t>131585586</t>
  </si>
  <si>
    <t>588528859</t>
  </si>
  <si>
    <t>796418511</t>
  </si>
  <si>
    <t>526018369</t>
  </si>
  <si>
    <t>122144210</t>
  </si>
  <si>
    <t>644592607</t>
  </si>
  <si>
    <t>598404109</t>
  </si>
  <si>
    <t>577530944</t>
  </si>
  <si>
    <t>182078921</t>
  </si>
  <si>
    <t>302015721</t>
  </si>
  <si>
    <t>233709084</t>
  </si>
  <si>
    <t>966800153</t>
  </si>
  <si>
    <t>380498874</t>
  </si>
  <si>
    <t>595385873</t>
  </si>
  <si>
    <t>361659038</t>
  </si>
  <si>
    <t>328721082</t>
  </si>
  <si>
    <t>184120833</t>
  </si>
  <si>
    <t>933720576</t>
  </si>
  <si>
    <t>765101468</t>
  </si>
  <si>
    <t>516460692</t>
  </si>
  <si>
    <t>783594977</t>
  </si>
  <si>
    <t>406270396</t>
  </si>
  <si>
    <t>805095136</t>
  </si>
  <si>
    <t>985417258</t>
  </si>
  <si>
    <t>443125665</t>
  </si>
  <si>
    <t>931477820</t>
  </si>
  <si>
    <t>387098824</t>
  </si>
  <si>
    <t>595922315</t>
  </si>
  <si>
    <t>653909957</t>
  </si>
  <si>
    <t>103435266</t>
  </si>
  <si>
    <t>863202941</t>
  </si>
  <si>
    <t>396552217</t>
  </si>
  <si>
    <t>801352488</t>
  </si>
  <si>
    <t>479234206</t>
  </si>
  <si>
    <t>627003753</t>
  </si>
  <si>
    <t>393709933</t>
  </si>
  <si>
    <t>136624276</t>
  </si>
  <si>
    <t>251823222</t>
  </si>
  <si>
    <t>200354850</t>
  </si>
  <si>
    <t>692757356</t>
  </si>
  <si>
    <t>651895511</t>
  </si>
  <si>
    <t>156158483</t>
  </si>
  <si>
    <t>703966844</t>
  </si>
  <si>
    <t>736240041</t>
  </si>
  <si>
    <t>357434880</t>
  </si>
  <si>
    <t>358624064</t>
  </si>
  <si>
    <t>103762280</t>
  </si>
  <si>
    <t>144743001</t>
  </si>
  <si>
    <t>439204919</t>
  </si>
  <si>
    <t>114954173</t>
  </si>
  <si>
    <t>238170993</t>
  </si>
  <si>
    <t>134790503</t>
  </si>
  <si>
    <t>409112679</t>
  </si>
  <si>
    <t>727175891</t>
  </si>
  <si>
    <t>638593900</t>
  </si>
  <si>
    <t>833473765</t>
  </si>
  <si>
    <t>606224572</t>
  </si>
  <si>
    <t>325314033</t>
  </si>
  <si>
    <t>159805858</t>
  </si>
  <si>
    <t>722248780</t>
  </si>
  <si>
    <t>399115979</t>
  </si>
  <si>
    <t>792792594</t>
  </si>
  <si>
    <t>626453149</t>
  </si>
  <si>
    <t>737095344</t>
  </si>
  <si>
    <t>708320605</t>
  </si>
  <si>
    <t>433079183</t>
  </si>
  <si>
    <t>604494225</t>
  </si>
  <si>
    <t>707718932</t>
  </si>
  <si>
    <t>656689155</t>
  </si>
  <si>
    <t>935907542</t>
  </si>
  <si>
    <t>421660268</t>
  </si>
  <si>
    <t>447183310</t>
  </si>
  <si>
    <t>127694451</t>
  </si>
  <si>
    <t>697617518</t>
  </si>
  <si>
    <t>311688840</t>
  </si>
  <si>
    <t>385080945</t>
  </si>
  <si>
    <t>309148681</t>
  </si>
  <si>
    <t>630219399</t>
  </si>
  <si>
    <t>585677134</t>
  </si>
  <si>
    <t>692704999</t>
  </si>
  <si>
    <t>942454278</t>
  </si>
  <si>
    <t>150293242</t>
  </si>
  <si>
    <t>236042392</t>
  </si>
  <si>
    <t>314782178</t>
  </si>
  <si>
    <t>193472945</t>
  </si>
  <si>
    <t>434013879</t>
  </si>
  <si>
    <t>431240689</t>
  </si>
  <si>
    <t>643259227</t>
  </si>
  <si>
    <t>151312482</t>
  </si>
  <si>
    <t>750047194</t>
  </si>
  <si>
    <t>721318805</t>
  </si>
  <si>
    <t>599997556</t>
  </si>
  <si>
    <t>826677262</t>
  </si>
  <si>
    <t>735445678</t>
  </si>
  <si>
    <t>354270303</t>
  </si>
  <si>
    <t>806662404</t>
  </si>
  <si>
    <t>933699119</t>
  </si>
  <si>
    <t>726223170</t>
  </si>
  <si>
    <t>692555224</t>
  </si>
  <si>
    <t>134121024</t>
  </si>
  <si>
    <t>660312926</t>
  </si>
  <si>
    <t>140461766</t>
  </si>
  <si>
    <t>741964948</t>
  </si>
  <si>
    <t>476453721</t>
  </si>
  <si>
    <t>111496055</t>
  </si>
  <si>
    <t>628515231</t>
  </si>
  <si>
    <t>601894414</t>
  </si>
  <si>
    <t>954040992</t>
  </si>
  <si>
    <t>865824210</t>
  </si>
  <si>
    <t>761887109</t>
  </si>
  <si>
    <t>160578763</t>
  </si>
  <si>
    <t>992992675</t>
  </si>
  <si>
    <t>231369769</t>
  </si>
  <si>
    <t>852392995</t>
  </si>
  <si>
    <t>597105491</t>
  </si>
  <si>
    <t>716054379</t>
  </si>
  <si>
    <t>511712110</t>
  </si>
  <si>
    <t>481308305</t>
  </si>
  <si>
    <t>266638886</t>
  </si>
  <si>
    <t>638314521</t>
  </si>
  <si>
    <t>811977040</t>
  </si>
  <si>
    <t>344160735</t>
  </si>
  <si>
    <t>549058330</t>
  </si>
  <si>
    <t>969199979</t>
  </si>
  <si>
    <t>956594026</t>
  </si>
  <si>
    <t>712595832</t>
  </si>
  <si>
    <t>748357188</t>
  </si>
  <si>
    <t>898211562</t>
  </si>
  <si>
    <t>729373586</t>
  </si>
  <si>
    <t>991761863</t>
  </si>
  <si>
    <t>160751283</t>
  </si>
  <si>
    <t>241392648</t>
  </si>
  <si>
    <t>901789844</t>
  </si>
  <si>
    <t>410229337</t>
  </si>
  <si>
    <t>837906920</t>
  </si>
  <si>
    <t>704361665</t>
  </si>
  <si>
    <t>400267398</t>
  </si>
  <si>
    <t>531281936</t>
  </si>
  <si>
    <t>900808799</t>
  </si>
  <si>
    <t>756395232</t>
  </si>
  <si>
    <t>261187350</t>
  </si>
  <si>
    <t>188866841</t>
  </si>
  <si>
    <t>709071195</t>
  </si>
  <si>
    <t>674060428</t>
  </si>
  <si>
    <t>284595954</t>
  </si>
  <si>
    <t>580314862</t>
  </si>
  <si>
    <t>437604176</t>
  </si>
  <si>
    <t>994978797</t>
  </si>
  <si>
    <t>317006051</t>
  </si>
  <si>
    <t>933642041</t>
  </si>
  <si>
    <t>764592492</t>
  </si>
  <si>
    <t>931559789</t>
  </si>
  <si>
    <t>682314765</t>
  </si>
  <si>
    <t>485165965</t>
  </si>
  <si>
    <t>601422345</t>
  </si>
  <si>
    <t>999879729</t>
  </si>
  <si>
    <t>246603858</t>
  </si>
  <si>
    <t>291531503</t>
  </si>
  <si>
    <t>483655774</t>
  </si>
  <si>
    <t>840747058</t>
  </si>
  <si>
    <t>205354487</t>
  </si>
  <si>
    <t>280192410</t>
  </si>
  <si>
    <t>465753209</t>
  </si>
  <si>
    <t>587846076</t>
  </si>
  <si>
    <t>580342328</t>
  </si>
  <si>
    <t>877084767</t>
  </si>
  <si>
    <t>709105527</t>
  </si>
  <si>
    <t>614321839</t>
  </si>
  <si>
    <t>329529607</t>
  </si>
  <si>
    <t>223869454</t>
  </si>
  <si>
    <t>189108455</t>
  </si>
  <si>
    <t>452471768</t>
  </si>
  <si>
    <t>174218118</t>
  </si>
  <si>
    <t>820437371</t>
  </si>
  <si>
    <t>410291135</t>
  </si>
  <si>
    <t>174614226</t>
  </si>
  <si>
    <t>118859469</t>
  </si>
  <si>
    <t>669550883</t>
  </si>
  <si>
    <t>439114367</t>
  </si>
  <si>
    <t>582563626</t>
  </si>
  <si>
    <t>943274819</t>
  </si>
  <si>
    <t>313821303</t>
  </si>
  <si>
    <t>431753098</t>
  </si>
  <si>
    <t>969289243</t>
  </si>
  <si>
    <t>861982858</t>
  </si>
  <si>
    <t>290317428</t>
  </si>
  <si>
    <t>105030000</t>
  </si>
  <si>
    <t>960213077</t>
  </si>
  <si>
    <t>743619334</t>
  </si>
  <si>
    <t>263977277</t>
  </si>
  <si>
    <t>819152915</t>
  </si>
  <si>
    <t>980598723</t>
  </si>
  <si>
    <t>974147260</t>
  </si>
  <si>
    <t>719404351</t>
  </si>
  <si>
    <t>643770778</t>
  </si>
  <si>
    <t>645309722</t>
  </si>
  <si>
    <t>469144809</t>
  </si>
  <si>
    <t>821916663</t>
  </si>
  <si>
    <t>835265910</t>
  </si>
  <si>
    <t>195259082</t>
  </si>
  <si>
    <t>593158566</t>
  </si>
  <si>
    <t>717833220</t>
  </si>
  <si>
    <t>682066285</t>
  </si>
  <si>
    <t>412215459</t>
  </si>
  <si>
    <t>152746713</t>
  </si>
  <si>
    <t>715309798</t>
  </si>
  <si>
    <t>466517961</t>
  </si>
  <si>
    <t>825065791</t>
  </si>
  <si>
    <t>384976232</t>
  </si>
  <si>
    <t>467924726</t>
  </si>
  <si>
    <t>280477797</t>
  </si>
  <si>
    <t>774698626</t>
  </si>
  <si>
    <t>652501904</t>
  </si>
  <si>
    <t>688903129</t>
  </si>
  <si>
    <t>195171105</t>
  </si>
  <si>
    <t>128766906</t>
  </si>
  <si>
    <t>361725556</t>
  </si>
  <si>
    <t>789760196</t>
  </si>
  <si>
    <t>327072703</t>
  </si>
  <si>
    <t>130356919</t>
  </si>
  <si>
    <t>636360585</t>
  </si>
  <si>
    <t>123938930</t>
  </si>
  <si>
    <t>770821654</t>
  </si>
  <si>
    <t>692952191</t>
  </si>
  <si>
    <t>947507131</t>
  </si>
  <si>
    <t>396462953</t>
  </si>
  <si>
    <t>162791907</t>
  </si>
  <si>
    <t>835341870</t>
  </si>
  <si>
    <t>149274003</t>
  </si>
  <si>
    <t>311956632</t>
  </si>
  <si>
    <t>920688903</t>
  </si>
  <si>
    <t>434485948</t>
  </si>
  <si>
    <t>316466176</t>
  </si>
  <si>
    <t>101025998</t>
  </si>
  <si>
    <t>547625386</t>
  </si>
  <si>
    <t>394456660</t>
  </si>
  <si>
    <t>104548490</t>
  </si>
  <si>
    <t>687374913</t>
  </si>
  <si>
    <t>921693980</t>
  </si>
  <si>
    <t>829356467</t>
  </si>
  <si>
    <t>322524106</t>
  </si>
  <si>
    <t>897638213</t>
  </si>
  <si>
    <t>480652987</t>
  </si>
  <si>
    <t>340213811</t>
  </si>
  <si>
    <t>826936471</t>
  </si>
  <si>
    <t>477633464</t>
  </si>
  <si>
    <t>849431836</t>
  </si>
  <si>
    <t>844307315</t>
  </si>
  <si>
    <t>414579665</t>
  </si>
  <si>
    <t>569864976</t>
  </si>
  <si>
    <t>783116900</t>
  </si>
  <si>
    <t>727821767</t>
  </si>
  <si>
    <t>631172120</t>
  </si>
  <si>
    <t>859914767</t>
  </si>
  <si>
    <t>575479590</t>
  </si>
  <si>
    <t>352342545</t>
  </si>
  <si>
    <t>972419059</t>
  </si>
  <si>
    <t>217165648</t>
  </si>
  <si>
    <t>764837539</t>
  </si>
  <si>
    <t>870218312</t>
  </si>
  <si>
    <t>513802516</t>
  </si>
  <si>
    <t>638957822</t>
  </si>
  <si>
    <t>944247710</t>
  </si>
  <si>
    <t>694771802</t>
  </si>
  <si>
    <t>388728320</t>
  </si>
  <si>
    <t>452559745</t>
  </si>
  <si>
    <t>921230065</t>
  </si>
  <si>
    <t>831143891</t>
  </si>
  <si>
    <t>318523538</t>
  </si>
  <si>
    <t>970427358</t>
  </si>
  <si>
    <t>195212733</t>
  </si>
  <si>
    <t>141875827</t>
  </si>
  <si>
    <t>510762822</t>
  </si>
  <si>
    <t>189667212</t>
  </si>
  <si>
    <t>276784074</t>
  </si>
  <si>
    <t>744583642</t>
  </si>
  <si>
    <t>761724030</t>
  </si>
  <si>
    <t>217248904</t>
  </si>
  <si>
    <t>685596930</t>
  </si>
  <si>
    <t>355534589</t>
  </si>
  <si>
    <t>456527268</t>
  </si>
  <si>
    <t>461917865</t>
  </si>
  <si>
    <t>284435451</t>
  </si>
  <si>
    <t>844575107</t>
  </si>
  <si>
    <t>158479773</t>
  </si>
  <si>
    <t>175723588</t>
  </si>
  <si>
    <t>690220630</t>
  </si>
  <si>
    <t>704139363</t>
  </si>
  <si>
    <t>636278617</t>
  </si>
  <si>
    <t>525749719</t>
  </si>
  <si>
    <t>481976497</t>
  </si>
  <si>
    <t>168979442</t>
  </si>
  <si>
    <t>570476520</t>
  </si>
  <si>
    <t>144282948</t>
  </si>
  <si>
    <t>797202146</t>
  </si>
  <si>
    <t>353492677</t>
  </si>
  <si>
    <t>155086886</t>
  </si>
  <si>
    <t>113524663</t>
  </si>
  <si>
    <t>932475602</t>
  </si>
  <si>
    <t>282917964</t>
  </si>
  <si>
    <t>775347936</t>
  </si>
  <si>
    <t>980381143</t>
  </si>
  <si>
    <t>521874034</t>
  </si>
  <si>
    <t>186847674</t>
  </si>
  <si>
    <t>117929494</t>
  </si>
  <si>
    <t>786318385</t>
  </si>
  <si>
    <t>178604066</t>
  </si>
  <si>
    <t>651247489</t>
  </si>
  <si>
    <t>492353856</t>
  </si>
  <si>
    <t>382581126</t>
  </si>
  <si>
    <t>533314406</t>
  </si>
  <si>
    <t>949388539</t>
  </si>
  <si>
    <t>122372519</t>
  </si>
  <si>
    <t>298978602</t>
  </si>
  <si>
    <t>691760861</t>
  </si>
  <si>
    <t>447536504</t>
  </si>
  <si>
    <t>469840466</t>
  </si>
  <si>
    <t>418404281</t>
  </si>
  <si>
    <t>516122949</t>
  </si>
  <si>
    <t>208238399</t>
  </si>
  <si>
    <t>526533353</t>
  </si>
  <si>
    <t>643027484</t>
  </si>
  <si>
    <t>327604424</t>
  </si>
  <si>
    <t>219451320</t>
  </si>
  <si>
    <t>575758969</t>
  </si>
  <si>
    <t>602264344</t>
  </si>
  <si>
    <t>791890084</t>
  </si>
  <si>
    <t>249606645</t>
  </si>
  <si>
    <t>497466361</t>
  </si>
  <si>
    <t>839437711</t>
  </si>
  <si>
    <t>549048888</t>
  </si>
  <si>
    <t>427432811</t>
  </si>
  <si>
    <t>582836139</t>
  </si>
  <si>
    <t>719730079</t>
  </si>
  <si>
    <t>837608659</t>
  </si>
  <si>
    <t>930670154</t>
  </si>
  <si>
    <t>684853637</t>
  </si>
  <si>
    <t>930457293</t>
  </si>
  <si>
    <t>343185698</t>
  </si>
  <si>
    <t>174935233</t>
  </si>
  <si>
    <t>904812800</t>
  </si>
  <si>
    <t>438683927</t>
  </si>
  <si>
    <t>303534495</t>
  </si>
  <si>
    <t>775008904</t>
  </si>
  <si>
    <t>471348512</t>
  </si>
  <si>
    <t>302442729</t>
  </si>
  <si>
    <t>987050187</t>
  </si>
  <si>
    <t>641537463</t>
  </si>
  <si>
    <t>512662255</t>
  </si>
  <si>
    <t>379900634</t>
  </si>
  <si>
    <t>243144452</t>
  </si>
  <si>
    <t>998043382</t>
  </si>
  <si>
    <t>446045196</t>
  </si>
  <si>
    <t>544284856</t>
  </si>
  <si>
    <t>606118571</t>
  </si>
  <si>
    <t>583654105</t>
  </si>
  <si>
    <t>608451879</t>
  </si>
  <si>
    <t>910886180</t>
  </si>
  <si>
    <t>820195758</t>
  </si>
  <si>
    <t>378216636</t>
  </si>
  <si>
    <t>539002406</t>
  </si>
  <si>
    <t>659193694</t>
  </si>
  <si>
    <t>320431125</t>
  </si>
  <si>
    <t>229355323</t>
  </si>
  <si>
    <t>949732291</t>
  </si>
  <si>
    <t>871147000</t>
  </si>
  <si>
    <t>806197631</t>
  </si>
  <si>
    <t>926280772</t>
  </si>
  <si>
    <t>936547410</t>
  </si>
  <si>
    <t>498201072</t>
  </si>
  <si>
    <t>842725884</t>
  </si>
  <si>
    <t>343730294</t>
  </si>
  <si>
    <t>636907756</t>
  </si>
  <si>
    <t>444806230</t>
  </si>
  <si>
    <t>517097985</t>
  </si>
  <si>
    <t>642953670</t>
  </si>
  <si>
    <t>265191352</t>
  </si>
  <si>
    <t>129127395</t>
  </si>
  <si>
    <t>392518174</t>
  </si>
  <si>
    <t>121380746</t>
  </si>
  <si>
    <t>745467269</t>
  </si>
  <si>
    <t>948518216</t>
  </si>
  <si>
    <t>163744628</t>
  </si>
  <si>
    <t>706301438</t>
  </si>
  <si>
    <t>234082448</t>
  </si>
  <si>
    <t>161607444</t>
  </si>
  <si>
    <t>764483058</t>
  </si>
  <si>
    <t>828993833</t>
  </si>
  <si>
    <t>498946940</t>
  </si>
  <si>
    <t>287151563</t>
  </si>
  <si>
    <t>259006392</t>
  </si>
  <si>
    <t>556647908</t>
  </si>
  <si>
    <t>923922574</t>
  </si>
  <si>
    <t>742100560</t>
  </si>
  <si>
    <t>605029380</t>
  </si>
  <si>
    <t>333304440</t>
  </si>
  <si>
    <t>486345708</t>
  </si>
  <si>
    <t>180358016</t>
  </si>
  <si>
    <t>141846215</t>
  </si>
  <si>
    <t>252541625</t>
  </si>
  <si>
    <t>614597785</t>
  </si>
  <si>
    <t>861976850</t>
  </si>
  <si>
    <t>631463515</t>
  </si>
  <si>
    <t>307305467</t>
  </si>
  <si>
    <t>392676532</t>
  </si>
  <si>
    <t>111063039</t>
  </si>
  <si>
    <t>556263816</t>
  </si>
  <si>
    <t>642123687</t>
  </si>
  <si>
    <t>242168128</t>
  </si>
  <si>
    <t>192236125</t>
  </si>
  <si>
    <t>957926118</t>
  </si>
  <si>
    <t>646691596</t>
  </si>
  <si>
    <t>115363156</t>
  </si>
  <si>
    <t>922564303</t>
  </si>
  <si>
    <t>928168189</t>
  </si>
  <si>
    <t>346498763</t>
  </si>
  <si>
    <t>797316300</t>
  </si>
  <si>
    <t>497506701</t>
  </si>
  <si>
    <t>245556294</t>
  </si>
  <si>
    <t>716411006</t>
  </si>
  <si>
    <t>186597907</t>
  </si>
  <si>
    <t>848737466</t>
  </si>
  <si>
    <t>130754315</t>
  </si>
  <si>
    <t>719293630</t>
  </si>
  <si>
    <t>616775310</t>
  </si>
  <si>
    <t>591287887</t>
  </si>
  <si>
    <t>334539973</t>
  </si>
  <si>
    <t>403665006</t>
  </si>
  <si>
    <t>892042911</t>
  </si>
  <si>
    <t>394356667</t>
  </si>
  <si>
    <t>752792918</t>
  </si>
  <si>
    <t>760619390</t>
  </si>
  <si>
    <t>343889510</t>
  </si>
  <si>
    <t>398104035</t>
  </si>
  <si>
    <t>631460940</t>
  </si>
  <si>
    <t>489848029</t>
  </si>
  <si>
    <t>797788369</t>
  </si>
  <si>
    <t>430687510</t>
  </si>
  <si>
    <t>667054498</t>
  </si>
  <si>
    <t>666921460</t>
  </si>
  <si>
    <t>861252868</t>
  </si>
  <si>
    <t>126948583</t>
  </si>
  <si>
    <t>353191840</t>
  </si>
  <si>
    <t>259032571</t>
  </si>
  <si>
    <t>517514264</t>
  </si>
  <si>
    <t>624940383</t>
  </si>
  <si>
    <t>567751824</t>
  </si>
  <si>
    <t>262177836</t>
  </si>
  <si>
    <t>582560193</t>
  </si>
  <si>
    <t>139949357</t>
  </si>
  <si>
    <t>470503079</t>
  </si>
  <si>
    <t>413951814</t>
  </si>
  <si>
    <t>433734500</t>
  </si>
  <si>
    <t>624348151</t>
  </si>
  <si>
    <t>109914195</t>
  </si>
  <si>
    <t>947073256</t>
  </si>
  <si>
    <t>409514796</t>
  </si>
  <si>
    <t>182228696</t>
  </si>
  <si>
    <t>723893725</t>
  </si>
  <si>
    <t>392217338</t>
  </si>
  <si>
    <t>108407437</t>
  </si>
  <si>
    <t>358594453</t>
  </si>
  <si>
    <t>784397923</t>
  </si>
  <si>
    <t>111246287</t>
  </si>
  <si>
    <t>777018630</t>
  </si>
  <si>
    <t>601588857</t>
  </si>
  <si>
    <t>249039304</t>
  </si>
  <si>
    <t>905947482</t>
  </si>
  <si>
    <t>359893071</t>
  </si>
  <si>
    <t>284310567</t>
  </si>
  <si>
    <t>942372310</t>
  </si>
  <si>
    <t>604124295</t>
  </si>
  <si>
    <t>720229613</t>
  </si>
  <si>
    <t>967258059</t>
  </si>
  <si>
    <t>520390880</t>
  </si>
  <si>
    <t>623821580</t>
  </si>
  <si>
    <t>273662412</t>
  </si>
  <si>
    <t>941061675</t>
  </si>
  <si>
    <t>421456849</t>
  </si>
  <si>
    <t>291160714</t>
  </si>
  <si>
    <t>724085128</t>
  </si>
  <si>
    <t>742569196</t>
  </si>
  <si>
    <t>760346877</t>
  </si>
  <si>
    <t>260630738</t>
  </si>
  <si>
    <t>462561166</t>
  </si>
  <si>
    <t>353475940</t>
  </si>
  <si>
    <t>432031619</t>
  </si>
  <si>
    <t>104165685</t>
  </si>
  <si>
    <t>762117564</t>
  </si>
  <si>
    <t>918364179</t>
  </si>
  <si>
    <t>913729751</t>
  </si>
  <si>
    <t>196346127</t>
  </si>
  <si>
    <t>553107821</t>
  </si>
  <si>
    <t>591774117</t>
  </si>
  <si>
    <t>627432048</t>
  </si>
  <si>
    <t>615290009</t>
  </si>
  <si>
    <t>897317206</t>
  </si>
  <si>
    <t>594699656</t>
  </si>
  <si>
    <t>574925124</t>
  </si>
  <si>
    <t>946421372</t>
  </si>
  <si>
    <t>885998284</t>
  </si>
  <si>
    <t>954065883</t>
  </si>
  <si>
    <t>994406735</t>
  </si>
  <si>
    <t>132069671</t>
  </si>
  <si>
    <t>990455090</t>
  </si>
  <si>
    <t>445952498</t>
  </si>
  <si>
    <t>628055179</t>
  </si>
  <si>
    <t>243391644</t>
  </si>
  <si>
    <t>823505389</t>
  </si>
  <si>
    <t>846413600</t>
  </si>
  <si>
    <t>850279843</t>
  </si>
  <si>
    <t>268373954</t>
  </si>
  <si>
    <t>350550401</t>
  </si>
  <si>
    <t>293178594</t>
  </si>
  <si>
    <t>168960559</t>
  </si>
  <si>
    <t>270358788</t>
  </si>
  <si>
    <t>589842927</t>
  </si>
  <si>
    <t>655328738</t>
  </si>
  <si>
    <t>406564366</t>
  </si>
  <si>
    <t>374848639</t>
  </si>
  <si>
    <t>393858420</t>
  </si>
  <si>
    <t>435463559</t>
  </si>
  <si>
    <t>284403264</t>
  </si>
  <si>
    <t>917904984</t>
  </si>
  <si>
    <t>670274865</t>
  </si>
  <si>
    <t>380684268</t>
  </si>
  <si>
    <t>264526593</t>
  </si>
  <si>
    <t>485929429</t>
  </si>
  <si>
    <t>209736573</t>
  </si>
  <si>
    <t>233440434</t>
  </si>
  <si>
    <t>384483993</t>
  </si>
  <si>
    <t>311921012</t>
  </si>
  <si>
    <t>128003442</t>
  </si>
  <si>
    <t>981154048</t>
  </si>
  <si>
    <t>287917602</t>
  </si>
  <si>
    <t>548343789</t>
  </si>
  <si>
    <t>498089492</t>
  </si>
  <si>
    <t>251907765</t>
  </si>
  <si>
    <t>339999663</t>
  </si>
  <si>
    <t>958366000</t>
  </si>
  <si>
    <t>481114327</t>
  </si>
  <si>
    <t>194785726</t>
  </si>
  <si>
    <t>443544518</t>
  </si>
  <si>
    <t>467138516</t>
  </si>
  <si>
    <t>184708344</t>
  </si>
  <si>
    <t>640394628</t>
  </si>
  <si>
    <t>403337991</t>
  </si>
  <si>
    <t>967679059</t>
  </si>
  <si>
    <t>125339686</t>
  </si>
  <si>
    <t>396832883</t>
  </si>
  <si>
    <t>209445178</t>
  </si>
  <si>
    <t>933963048</t>
  </si>
  <si>
    <t>587598884</t>
  </si>
  <si>
    <t>941524302</t>
  </si>
  <si>
    <t>805974042</t>
  </si>
  <si>
    <t>217859160</t>
  </si>
  <si>
    <t>727426946</t>
  </si>
  <si>
    <t>187103450</t>
  </si>
  <si>
    <t>572634732</t>
  </si>
  <si>
    <t>285343968</t>
  </si>
  <si>
    <t>886763894</t>
  </si>
  <si>
    <t>436606395</t>
  </si>
  <si>
    <t>845738112</t>
  </si>
  <si>
    <t>669353473</t>
  </si>
  <si>
    <t>147826898</t>
  </si>
  <si>
    <t>832057130</t>
  </si>
  <si>
    <t>212106788</t>
  </si>
  <si>
    <t>371814954</t>
  </si>
  <si>
    <t>548015487</t>
  </si>
  <si>
    <t>305569112</t>
  </si>
  <si>
    <t>536095750</t>
  </si>
  <si>
    <t>621577537</t>
  </si>
  <si>
    <t>826968657</t>
  </si>
  <si>
    <t>546544349</t>
  </si>
  <si>
    <t>463591134</t>
  </si>
  <si>
    <t>696839892</t>
  </si>
  <si>
    <t>509380948</t>
  </si>
  <si>
    <t>221628844</t>
  </si>
  <si>
    <t>650208079</t>
  </si>
  <si>
    <t>229105556</t>
  </si>
  <si>
    <t>660481584</t>
  </si>
  <si>
    <t>168487203</t>
  </si>
  <si>
    <t>609952628</t>
  </si>
  <si>
    <t>891808593</t>
  </si>
  <si>
    <t>765734040</t>
  </si>
  <si>
    <t>125349128</t>
  </si>
  <si>
    <t>688698422</t>
  </si>
  <si>
    <t>367328155</t>
  </si>
  <si>
    <t>495450627</t>
  </si>
  <si>
    <t>638856971</t>
  </si>
  <si>
    <t>936664998</t>
  </si>
  <si>
    <t>695059764</t>
  </si>
  <si>
    <t>681713092</t>
  </si>
  <si>
    <t>511155498</t>
  </si>
  <si>
    <t>762655293</t>
  </si>
  <si>
    <t>119935786</t>
  </si>
  <si>
    <t>755605590</t>
  </si>
  <si>
    <t>907047402</t>
  </si>
  <si>
    <t>638937652</t>
  </si>
  <si>
    <t>449206340</t>
  </si>
  <si>
    <t>864071118</t>
  </si>
  <si>
    <t>253211104</t>
  </si>
  <si>
    <t>609939754</t>
  </si>
  <si>
    <t>907691991</t>
  </si>
  <si>
    <t>460693061</t>
  </si>
  <si>
    <t>424541604</t>
  </si>
  <si>
    <t>571161448</t>
  </si>
  <si>
    <t>985039174</t>
  </si>
  <si>
    <t>522323358</t>
  </si>
  <si>
    <t>486461150</t>
  </si>
  <si>
    <t>949912965</t>
  </si>
  <si>
    <t>103499639</t>
  </si>
  <si>
    <t>877687728</t>
  </si>
  <si>
    <t>288073384</t>
  </si>
  <si>
    <t>607756221</t>
  </si>
  <si>
    <t>291179597</t>
  </si>
  <si>
    <t>875220096</t>
  </si>
  <si>
    <t>799848306</t>
  </si>
  <si>
    <t>693583905</t>
  </si>
  <si>
    <t>437083184</t>
  </si>
  <si>
    <t>759594142</t>
  </si>
  <si>
    <t>702815854</t>
  </si>
  <si>
    <t>971899354</t>
  </si>
  <si>
    <t>521681344</t>
  </si>
  <si>
    <t>239554154</t>
  </si>
  <si>
    <t>982566821</t>
  </si>
  <si>
    <t>887501180</t>
  </si>
  <si>
    <t>278513133</t>
  </si>
  <si>
    <t>152191388</t>
  </si>
  <si>
    <t>309655511</t>
  </si>
  <si>
    <t>469129359</t>
  </si>
  <si>
    <t>951698243</t>
  </si>
  <si>
    <t>981808078</t>
  </si>
  <si>
    <t>833706796</t>
  </si>
  <si>
    <t>650078475</t>
  </si>
  <si>
    <t>507531726</t>
  </si>
  <si>
    <t>544741475</t>
  </si>
  <si>
    <t>926826655</t>
  </si>
  <si>
    <t>759086453</t>
  </si>
  <si>
    <t>523899209</t>
  </si>
  <si>
    <t>647943866</t>
  </si>
  <si>
    <t>812632358</t>
  </si>
  <si>
    <t>231861150</t>
  </si>
  <si>
    <t>348080623</t>
  </si>
  <si>
    <t>368865811</t>
  </si>
  <si>
    <t>478840672</t>
  </si>
  <si>
    <t>772643411</t>
  </si>
  <si>
    <t>742843854</t>
  </si>
  <si>
    <t>308582627</t>
  </si>
  <si>
    <t>140499961</t>
  </si>
  <si>
    <t>856648051</t>
  </si>
  <si>
    <t>780899035</t>
  </si>
  <si>
    <t>177147090</t>
  </si>
  <si>
    <t>775849616</t>
  </si>
  <si>
    <t>979200112</t>
  </si>
  <si>
    <t>429123675</t>
  </si>
  <si>
    <t>515771901</t>
  </si>
  <si>
    <t>626109397</t>
  </si>
  <si>
    <t>574247491</t>
  </si>
  <si>
    <t>941933286</t>
  </si>
  <si>
    <t>797718417</t>
  </si>
  <si>
    <t>220607459</t>
  </si>
  <si>
    <t>629301440</t>
  </si>
  <si>
    <t>431432092</t>
  </si>
  <si>
    <t>442318427</t>
  </si>
  <si>
    <t>540982520</t>
  </si>
  <si>
    <t>563939225</t>
  </si>
  <si>
    <t>323293578</t>
  </si>
  <si>
    <t>507040774</t>
  </si>
  <si>
    <t>516599738</t>
  </si>
  <si>
    <t>383611094</t>
  </si>
  <si>
    <t>412416303</t>
  </si>
  <si>
    <t>364715468</t>
  </si>
  <si>
    <t>392752492</t>
  </si>
  <si>
    <t>633992946</t>
  </si>
  <si>
    <t>937875640</t>
  </si>
  <si>
    <t>614054477</t>
  </si>
  <si>
    <t>369170081</t>
  </si>
  <si>
    <t>357930982</t>
  </si>
  <si>
    <t>586812674</t>
  </si>
  <si>
    <t>311221492</t>
  </si>
  <si>
    <t>274989354</t>
  </si>
  <si>
    <t>897785842</t>
  </si>
  <si>
    <t>929812705</t>
  </si>
  <si>
    <t>202047002</t>
  </si>
  <si>
    <t>919922006</t>
  </si>
  <si>
    <t>243226420</t>
  </si>
  <si>
    <t>249765861</t>
  </si>
  <si>
    <t>253055322</t>
  </si>
  <si>
    <t>243340575</t>
  </si>
  <si>
    <t>988599860</t>
  </si>
  <si>
    <t>581193768</t>
  </si>
  <si>
    <t>100983083</t>
  </si>
  <si>
    <t>936411798</t>
  </si>
  <si>
    <t>261640536</t>
  </si>
  <si>
    <t>564173543</t>
  </si>
  <si>
    <t>580463349</t>
  </si>
  <si>
    <t>428419864</t>
  </si>
  <si>
    <t>479171121</t>
  </si>
  <si>
    <t>120419871</t>
  </si>
  <si>
    <t>602301251</t>
  </si>
  <si>
    <t>471484124</t>
  </si>
  <si>
    <t>291611325</t>
  </si>
  <si>
    <t>691383635</t>
  </si>
  <si>
    <t>783913838</t>
  </si>
  <si>
    <t>799109733</t>
  </si>
  <si>
    <t>223199975</t>
  </si>
  <si>
    <t>391849982</t>
  </si>
  <si>
    <t>906508815</t>
  </si>
  <si>
    <t>524844634</t>
  </si>
  <si>
    <t>640476596</t>
  </si>
  <si>
    <t>733636796</t>
  </si>
  <si>
    <t>183778369</t>
  </si>
  <si>
    <t>594991052</t>
  </si>
  <si>
    <t>246922719</t>
  </si>
  <si>
    <t>315066277</t>
  </si>
  <si>
    <t>766118133</t>
  </si>
  <si>
    <t>138820683</t>
  </si>
  <si>
    <t>733648812</t>
  </si>
  <si>
    <t>580782210</t>
  </si>
  <si>
    <t>279703605</t>
  </si>
  <si>
    <t>645956456</t>
  </si>
  <si>
    <t>526350104</t>
  </si>
  <si>
    <t>212903726</t>
  </si>
  <si>
    <t>680325210</t>
  </si>
  <si>
    <t>263882005</t>
  </si>
  <si>
    <t>295168149</t>
  </si>
  <si>
    <t>645111024</t>
  </si>
  <si>
    <t>850562655</t>
  </si>
  <si>
    <t>702357947</t>
  </si>
  <si>
    <t>102230632</t>
  </si>
  <si>
    <t>231450879</t>
  </si>
  <si>
    <t>880176818</t>
  </si>
  <si>
    <t>755318915</t>
  </si>
  <si>
    <t>378873240</t>
  </si>
  <si>
    <t>264856183</t>
  </si>
  <si>
    <t>118659913</t>
  </si>
  <si>
    <t>667324435</t>
  </si>
  <si>
    <t>685233008</t>
  </si>
  <si>
    <t>757468974</t>
  </si>
  <si>
    <t>512714612</t>
  </si>
  <si>
    <t>516485583</t>
  </si>
  <si>
    <t>491547477</t>
  </si>
  <si>
    <t>911891257</t>
  </si>
  <si>
    <t>214033257</t>
  </si>
  <si>
    <t>504024684</t>
  </si>
  <si>
    <t>386601865</t>
  </si>
  <si>
    <t>336813628</t>
  </si>
  <si>
    <t>309188163</t>
  </si>
  <si>
    <t>760280358</t>
  </si>
  <si>
    <t>495593106</t>
  </si>
  <si>
    <t>209598815</t>
  </si>
  <si>
    <t>483438193</t>
  </si>
  <si>
    <t>819037473</t>
  </si>
  <si>
    <t>974420630</t>
  </si>
  <si>
    <t>534641349</t>
  </si>
  <si>
    <t>921133935</t>
  </si>
  <si>
    <t>456934964</t>
  </si>
  <si>
    <t>468803632</t>
  </si>
  <si>
    <t>646981704</t>
  </si>
  <si>
    <t>972452533</t>
  </si>
  <si>
    <t>535740411</t>
  </si>
  <si>
    <t>309285581</t>
  </si>
  <si>
    <t>380733191</t>
  </si>
  <si>
    <t>989102828</t>
  </si>
  <si>
    <t>862326610</t>
  </si>
  <si>
    <t>152411115</t>
  </si>
  <si>
    <t>862485826</t>
  </si>
  <si>
    <t>299739491</t>
  </si>
  <si>
    <t>633312737</t>
  </si>
  <si>
    <t>884192836</t>
  </si>
  <si>
    <t>578356206</t>
  </si>
  <si>
    <t>194858253</t>
  </si>
  <si>
    <t>988614022</t>
  </si>
  <si>
    <t>279338395</t>
  </si>
  <si>
    <t>123086202</t>
  </si>
  <si>
    <t>216278588</t>
  </si>
  <si>
    <t>693831098</t>
  </si>
  <si>
    <t>963219296</t>
  </si>
  <si>
    <t>468320834</t>
  </si>
  <si>
    <t>203955876</t>
  </si>
  <si>
    <t>583451974</t>
  </si>
  <si>
    <t>250848186</t>
  </si>
  <si>
    <t>863138997</t>
  </si>
  <si>
    <t>266614854</t>
  </si>
  <si>
    <t>834065997</t>
  </si>
  <si>
    <t>879845082</t>
  </si>
  <si>
    <t>146545875</t>
  </si>
  <si>
    <t>414359509</t>
  </si>
  <si>
    <t>276850593</t>
  </si>
  <si>
    <t>556947886</t>
  </si>
  <si>
    <t>548403012</t>
  </si>
  <si>
    <t>652252137</t>
  </si>
  <si>
    <t>284108436</t>
  </si>
  <si>
    <t>416682088</t>
  </si>
  <si>
    <t>579094779</t>
  </si>
  <si>
    <t>192589318</t>
  </si>
  <si>
    <t>785364806</t>
  </si>
  <si>
    <t>450550019</t>
  </si>
  <si>
    <t>817061221</t>
  </si>
  <si>
    <t>168319404</t>
  </si>
  <si>
    <t>781083571</t>
  </si>
  <si>
    <t>401993882</t>
  </si>
  <si>
    <t>391200673</t>
  </si>
  <si>
    <t>408540618</t>
  </si>
  <si>
    <t>239048612</t>
  </si>
  <si>
    <t>292424571</t>
  </si>
  <si>
    <t>231341445</t>
  </si>
  <si>
    <t>533597218</t>
  </si>
  <si>
    <t>682162415</t>
  </si>
  <si>
    <t>706176555</t>
  </si>
  <si>
    <t>339786803</t>
  </si>
  <si>
    <t>274694526</t>
  </si>
  <si>
    <t>633806264</t>
  </si>
  <si>
    <t>955466639</t>
  </si>
  <si>
    <t>330590474</t>
  </si>
  <si>
    <t>819516837</t>
  </si>
  <si>
    <t>499101436</t>
  </si>
  <si>
    <t>190002810</t>
  </si>
  <si>
    <t>653152501</t>
  </si>
  <si>
    <t>489600837</t>
  </si>
  <si>
    <t>750959146</t>
  </si>
  <si>
    <t>356413495</t>
  </si>
  <si>
    <t>288656175</t>
  </si>
  <si>
    <t>659671771</t>
  </si>
  <si>
    <t>513611114</t>
  </si>
  <si>
    <t>543322694</t>
  </si>
  <si>
    <t>671616399</t>
  </si>
  <si>
    <t>212319648</t>
  </si>
  <si>
    <t>971578347</t>
  </si>
  <si>
    <t>704233348</t>
  </si>
  <si>
    <t>768230426</t>
  </si>
  <si>
    <t>707661855</t>
  </si>
  <si>
    <t>628595054</t>
  </si>
  <si>
    <t>795141351</t>
  </si>
  <si>
    <t>164259612</t>
  </si>
  <si>
    <t>750439441</t>
  </si>
  <si>
    <t>362258565</t>
  </si>
  <si>
    <t>209357202</t>
  </si>
  <si>
    <t>450041043</t>
  </si>
  <si>
    <t>103450715</t>
  </si>
  <si>
    <t>384601581</t>
  </si>
  <si>
    <t>186079490</t>
  </si>
  <si>
    <t>513026177</t>
  </si>
  <si>
    <t>222720611</t>
  </si>
  <si>
    <t>891681563</t>
  </si>
  <si>
    <t>129169023</t>
  </si>
  <si>
    <t>764811360</t>
  </si>
  <si>
    <t>801925837</t>
  </si>
  <si>
    <t>881194770</t>
  </si>
  <si>
    <t>917835032</t>
  </si>
  <si>
    <t>159232509</t>
  </si>
  <si>
    <t>917639768</t>
  </si>
  <si>
    <t>965796363</t>
  </si>
  <si>
    <t>551118266</t>
  </si>
  <si>
    <t>849454581</t>
  </si>
  <si>
    <t>962560546</t>
  </si>
  <si>
    <t>927351081</t>
  </si>
  <si>
    <t>840781390</t>
  </si>
  <si>
    <t>722233331</t>
  </si>
  <si>
    <t>663080108</t>
  </si>
  <si>
    <t>439640080</t>
  </si>
  <si>
    <t>765858924</t>
  </si>
  <si>
    <t>123544108</t>
  </si>
  <si>
    <t>569170606</t>
  </si>
  <si>
    <t>185947310</t>
  </si>
  <si>
    <t>534709155</t>
  </si>
  <si>
    <t>138182103</t>
  </si>
  <si>
    <t>780590045</t>
  </si>
  <si>
    <t>643448483</t>
  </si>
  <si>
    <t>144978606</t>
  </si>
  <si>
    <t>444798934</t>
  </si>
  <si>
    <t>543396508</t>
  </si>
  <si>
    <t>866396272</t>
  </si>
  <si>
    <t>946823489</t>
  </si>
  <si>
    <t>228211200</t>
  </si>
  <si>
    <t>547587192</t>
  </si>
  <si>
    <t>689421546</t>
  </si>
  <si>
    <t>530882394</t>
  </si>
  <si>
    <t>765552079</t>
  </si>
  <si>
    <t>469974792</t>
  </si>
  <si>
    <t>700304019</t>
  </si>
  <si>
    <t>509356057</t>
  </si>
  <si>
    <t>838788402</t>
  </si>
  <si>
    <t>200507199</t>
  </si>
  <si>
    <t>504973971</t>
  </si>
  <si>
    <t>477282845</t>
  </si>
  <si>
    <t>161399304</t>
  </si>
  <si>
    <t>204392325</t>
  </si>
  <si>
    <t>400904691</t>
  </si>
  <si>
    <t>244023358</t>
  </si>
  <si>
    <t>830172288</t>
  </si>
  <si>
    <t>815755307</t>
  </si>
  <si>
    <t>870173251</t>
  </si>
  <si>
    <t>444234168</t>
  </si>
  <si>
    <t>545059049</t>
  </si>
  <si>
    <t>530702579</t>
  </si>
  <si>
    <t>546140086</t>
  </si>
  <si>
    <t>215584218</t>
  </si>
  <si>
    <t>407220542</t>
  </si>
  <si>
    <t>956969964</t>
  </si>
  <si>
    <t>399256312</t>
  </si>
  <si>
    <t>488815915</t>
  </si>
  <si>
    <t>530262696</t>
  </si>
  <si>
    <t>243521249</t>
  </si>
  <si>
    <t>878614270</t>
  </si>
  <si>
    <t>954341828</t>
  </si>
  <si>
    <t>607620608</t>
  </si>
  <si>
    <t>561534678</t>
  </si>
  <si>
    <t>768676316</t>
  </si>
  <si>
    <t>337354791</t>
  </si>
  <si>
    <t>917874085</t>
  </si>
  <si>
    <t>176050603</t>
  </si>
  <si>
    <t>930296790</t>
  </si>
  <si>
    <t>273940503</t>
  </si>
  <si>
    <t>656244552</t>
  </si>
  <si>
    <t>666483724</t>
  </si>
  <si>
    <t>422568786</t>
  </si>
  <si>
    <t>969195258</t>
  </si>
  <si>
    <t>857457864</t>
  </si>
  <si>
    <t>495631301</t>
  </si>
  <si>
    <t>224647080</t>
  </si>
  <si>
    <t>883504474</t>
  </si>
  <si>
    <t>575552117</t>
  </si>
  <si>
    <t>141764247</t>
  </si>
  <si>
    <t>608374631</t>
  </si>
  <si>
    <t>200432097</t>
  </si>
  <si>
    <t>884462773</t>
  </si>
  <si>
    <t>885046851</t>
  </si>
  <si>
    <t>527079236</t>
  </si>
  <si>
    <t>161812150</t>
  </si>
  <si>
    <t>689349019</t>
  </si>
  <si>
    <t>677851569</t>
  </si>
  <si>
    <t>538430345</t>
  </si>
  <si>
    <t>797461354</t>
  </si>
  <si>
    <t>347609412</t>
  </si>
  <si>
    <t>473845756</t>
  </si>
  <si>
    <t>180479466</t>
  </si>
  <si>
    <t>634033286</t>
  </si>
  <si>
    <t>559183347</t>
  </si>
  <si>
    <t>781416594</t>
  </si>
  <si>
    <t>713357150</t>
  </si>
  <si>
    <t>906794202</t>
  </si>
  <si>
    <t>Row Labels</t>
  </si>
  <si>
    <t>Grand Total</t>
  </si>
  <si>
    <t>Column Labels</t>
  </si>
  <si>
    <t>Moldova</t>
  </si>
  <si>
    <t>Sum of Total Profit</t>
  </si>
  <si>
    <t>Sum of Total Revenue</t>
  </si>
  <si>
    <t>Sum of Total Cost</t>
  </si>
  <si>
    <t xml:space="preserve">Unit Profit </t>
  </si>
  <si>
    <t>Sum of Units Sold</t>
  </si>
  <si>
    <t>Shipping Time</t>
  </si>
  <si>
    <t>Jan</t>
  </si>
  <si>
    <t>Feb</t>
  </si>
  <si>
    <t>Mar</t>
  </si>
  <si>
    <t>Apr</t>
  </si>
  <si>
    <t>May</t>
  </si>
  <si>
    <t>Jun</t>
  </si>
  <si>
    <t>Jul</t>
  </si>
  <si>
    <t>Aug</t>
  </si>
  <si>
    <t>Sep</t>
  </si>
  <si>
    <t>Oct</t>
  </si>
  <si>
    <t>Nov</t>
  </si>
  <si>
    <t>Dec</t>
  </si>
  <si>
    <t>2016</t>
  </si>
  <si>
    <t>Sum of Unit Profit</t>
  </si>
  <si>
    <t>Sum of Shipping Time</t>
  </si>
  <si>
    <t>Sum of Unit Cost</t>
  </si>
  <si>
    <t xml:space="preserve"> </t>
  </si>
  <si>
    <t>Sum of Unit Price</t>
  </si>
  <si>
    <t>Count of Sales Channel</t>
  </si>
  <si>
    <t>country</t>
  </si>
  <si>
    <t>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</si>
</sst>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5" formatCode="0.0,,\ &quot;M&quot;"/>
    <numFmt numFmtId="166" formatCode="0.0,\ &quot;K&quot;"/>
  </numFmts>
  <fonts count="2" x14ac:knownFonts="1">
    <font>
      <sz val="11"/>
      <color theme="1"/>
      <name val="Corbel"/>
      <family val="2"/>
      <scheme val="minor"/>
    </font>
    <font>
      <sz val="11"/>
      <color theme="1"/>
      <name val="Century Gothic"/>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xf numFmtId="0" fontId="0" fillId="0" borderId="0" xfId="0" applyAlignment="1">
      <alignment horizontal="right"/>
    </xf>
    <xf numFmtId="0" fontId="0" fillId="0" borderId="0" xfId="0" applyNumberFormat="1" applyAlignment="1">
      <alignment horizontal="right"/>
    </xf>
    <xf numFmtId="14" fontId="0" fillId="0" borderId="0" xfId="0" applyNumberFormat="1"/>
    <xf numFmtId="165" fontId="0" fillId="0" borderId="0" xfId="0" applyNumberFormat="1"/>
    <xf numFmtId="166" fontId="0" fillId="0" borderId="0" xfId="0" applyNumberFormat="1"/>
    <xf numFmtId="0" fontId="1" fillId="0" borderId="0" xfId="0" applyFont="1" applyAlignment="1">
      <alignment horizontal="center"/>
    </xf>
    <xf numFmtId="0" fontId="1" fillId="0" borderId="0" xfId="0" applyFont="1" applyAlignment="1">
      <alignment horizontal="center" vertical="center"/>
    </xf>
    <xf numFmtId="0" fontId="1" fillId="0" borderId="0" xfId="0" applyFont="1"/>
  </cellXfs>
  <cellStyles count="1">
    <cellStyle name="Normal" xfId="0" builtinId="0"/>
  </cellStyles>
  <dxfs count="38">
    <dxf>
      <font>
        <b/>
        <color theme="1"/>
      </font>
      <border>
        <bottom style="thin">
          <color theme="4"/>
        </bottom>
        <vertical/>
        <horizontal/>
      </border>
    </dxf>
    <dxf>
      <font>
        <color theme="1"/>
      </font>
      <fill>
        <patternFill>
          <bgColor rgb="FF010F21"/>
        </patternFill>
      </fill>
      <border diagonalUp="0" diagonalDown="0">
        <left/>
        <right/>
        <top/>
        <bottom/>
        <vertical/>
        <horizontal/>
      </border>
    </dxf>
    <dxf>
      <font>
        <b/>
        <color theme="1"/>
      </font>
      <border>
        <bottom style="thin">
          <color theme="4"/>
        </bottom>
        <vertical/>
        <horizontal/>
      </border>
    </dxf>
    <dxf>
      <font>
        <color theme="1"/>
      </font>
      <fill>
        <patternFill patternType="none">
          <bgColor auto="1"/>
        </patternFill>
      </fill>
      <border diagonalUp="0" diagonalDown="0">
        <left/>
        <right/>
        <top/>
        <bottom/>
        <vertical/>
        <horizontal/>
      </border>
    </dxf>
    <dxf>
      <font>
        <b/>
        <color theme="1"/>
      </font>
      <border>
        <bottom style="thin">
          <color theme="4"/>
        </bottom>
        <vertical/>
        <horizontal/>
      </border>
    </dxf>
    <dxf>
      <font>
        <color theme="1"/>
      </font>
      <fill>
        <patternFill patternType="none">
          <bgColor auto="1"/>
        </patternFill>
      </fill>
      <border diagonalUp="0" diagonalDown="0">
        <left/>
        <right/>
        <top/>
        <bottom/>
        <vertical/>
        <horizontal/>
      </border>
    </dxf>
    <dxf>
      <font>
        <b/>
        <color theme="1"/>
      </font>
      <border>
        <bottom style="thin">
          <color theme="4"/>
        </bottom>
        <vertical/>
        <horizontal/>
      </border>
    </dxf>
    <dxf>
      <font>
        <color theme="1"/>
      </font>
      <fill>
        <patternFill patternType="none">
          <bgColor auto="1"/>
        </patternFill>
      </fill>
      <border diagonalUp="0" diagonalDown="0">
        <left/>
        <right/>
        <top/>
        <bottom/>
        <vertical/>
        <horizontal/>
      </border>
    </dxf>
    <dxf>
      <font>
        <b/>
        <color theme="1"/>
      </font>
      <border>
        <bottom style="thin">
          <color theme="4"/>
        </bottom>
        <vertical/>
        <horizontal/>
      </border>
    </dxf>
    <dxf>
      <font>
        <color theme="1"/>
      </font>
      <fill>
        <gradientFill type="path">
          <stop position="0">
            <color theme="1" tint="5.0965910824915313E-2"/>
          </stop>
          <stop position="1">
            <color rgb="FF360429"/>
          </stop>
        </gradientFill>
      </fill>
      <border diagonalUp="0" diagonalDown="0">
        <left/>
        <right/>
        <top/>
        <bottom/>
        <vertical/>
        <horizontal/>
      </border>
    </dxf>
    <dxf>
      <font>
        <b/>
        <color theme="1"/>
      </font>
      <border>
        <bottom style="thin">
          <color theme="9"/>
        </bottom>
        <vertical/>
        <horizontal/>
      </border>
    </dxf>
    <dxf>
      <font>
        <color theme="1"/>
      </font>
      <border diagonalUp="0" diagonalDown="0">
        <left/>
        <right/>
        <top/>
        <bottom/>
        <vertical/>
        <horizontal/>
      </border>
    </dxf>
    <dxf>
      <font>
        <b/>
        <color theme="1"/>
      </font>
      <border>
        <bottom style="thin">
          <color theme="9"/>
        </bottom>
        <vertical/>
        <horizontal/>
      </border>
    </dxf>
    <dxf>
      <font>
        <color theme="1"/>
      </font>
      <border diagonalUp="0" diagonalDown="0">
        <left/>
        <right/>
        <top/>
        <bottom/>
        <vertical/>
        <horizontal/>
      </border>
    </dxf>
    <dxf>
      <font>
        <b/>
        <color theme="1"/>
      </font>
      <border>
        <bottom style="thin">
          <color theme="9"/>
        </bottom>
        <vertical/>
        <horizontal/>
      </border>
    </dxf>
    <dxf>
      <font>
        <color theme="1"/>
      </font>
      <border diagonalUp="0" diagonalDown="0">
        <left/>
        <right/>
        <top/>
        <bottom/>
        <vertical/>
        <horizontal/>
      </border>
    </dxf>
    <dxf>
      <font>
        <b/>
        <color theme="1"/>
      </font>
      <border>
        <bottom style="thin">
          <color rgb="FF4F81BD"/>
        </bottom>
        <vertical/>
        <horizontal/>
      </border>
    </dxf>
    <dxf>
      <font>
        <color theme="1"/>
      </font>
      <border>
        <left style="thin">
          <color rgb="FF4F81BD"/>
        </left>
        <right style="thin">
          <color rgb="FF4F81BD"/>
        </right>
        <top style="thin">
          <color rgb="FF4F81BD"/>
        </top>
        <bottom style="thin">
          <color rgb="FF4F81BD"/>
        </bottom>
        <vertical/>
        <horizontal/>
      </border>
    </dxf>
    <dxf>
      <font>
        <b/>
        <color theme="1"/>
      </font>
      <border>
        <bottom style="thin">
          <color rgb="FF4F81BD"/>
        </bottom>
        <vertical/>
        <horizontal/>
      </border>
    </dxf>
    <dxf>
      <font>
        <color theme="1"/>
      </font>
      <border diagonalUp="0" diagonalDown="0">
        <left/>
        <right/>
        <top/>
        <bottom/>
        <vertical/>
        <horizontal/>
      </border>
    </dxf>
    <dxf>
      <font>
        <b/>
        <color theme="1"/>
      </font>
      <border>
        <bottom style="thin">
          <color rgb="FF4F81BD"/>
        </bottom>
        <vertical/>
        <horizontal/>
      </border>
    </dxf>
    <dxf>
      <font>
        <b val="0"/>
        <i val="0"/>
        <sz val="10"/>
        <color theme="1"/>
      </font>
      <fill>
        <patternFill>
          <bgColor theme="3" tint="0.749961851863155"/>
        </patternFill>
      </fill>
      <border diagonalUp="0" diagonalDown="0">
        <left/>
        <right/>
        <top/>
        <bottom/>
        <vertical/>
        <horizontal/>
      </border>
    </dxf>
    <dxf>
      <numFmt numFmtId="0" formatCode="General"/>
    </dxf>
    <dxf>
      <numFmt numFmtId="0" formatCode="General"/>
      <alignment horizontal="righ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s>
  <tableStyles count="12" defaultTableStyle="TableStyleMedium2" defaultPivotStyle="PivotStyleLight16">
    <tableStyle name="Invisible" pivot="0" table="0" count="0" xr9:uid="{0E09F0A6-8D88-468E-89EA-75ECE1C818D6}"/>
    <tableStyle name="SlicerStyleDark6 2" pivot="0" table="0" count="10" xr9:uid="{BBF091A8-3CDD-49FF-8F27-53A0741A8063}">
      <tableStyleElement type="wholeTable" dxfId="15"/>
      <tableStyleElement type="headerRow" dxfId="14"/>
    </tableStyle>
    <tableStyle name="SlicerStyleDark6 3" pivot="0" table="0" count="10" xr9:uid="{611684AA-E3CD-4533-90CF-617315E10C0D}">
      <tableStyleElement type="wholeTable" dxfId="13"/>
      <tableStyleElement type="headerRow" dxfId="12"/>
    </tableStyle>
    <tableStyle name="SlicerStyleDark6 4" pivot="0" table="0" count="10" xr9:uid="{2A893F5A-920B-4EBE-BA8C-FFF5CC658A02}">
      <tableStyleElement type="wholeTable" dxfId="11"/>
      <tableStyleElement type="headerRow" dxfId="10"/>
    </tableStyle>
    <tableStyle name="SlicerStyleLight1 2" pivot="0" table="0" count="10" xr9:uid="{54CBDA36-EE1F-47B4-A6FB-BB90D20B4B6D}">
      <tableStyleElement type="wholeTable" dxfId="9"/>
      <tableStyleElement type="headerRow" dxfId="8"/>
    </tableStyle>
    <tableStyle name="SlicerStyleLight1 3" pivot="0" table="0" count="10" xr9:uid="{FCD6FF59-5AA4-4499-AE6A-E89BBE66E136}">
      <tableStyleElement type="wholeTable" dxfId="7"/>
      <tableStyleElement type="headerRow" dxfId="6"/>
    </tableStyle>
    <tableStyle name="SlicerStyleLight1 4" pivot="0" table="0" count="10" xr9:uid="{266473CF-B452-4C5F-9BCB-B5B2052888C5}">
      <tableStyleElement type="wholeTable" dxfId="5"/>
      <tableStyleElement type="headerRow" dxfId="4"/>
    </tableStyle>
    <tableStyle name="SlicerStyleLight1 5" pivot="0" table="0" count="10" xr9:uid="{C28AEBC3-7EC6-4D05-B948-66DCCA15009F}">
      <tableStyleElement type="wholeTable" dxfId="3"/>
      <tableStyleElement type="headerRow" dxfId="2"/>
    </tableStyle>
    <tableStyle name="SlicerStyleLight1 6" pivot="0" table="0" count="10" xr9:uid="{FC865459-C7DD-42A8-9E1A-BA6265D83D9C}">
      <tableStyleElement type="wholeTable" dxfId="1"/>
      <tableStyleElement type="headerRow" dxfId="0"/>
    </tableStyle>
    <tableStyle name="SlicerStyleOther2 2" pivot="0" table="0" count="10" xr9:uid="{53840ED8-3427-4F9A-9613-D636384E5741}">
      <tableStyleElement type="wholeTable" dxfId="21"/>
      <tableStyleElement type="headerRow" dxfId="20"/>
    </tableStyle>
    <tableStyle name="SlicerStyleOther2 3" pivot="0" table="0" count="10" xr9:uid="{73D4D5DA-8230-4D04-AB19-342FA864E009}">
      <tableStyleElement type="wholeTable" dxfId="19"/>
      <tableStyleElement type="headerRow" dxfId="18"/>
    </tableStyle>
    <tableStyle name="SlicerStyleOther2 4" pivot="0" table="0" count="10" xr9:uid="{6C3401BD-2936-4C2E-B111-5EEB8B333807}">
      <tableStyleElement type="wholeTable" dxfId="17"/>
      <tableStyleElement type="headerRow" dxfId="16"/>
    </tableStyle>
  </tableStyles>
  <colors>
    <mruColors>
      <color rgb="FF0E003A"/>
      <color rgb="FF94B6D2"/>
      <color rgb="FFFF6600"/>
      <color rgb="FF78A3C6"/>
      <color rgb="FFFFAFAF"/>
      <color rgb="FFFFCCCC"/>
      <color rgb="FFCCFFFF"/>
      <color rgb="FF99FF99"/>
      <color rgb="FF0066FF"/>
      <color rgb="FFFFFF99"/>
    </mruColors>
  </colors>
  <extLst>
    <ext xmlns:x14="http://schemas.microsoft.com/office/spreadsheetml/2009/9/main" uri="{46F421CA-312F-682f-3DD2-61675219B42D}">
      <x14:dxfs count="8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rgb="FF021730"/>
            </patternFill>
          </fill>
          <border>
            <left style="thin">
              <color rgb="FFCCCCCC"/>
            </left>
            <right style="thin">
              <color rgb="FFCCCCCC"/>
            </right>
            <top style="thin">
              <color rgb="FFCCCCCC"/>
            </top>
            <bottom style="thin">
              <color rgb="FFCCCCCC"/>
            </bottom>
            <vertical/>
            <horizontal/>
          </border>
        </dxf>
        <dxf>
          <font>
            <color rgb="FF000000"/>
          </font>
          <fill>
            <gradientFill type="path">
              <stop position="0">
                <color rgb="FF021020"/>
              </stop>
              <stop position="1">
                <color theme="6" tint="0.40000610370189521"/>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000B22"/>
            </patternFill>
          </fill>
          <border>
            <left style="thin">
              <color rgb="FFE0E0E0"/>
            </left>
            <right style="thin">
              <color rgb="FFE0E0E0"/>
            </right>
            <top style="thin">
              <color rgb="FFE0E0E0"/>
            </top>
            <bottom style="thin">
              <color rgb="FFE0E0E0"/>
            </bottom>
            <vertical/>
            <horizontal/>
          </border>
        </dxf>
        <dxf>
          <font>
            <color theme="0" tint="-4.9989318521683403E-2"/>
          </font>
          <fill>
            <patternFill patternType="solid">
              <fgColor rgb="FFFFFFFF"/>
              <bgColor rgb="FF010F2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none">
              <fgColor auto="1"/>
              <bgColor auto="1"/>
            </patternFill>
          </fill>
          <border diagonalUp="0" diagonalDown="0">
            <left/>
            <right/>
            <top/>
            <bottom/>
            <vertical/>
            <horizontal/>
          </border>
        </dxf>
        <dxf>
          <font>
            <color theme="0"/>
          </font>
          <fill>
            <patternFill patternType="none">
              <fgColor auto="1"/>
              <bgColor auto="1"/>
            </patternFill>
          </fill>
          <border diagonalUp="0" diagonalDown="0">
            <left/>
            <right/>
            <top/>
            <bottom/>
            <vertical/>
            <horizontal/>
          </border>
        </dxf>
        <dxf>
          <font>
            <color theme="0"/>
          </font>
          <fill>
            <patternFill patternType="none">
              <fgColor indexed="64"/>
              <bgColor auto="1"/>
            </patternFill>
          </fill>
          <border diagonalUp="0" diagonalDown="0">
            <left/>
            <right/>
            <top/>
            <bottom/>
            <vertical/>
            <horizontal/>
          </border>
        </dxf>
        <dxf>
          <font>
            <color theme="0"/>
          </font>
          <fill>
            <gradientFill type="path" left="0.5" right="0.5" top="0.5" bottom="0.5">
              <stop position="0">
                <color theme="2" tint="0.59999389629810485"/>
              </stop>
              <stop position="1">
                <color rgb="FF021020"/>
              </stop>
            </gradientFill>
          </fill>
          <border diagonalUp="0" diagonalDown="0">
            <left/>
            <right/>
            <top/>
            <bottom/>
            <vertical/>
            <horizontal/>
          </border>
        </dxf>
        <dxf>
          <font>
            <color theme="0"/>
          </font>
          <fill>
            <patternFill patternType="none">
              <fgColor indexed="64"/>
              <bgColor auto="1"/>
            </patternFill>
          </fill>
          <border diagonalUp="0" diagonalDown="0">
            <left/>
            <right/>
            <top/>
            <bottom/>
            <vertical/>
            <horizontal/>
          </border>
        </dxf>
        <dxf>
          <font>
            <color theme="0"/>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theme="0"/>
          </font>
          <fill>
            <gradientFill degree="90">
              <stop position="0">
                <color theme="5" tint="-0.49803155613879818"/>
              </stop>
              <stop position="1">
                <color theme="5" tint="0.80001220740379042"/>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none">
              <fgColor auto="1"/>
              <bgColor auto="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5"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5"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diagonalUp="0" diagonalDown="0">
            <left/>
            <right/>
            <top/>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Other2">
        <x14:slicerStyle name="SlicerStyleDark6 2">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9"/>
            <x14:slicerStyleElement type="hoveredSelectedItemWithData" dxfId="58"/>
            <x14:slicerStyleElement type="hoveredUnselectedItemWithNoData" dxfId="57"/>
            <x14:slicerStyleElement type="hoveredSelectedItemWithNoData" dxfId="56"/>
          </x14:slicerStyleElements>
        </x14:slicerStyle>
        <x14:slicerStyle name="SlicerStyleDark6 3">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Dark6 4">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1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3">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4">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5">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6">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Other2 2">
          <x14:slicerStyleElements>
            <x14:slicerStyleElement type="unselectedItemWithData" dxfId="87"/>
            <x14:slicerStyleElement type="unselectedItemWithNoData" dxfId="86"/>
            <x14:slicerStyleElement type="selectedItemWithData" dxfId="85"/>
            <x14:slicerStyleElement type="selectedItemWithNoData" dxfId="84"/>
            <x14:slicerStyleElement type="hoveredUnselectedItemWithData" dxfId="83"/>
            <x14:slicerStyleElement type="hoveredSelectedItemWithData" dxfId="82"/>
            <x14:slicerStyleElement type="hoveredUnselectedItemWithNoData" dxfId="81"/>
            <x14:slicerStyleElement type="hoveredSelectedItemWithNoData" dxfId="80"/>
          </x14:slicerStyleElements>
        </x14:slicerStyle>
        <x14:slicerStyle name="SlicerStyleOther2 3">
          <x14:slicerStyleElements>
            <x14:slicerStyleElement type="unselectedItemWithData" dxfId="79"/>
            <x14:slicerStyleElement type="unselectedItemWithNoData" dxfId="78"/>
            <x14:slicerStyleElement type="selectedItemWithData" dxfId="77"/>
            <x14:slicerStyleElement type="selectedItemWithNoData" dxfId="76"/>
            <x14:slicerStyleElement type="hoveredUnselectedItemWithData" dxfId="75"/>
            <x14:slicerStyleElement type="hoveredSelectedItemWithData" dxfId="74"/>
            <x14:slicerStyleElement type="hoveredUnselectedItemWithNoData" dxfId="73"/>
            <x14:slicerStyleElement type="hoveredSelectedItemWithNoData" dxfId="72"/>
          </x14:slicerStyleElements>
        </x14:slicerStyle>
        <x14:slicerStyle name="SlicerStyleOther2 4">
          <x14:slicerStyleElements>
            <x14:slicerStyleElement type="unselectedItemWithData" dxfId="71"/>
            <x14:slicerStyleElement type="unselectedItemWithNoData" dxfId="70"/>
            <x14:slicerStyleElement type="selectedItemWithData" dxfId="69"/>
            <x14:slicerStyleElement type="selectedItemWithNoData" dxfId="68"/>
            <x14:slicerStyleElement type="hoveredUnselectedItemWithData" dxfId="67"/>
            <x14:slicerStyleElement type="hoveredSelectedItemWithData" dxfId="66"/>
            <x14:slicerStyleElement type="hoveredUnselectedItemWithNoData" dxfId="65"/>
            <x14:slicerStyleElement type="hoveredSelectedItemWithNoData" dxfId="64"/>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alcChain" Target="calcChain.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owerPivotData" Target="model/item.data"/><Relationship Id="rId28" Type="http://schemas.openxmlformats.org/officeDocument/2006/relationships/customXml" Target="../customXml/item4.xml"/><Relationship Id="rId10" Type="http://schemas.openxmlformats.org/officeDocument/2006/relationships/pivotCacheDefinition" Target="pivotCache/pivotCacheDefinition7.xml"/><Relationship Id="rId19"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[Europe Sales Records analysis.xlsx]Pivot Tables!PivotTable8</c:name>
    <c:fmtId val="20"/>
  </c:pivotSource>
  <c:chart>
    <c:title>
      <c:tx>
        <c:rich>
          <a:bodyPr rot="0" spcFirstLastPara="1" vertOverflow="ellipsis" vert="horz" wrap="square" anchor="ctr" anchorCtr="1"/>
          <a:lstStyle/>
          <a:p>
            <a:pPr>
              <a:defRPr sz="1400" b="0" i="0" u="none" strike="noStrike" kern="1200" spc="0" baseline="0">
                <a:solidFill>
                  <a:schemeClr val="bg1">
                    <a:lumMod val="95000"/>
                  </a:schemeClr>
                </a:solidFill>
                <a:latin typeface="Century Gothic" panose="020B0502020202020204" pitchFamily="34" charset="0"/>
                <a:ea typeface="+mn-ea"/>
                <a:cs typeface="+mn-cs"/>
              </a:defRPr>
            </a:pPr>
            <a:r>
              <a:rPr lang="en-US" sz="1400" b="1" i="0" u="none" strike="noStrike" baseline="0">
                <a:solidFill>
                  <a:schemeClr val="bg1">
                    <a:lumMod val="95000"/>
                  </a:schemeClr>
                </a:solidFill>
                <a:latin typeface="Century Gothic" panose="020B0502020202020204" pitchFamily="34" charset="0"/>
              </a:rPr>
              <a:t>Revenue &amp; Profit Performance by Month</a:t>
            </a:r>
            <a:r>
              <a:rPr lang="en-US" sz="1400" b="0" i="0" u="none" strike="noStrike" baseline="0">
                <a:solidFill>
                  <a:schemeClr val="bg1">
                    <a:lumMod val="95000"/>
                  </a:schemeClr>
                </a:solidFill>
                <a:latin typeface="Century Gothic" panose="020B0502020202020204" pitchFamily="34" charset="0"/>
              </a:rPr>
              <a:t>.</a:t>
            </a:r>
            <a:endParaRPr lang="en-US">
              <a:solidFill>
                <a:schemeClr val="bg1">
                  <a:lumMod val="95000"/>
                </a:schemeClr>
              </a:solidFill>
              <a:latin typeface="Century Gothic" panose="020B0502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Century Gothic" panose="020B05020202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Tables'!$R$3</c:f>
              <c:strCache>
                <c:ptCount val="1"/>
                <c:pt idx="0">
                  <c:v>Sum of Total Profit</c:v>
                </c:pt>
              </c:strCache>
            </c:strRef>
          </c:tx>
          <c:spPr>
            <a:ln w="28575" cap="rnd">
              <a:solidFill>
                <a:schemeClr val="accent1"/>
              </a:solidFill>
              <a:round/>
            </a:ln>
            <a:effectLst/>
          </c:spPr>
          <c:marker>
            <c:symbol val="none"/>
          </c:marker>
          <c:cat>
            <c:strRef>
              <c:f>'Pivot Tables'!$Q$4:$Q$16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Tables'!$R$4:$R$16</c:f>
              <c:numCache>
                <c:formatCode>General</c:formatCode>
                <c:ptCount val="12"/>
                <c:pt idx="0">
                  <c:v>5544551.1399999997</c:v>
                </c:pt>
                <c:pt idx="1">
                  <c:v>4270949.17</c:v>
                </c:pt>
                <c:pt idx="2">
                  <c:v>4305044.2300000004</c:v>
                </c:pt>
                <c:pt idx="3">
                  <c:v>1871382.32</c:v>
                </c:pt>
                <c:pt idx="4">
                  <c:v>4108188.02</c:v>
                </c:pt>
                <c:pt idx="5">
                  <c:v>4679181.68</c:v>
                </c:pt>
                <c:pt idx="6">
                  <c:v>9545484.2599999998</c:v>
                </c:pt>
                <c:pt idx="7">
                  <c:v>5979201.9800000004</c:v>
                </c:pt>
                <c:pt idx="8">
                  <c:v>5494411.75</c:v>
                </c:pt>
                <c:pt idx="9">
                  <c:v>2712306.24</c:v>
                </c:pt>
                <c:pt idx="10">
                  <c:v>5132690.0199999996</c:v>
                </c:pt>
                <c:pt idx="11">
                  <c:v>4128530.04</c:v>
                </c:pt>
              </c:numCache>
            </c:numRef>
          </c:val>
          <c:smooth val="0"/>
          <c:extLst>
            <c:ext xmlns:c16="http://schemas.microsoft.com/office/drawing/2014/chart" uri="{C3380CC4-5D6E-409C-BE32-E72D297353CC}">
              <c16:uniqueId val="{00000000-03BD-4F07-97B3-0C4663F53954}"/>
            </c:ext>
          </c:extLst>
        </c:ser>
        <c:ser>
          <c:idx val="1"/>
          <c:order val="1"/>
          <c:tx>
            <c:strRef>
              <c:f>'Pivot Tables'!$S$3</c:f>
              <c:strCache>
                <c:ptCount val="1"/>
                <c:pt idx="0">
                  <c:v>Sum of Total Revenue</c:v>
                </c:pt>
              </c:strCache>
            </c:strRef>
          </c:tx>
          <c:spPr>
            <a:ln w="28575" cap="rnd">
              <a:solidFill>
                <a:schemeClr val="accent2"/>
              </a:solidFill>
              <a:round/>
            </a:ln>
            <a:effectLst/>
          </c:spPr>
          <c:marker>
            <c:symbol val="none"/>
          </c:marker>
          <c:cat>
            <c:strRef>
              <c:f>'Pivot Tables'!$Q$4:$Q$16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Tables'!$S$4:$S$16</c:f>
              <c:numCache>
                <c:formatCode>General</c:formatCode>
                <c:ptCount val="12"/>
                <c:pt idx="0">
                  <c:v>18624151.780000001</c:v>
                </c:pt>
                <c:pt idx="1">
                  <c:v>11319835.73</c:v>
                </c:pt>
                <c:pt idx="2">
                  <c:v>14585478.34</c:v>
                </c:pt>
                <c:pt idx="3">
                  <c:v>6029783.3099999996</c:v>
                </c:pt>
                <c:pt idx="4">
                  <c:v>17288918.23</c:v>
                </c:pt>
                <c:pt idx="5">
                  <c:v>13558548.060000001</c:v>
                </c:pt>
                <c:pt idx="6">
                  <c:v>32853571.68</c:v>
                </c:pt>
                <c:pt idx="7">
                  <c:v>20769776.859999999</c:v>
                </c:pt>
                <c:pt idx="8">
                  <c:v>17442612.949999999</c:v>
                </c:pt>
                <c:pt idx="9">
                  <c:v>6984585.4000000004</c:v>
                </c:pt>
                <c:pt idx="10">
                  <c:v>15783807.18</c:v>
                </c:pt>
                <c:pt idx="11">
                  <c:v>16279887.25</c:v>
                </c:pt>
              </c:numCache>
            </c:numRef>
          </c:val>
          <c:smooth val="0"/>
          <c:extLst>
            <c:ext xmlns:c16="http://schemas.microsoft.com/office/drawing/2014/chart" uri="{C3380CC4-5D6E-409C-BE32-E72D297353CC}">
              <c16:uniqueId val="{00000001-03BD-4F07-97B3-0C4663F53954}"/>
            </c:ext>
          </c:extLst>
        </c:ser>
        <c:ser>
          <c:idx val="2"/>
          <c:order val="2"/>
          <c:tx>
            <c:strRef>
              <c:f>'Pivot Tables'!$T$3</c:f>
              <c:strCache>
                <c:ptCount val="1"/>
                <c:pt idx="0">
                  <c:v>Sum of Total Cost</c:v>
                </c:pt>
              </c:strCache>
            </c:strRef>
          </c:tx>
          <c:spPr>
            <a:ln w="28575" cap="rnd">
              <a:solidFill>
                <a:schemeClr val="accent3"/>
              </a:solidFill>
              <a:round/>
            </a:ln>
            <a:effectLst/>
          </c:spPr>
          <c:marker>
            <c:symbol val="none"/>
          </c:marker>
          <c:cat>
            <c:strRef>
              <c:f>'Pivot Tables'!$Q$4:$Q$16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Tables'!$T$4:$T$16</c:f>
              <c:numCache>
                <c:formatCode>General</c:formatCode>
                <c:ptCount val="12"/>
                <c:pt idx="0">
                  <c:v>13079600.640000001</c:v>
                </c:pt>
                <c:pt idx="1">
                  <c:v>7048886.5599999996</c:v>
                </c:pt>
                <c:pt idx="2">
                  <c:v>10280434.109999999</c:v>
                </c:pt>
                <c:pt idx="3">
                  <c:v>4158400.99</c:v>
                </c:pt>
                <c:pt idx="4">
                  <c:v>13180730.210000001</c:v>
                </c:pt>
                <c:pt idx="5">
                  <c:v>8879366.3800000008</c:v>
                </c:pt>
                <c:pt idx="6">
                  <c:v>23308087.420000002</c:v>
                </c:pt>
                <c:pt idx="7">
                  <c:v>14790574.880000001</c:v>
                </c:pt>
                <c:pt idx="8">
                  <c:v>11948201.199999999</c:v>
                </c:pt>
                <c:pt idx="9">
                  <c:v>4272279.16</c:v>
                </c:pt>
                <c:pt idx="10">
                  <c:v>10651117.16</c:v>
                </c:pt>
                <c:pt idx="11">
                  <c:v>12151357.210000001</c:v>
                </c:pt>
              </c:numCache>
            </c:numRef>
          </c:val>
          <c:smooth val="0"/>
          <c:extLst>
            <c:ext xmlns:c16="http://schemas.microsoft.com/office/drawing/2014/chart" uri="{C3380CC4-5D6E-409C-BE32-E72D297353CC}">
              <c16:uniqueId val="{00000002-03BD-4F07-97B3-0C4663F53954}"/>
            </c:ext>
          </c:extLst>
        </c:ser>
        <c:dLbls>
          <c:showLegendKey val="0"/>
          <c:showVal val="0"/>
          <c:showCatName val="0"/>
          <c:showSerName val="0"/>
          <c:showPercent val="0"/>
          <c:showBubbleSize val="0"/>
        </c:dLbls>
        <c:smooth val="0"/>
        <c:axId val="371979152"/>
        <c:axId val="371978192"/>
      </c:lineChart>
      <c:catAx>
        <c:axId val="3719791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978192"/>
        <c:crosses val="autoZero"/>
        <c:auto val="1"/>
        <c:lblAlgn val="ctr"/>
        <c:lblOffset val="100"/>
        <c:noMultiLvlLbl val="0"/>
      </c:catAx>
      <c:valAx>
        <c:axId val="37197819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979152"/>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[Europe Sales Records analysis.xlsx]Pivot Tables!PivotTable4</c:name>
    <c:fmtId val="23"/>
  </c:pivotSource>
  <c:chart>
    <c:title>
      <c:tx>
        <c:rich>
          <a:bodyPr rot="0" spcFirstLastPara="1" vertOverflow="ellipsis" vert="horz" wrap="square" anchor="ctr" anchorCtr="1"/>
          <a:lstStyle/>
          <a:p>
            <a:pPr>
              <a:defRPr sz="1400" b="0" i="0" u="none" strike="noStrike" kern="1200" spc="0" baseline="0">
                <a:solidFill>
                  <a:schemeClr val="bg1"/>
                </a:solidFill>
                <a:latin typeface="Century Gothic" panose="020B0502020202020204" pitchFamily="34" charset="0"/>
                <a:ea typeface="+mn-ea"/>
                <a:cs typeface="+mn-cs"/>
              </a:defRPr>
            </a:pPr>
            <a:r>
              <a:rPr lang="en-US" sz="1400" b="0" i="0" u="none" strike="noStrike" baseline="0">
                <a:solidFill>
                  <a:schemeClr val="bg1"/>
                </a:solidFill>
                <a:latin typeface="Century Gothic" panose="020B0502020202020204" pitchFamily="34" charset="0"/>
              </a:rPr>
              <a:t>Top 10 Countries by Revenue &amp; Profit</a:t>
            </a:r>
            <a:endParaRPr lang="en-US">
              <a:solidFill>
                <a:schemeClr val="bg1"/>
              </a:solidFill>
              <a:latin typeface="Century Gothic" panose="020B0502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Century Gothic" panose="020B0502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Tables'!$I$3</c:f>
              <c:strCache>
                <c:ptCount val="1"/>
                <c:pt idx="0">
                  <c:v>Sum of Total Profit</c:v>
                </c:pt>
              </c:strCache>
            </c:strRef>
          </c:tx>
          <c:spPr>
            <a:solidFill>
              <a:schemeClr val="accent1"/>
            </a:solidFill>
            <a:ln>
              <a:noFill/>
            </a:ln>
            <a:effectLst/>
          </c:spPr>
          <c:invertIfNegative val="0"/>
          <c:cat>
            <c:strRef>
              <c:f>'Pivot Tables'!$H$4:$H$13</c:f>
              <c:strCache>
                <c:ptCount val="9"/>
                <c:pt idx="0">
                  <c:v>France</c:v>
                </c:pt>
                <c:pt idx="1">
                  <c:v>Germany</c:v>
                </c:pt>
                <c:pt idx="2">
                  <c:v>Estonia</c:v>
                </c:pt>
                <c:pt idx="3">
                  <c:v>Croatia</c:v>
                </c:pt>
                <c:pt idx="4">
                  <c:v>Czech Republic</c:v>
                </c:pt>
                <c:pt idx="5">
                  <c:v>Georgia</c:v>
                </c:pt>
                <c:pt idx="6">
                  <c:v>Denmark</c:v>
                </c:pt>
                <c:pt idx="7">
                  <c:v>Cyprus</c:v>
                </c:pt>
                <c:pt idx="8">
                  <c:v>Finland</c:v>
                </c:pt>
              </c:strCache>
            </c:strRef>
          </c:cat>
          <c:val>
            <c:numRef>
              <c:f>'Pivot Tables'!$I$4:$I$13</c:f>
              <c:numCache>
                <c:formatCode>General</c:formatCode>
                <c:ptCount val="9"/>
                <c:pt idx="0">
                  <c:v>2324257.0499999998</c:v>
                </c:pt>
                <c:pt idx="1">
                  <c:v>1543925.74</c:v>
                </c:pt>
                <c:pt idx="2">
                  <c:v>1393138.17</c:v>
                </c:pt>
                <c:pt idx="3">
                  <c:v>875007.3</c:v>
                </c:pt>
                <c:pt idx="4">
                  <c:v>666802.16</c:v>
                </c:pt>
                <c:pt idx="5">
                  <c:v>533337.23</c:v>
                </c:pt>
                <c:pt idx="6">
                  <c:v>479649.16</c:v>
                </c:pt>
                <c:pt idx="7">
                  <c:v>278015.38</c:v>
                </c:pt>
                <c:pt idx="8">
                  <c:v>130.13999999999999</c:v>
                </c:pt>
              </c:numCache>
            </c:numRef>
          </c:val>
          <c:extLst>
            <c:ext xmlns:c16="http://schemas.microsoft.com/office/drawing/2014/chart" uri="{C3380CC4-5D6E-409C-BE32-E72D297353CC}">
              <c16:uniqueId val="{0000000D-32BD-4617-8359-AAE6450A1BAE}"/>
            </c:ext>
          </c:extLst>
        </c:ser>
        <c:ser>
          <c:idx val="1"/>
          <c:order val="1"/>
          <c:tx>
            <c:strRef>
              <c:f>'Pivot Tables'!$J$3</c:f>
              <c:strCache>
                <c:ptCount val="1"/>
                <c:pt idx="0">
                  <c:v>Sum of Total Revenue</c:v>
                </c:pt>
              </c:strCache>
            </c:strRef>
          </c:tx>
          <c:spPr>
            <a:solidFill>
              <a:schemeClr val="accent2"/>
            </a:solidFill>
            <a:ln>
              <a:noFill/>
            </a:ln>
            <a:effectLst/>
          </c:spPr>
          <c:invertIfNegative val="0"/>
          <c:cat>
            <c:strRef>
              <c:f>'Pivot Tables'!$H$4:$H$13</c:f>
              <c:strCache>
                <c:ptCount val="9"/>
                <c:pt idx="0">
                  <c:v>France</c:v>
                </c:pt>
                <c:pt idx="1">
                  <c:v>Germany</c:v>
                </c:pt>
                <c:pt idx="2">
                  <c:v>Estonia</c:v>
                </c:pt>
                <c:pt idx="3">
                  <c:v>Croatia</c:v>
                </c:pt>
                <c:pt idx="4">
                  <c:v>Czech Republic</c:v>
                </c:pt>
                <c:pt idx="5">
                  <c:v>Georgia</c:v>
                </c:pt>
                <c:pt idx="6">
                  <c:v>Denmark</c:v>
                </c:pt>
                <c:pt idx="7">
                  <c:v>Cyprus</c:v>
                </c:pt>
                <c:pt idx="8">
                  <c:v>Finland</c:v>
                </c:pt>
              </c:strCache>
            </c:strRef>
          </c:cat>
          <c:val>
            <c:numRef>
              <c:f>'Pivot Tables'!$J$4:$J$13</c:f>
              <c:numCache>
                <c:formatCode>General</c:formatCode>
                <c:ptCount val="9"/>
                <c:pt idx="0">
                  <c:v>5809889.7400000002</c:v>
                </c:pt>
                <c:pt idx="1">
                  <c:v>5471502.2699999996</c:v>
                </c:pt>
                <c:pt idx="2">
                  <c:v>4573757.7300000004</c:v>
                </c:pt>
                <c:pt idx="3">
                  <c:v>1876328.22</c:v>
                </c:pt>
                <c:pt idx="4">
                  <c:v>1775727.68</c:v>
                </c:pt>
                <c:pt idx="5">
                  <c:v>1245001.1499999999</c:v>
                </c:pt>
                <c:pt idx="6">
                  <c:v>1457349.55</c:v>
                </c:pt>
                <c:pt idx="7">
                  <c:v>1981439.4</c:v>
                </c:pt>
                <c:pt idx="8">
                  <c:v>503.82</c:v>
                </c:pt>
              </c:numCache>
            </c:numRef>
          </c:val>
          <c:extLst>
            <c:ext xmlns:c16="http://schemas.microsoft.com/office/drawing/2014/chart" uri="{C3380CC4-5D6E-409C-BE32-E72D297353CC}">
              <c16:uniqueId val="{0000000E-32BD-4617-8359-AAE6450A1BAE}"/>
            </c:ext>
          </c:extLst>
        </c:ser>
        <c:dLbls>
          <c:showLegendKey val="0"/>
          <c:showVal val="0"/>
          <c:showCatName val="0"/>
          <c:showSerName val="0"/>
          <c:showPercent val="0"/>
          <c:showBubbleSize val="0"/>
        </c:dLbls>
        <c:gapWidth val="50"/>
        <c:axId val="278389056"/>
        <c:axId val="278391456"/>
      </c:barChart>
      <c:catAx>
        <c:axId val="278389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391456"/>
        <c:crosses val="autoZero"/>
        <c:auto val="1"/>
        <c:lblAlgn val="ctr"/>
        <c:lblOffset val="100"/>
        <c:noMultiLvlLbl val="0"/>
      </c:catAx>
      <c:valAx>
        <c:axId val="278391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389056"/>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[Europe Sales Records analysis.xlsx]Pivot Tables!PivotTable20</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baseline="0">
                <a:solidFill>
                  <a:schemeClr val="bg1"/>
                </a:solidFill>
                <a:latin typeface="Century Gothic" panose="020B0502020202020204" pitchFamily="34" charset="0"/>
              </a:rPr>
              <a:t>Units Sold by Item Type per Country</a:t>
            </a:r>
            <a:endParaRPr lang="en-US">
              <a:solidFill>
                <a:schemeClr val="bg1"/>
              </a:solidFill>
              <a:latin typeface="Century Gothic" panose="020B0502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Tables'!$BC$2:$BC$3</c:f>
              <c:strCache>
                <c:ptCount val="1"/>
                <c:pt idx="0">
                  <c:v>Croatia</c:v>
                </c:pt>
              </c:strCache>
            </c:strRef>
          </c:tx>
          <c:spPr>
            <a:solidFill>
              <a:schemeClr val="accent1"/>
            </a:solidFill>
            <a:ln>
              <a:noFill/>
            </a:ln>
            <a:effectLst/>
          </c:spPr>
          <c:invertIfNegative val="0"/>
          <c:cat>
            <c:strRef>
              <c:f>'Pivot Tables'!$BB$4:$BB$15</c:f>
              <c:strCache>
                <c:ptCount val="11"/>
                <c:pt idx="0">
                  <c:v>Snacks</c:v>
                </c:pt>
                <c:pt idx="1">
                  <c:v>Baby Food</c:v>
                </c:pt>
                <c:pt idx="2">
                  <c:v>Beverages</c:v>
                </c:pt>
                <c:pt idx="3">
                  <c:v>Cereal</c:v>
                </c:pt>
                <c:pt idx="4">
                  <c:v>Clothes</c:v>
                </c:pt>
                <c:pt idx="5">
                  <c:v>Cosmetics</c:v>
                </c:pt>
                <c:pt idx="6">
                  <c:v>Fruits</c:v>
                </c:pt>
                <c:pt idx="7">
                  <c:v>Household</c:v>
                </c:pt>
                <c:pt idx="8">
                  <c:v>Meat</c:v>
                </c:pt>
                <c:pt idx="9">
                  <c:v>Office Supplies</c:v>
                </c:pt>
                <c:pt idx="10">
                  <c:v>Personal Care</c:v>
                </c:pt>
              </c:strCache>
            </c:strRef>
          </c:cat>
          <c:val>
            <c:numRef>
              <c:f>'Pivot Tables'!$BC$4:$BC$15</c:f>
              <c:numCache>
                <c:formatCode>General</c:formatCode>
                <c:ptCount val="11"/>
                <c:pt idx="4">
                  <c:v>8841</c:v>
                </c:pt>
                <c:pt idx="7">
                  <c:v>1362</c:v>
                </c:pt>
              </c:numCache>
            </c:numRef>
          </c:val>
          <c:extLst>
            <c:ext xmlns:c16="http://schemas.microsoft.com/office/drawing/2014/chart" uri="{C3380CC4-5D6E-409C-BE32-E72D297353CC}">
              <c16:uniqueId val="{000000F3-7740-4EA6-8418-96D4CF83FDFF}"/>
            </c:ext>
          </c:extLst>
        </c:ser>
        <c:ser>
          <c:idx val="1"/>
          <c:order val="1"/>
          <c:tx>
            <c:strRef>
              <c:f>'Pivot Tables'!$BD$2:$BD$3</c:f>
              <c:strCache>
                <c:ptCount val="1"/>
                <c:pt idx="0">
                  <c:v>Cyprus</c:v>
                </c:pt>
              </c:strCache>
            </c:strRef>
          </c:tx>
          <c:spPr>
            <a:solidFill>
              <a:schemeClr val="accent2"/>
            </a:solidFill>
            <a:ln>
              <a:noFill/>
            </a:ln>
            <a:effectLst/>
          </c:spPr>
          <c:invertIfNegative val="0"/>
          <c:cat>
            <c:strRef>
              <c:f>'Pivot Tables'!$BB$4:$BB$15</c:f>
              <c:strCache>
                <c:ptCount val="11"/>
                <c:pt idx="0">
                  <c:v>Snacks</c:v>
                </c:pt>
                <c:pt idx="1">
                  <c:v>Baby Food</c:v>
                </c:pt>
                <c:pt idx="2">
                  <c:v>Beverages</c:v>
                </c:pt>
                <c:pt idx="3">
                  <c:v>Cereal</c:v>
                </c:pt>
                <c:pt idx="4">
                  <c:v>Clothes</c:v>
                </c:pt>
                <c:pt idx="5">
                  <c:v>Cosmetics</c:v>
                </c:pt>
                <c:pt idx="6">
                  <c:v>Fruits</c:v>
                </c:pt>
                <c:pt idx="7">
                  <c:v>Household</c:v>
                </c:pt>
                <c:pt idx="8">
                  <c:v>Meat</c:v>
                </c:pt>
                <c:pt idx="9">
                  <c:v>Office Supplies</c:v>
                </c:pt>
                <c:pt idx="10">
                  <c:v>Personal Care</c:v>
                </c:pt>
              </c:strCache>
            </c:strRef>
          </c:cat>
          <c:val>
            <c:numRef>
              <c:f>'Pivot Tables'!$BD$4:$BD$15</c:f>
              <c:numCache>
                <c:formatCode>General</c:formatCode>
                <c:ptCount val="11"/>
                <c:pt idx="1">
                  <c:v>153</c:v>
                </c:pt>
                <c:pt idx="8">
                  <c:v>4604</c:v>
                </c:pt>
              </c:numCache>
            </c:numRef>
          </c:val>
          <c:extLst>
            <c:ext xmlns:c16="http://schemas.microsoft.com/office/drawing/2014/chart" uri="{C3380CC4-5D6E-409C-BE32-E72D297353CC}">
              <c16:uniqueId val="{00000196-7740-4EA6-8418-96D4CF83FDFF}"/>
            </c:ext>
          </c:extLst>
        </c:ser>
        <c:ser>
          <c:idx val="2"/>
          <c:order val="2"/>
          <c:tx>
            <c:strRef>
              <c:f>'Pivot Tables'!$BE$2:$BE$3</c:f>
              <c:strCache>
                <c:ptCount val="1"/>
                <c:pt idx="0">
                  <c:v>Czech Republic</c:v>
                </c:pt>
              </c:strCache>
            </c:strRef>
          </c:tx>
          <c:spPr>
            <a:solidFill>
              <a:schemeClr val="accent3"/>
            </a:solidFill>
            <a:ln>
              <a:noFill/>
            </a:ln>
            <a:effectLst/>
          </c:spPr>
          <c:invertIfNegative val="0"/>
          <c:cat>
            <c:strRef>
              <c:f>'Pivot Tables'!$BB$4:$BB$15</c:f>
              <c:strCache>
                <c:ptCount val="11"/>
                <c:pt idx="0">
                  <c:v>Snacks</c:v>
                </c:pt>
                <c:pt idx="1">
                  <c:v>Baby Food</c:v>
                </c:pt>
                <c:pt idx="2">
                  <c:v>Beverages</c:v>
                </c:pt>
                <c:pt idx="3">
                  <c:v>Cereal</c:v>
                </c:pt>
                <c:pt idx="4">
                  <c:v>Clothes</c:v>
                </c:pt>
                <c:pt idx="5">
                  <c:v>Cosmetics</c:v>
                </c:pt>
                <c:pt idx="6">
                  <c:v>Fruits</c:v>
                </c:pt>
                <c:pt idx="7">
                  <c:v>Household</c:v>
                </c:pt>
                <c:pt idx="8">
                  <c:v>Meat</c:v>
                </c:pt>
                <c:pt idx="9">
                  <c:v>Office Supplies</c:v>
                </c:pt>
                <c:pt idx="10">
                  <c:v>Personal Care</c:v>
                </c:pt>
              </c:strCache>
            </c:strRef>
          </c:cat>
          <c:val>
            <c:numRef>
              <c:f>'Pivot Tables'!$BE$4:$BE$15</c:f>
              <c:numCache>
                <c:formatCode>General</c:formatCode>
                <c:ptCount val="11"/>
                <c:pt idx="1">
                  <c:v>6956</c:v>
                </c:pt>
              </c:numCache>
            </c:numRef>
          </c:val>
          <c:extLst>
            <c:ext xmlns:c16="http://schemas.microsoft.com/office/drawing/2014/chart" uri="{C3380CC4-5D6E-409C-BE32-E72D297353CC}">
              <c16:uniqueId val="{00000197-7740-4EA6-8418-96D4CF83FDFF}"/>
            </c:ext>
          </c:extLst>
        </c:ser>
        <c:ser>
          <c:idx val="3"/>
          <c:order val="3"/>
          <c:tx>
            <c:strRef>
              <c:f>'Pivot Tables'!$BF$2:$BF$3</c:f>
              <c:strCache>
                <c:ptCount val="1"/>
                <c:pt idx="0">
                  <c:v>Denmark</c:v>
                </c:pt>
              </c:strCache>
            </c:strRef>
          </c:tx>
          <c:spPr>
            <a:solidFill>
              <a:schemeClr val="accent4"/>
            </a:solidFill>
            <a:ln>
              <a:noFill/>
            </a:ln>
            <a:effectLst/>
          </c:spPr>
          <c:invertIfNegative val="0"/>
          <c:cat>
            <c:strRef>
              <c:f>'Pivot Tables'!$BB$4:$BB$15</c:f>
              <c:strCache>
                <c:ptCount val="11"/>
                <c:pt idx="0">
                  <c:v>Snacks</c:v>
                </c:pt>
                <c:pt idx="1">
                  <c:v>Baby Food</c:v>
                </c:pt>
                <c:pt idx="2">
                  <c:v>Beverages</c:v>
                </c:pt>
                <c:pt idx="3">
                  <c:v>Cereal</c:v>
                </c:pt>
                <c:pt idx="4">
                  <c:v>Clothes</c:v>
                </c:pt>
                <c:pt idx="5">
                  <c:v>Cosmetics</c:v>
                </c:pt>
                <c:pt idx="6">
                  <c:v>Fruits</c:v>
                </c:pt>
                <c:pt idx="7">
                  <c:v>Household</c:v>
                </c:pt>
                <c:pt idx="8">
                  <c:v>Meat</c:v>
                </c:pt>
                <c:pt idx="9">
                  <c:v>Office Supplies</c:v>
                </c:pt>
                <c:pt idx="10">
                  <c:v>Personal Care</c:v>
                </c:pt>
              </c:strCache>
            </c:strRef>
          </c:cat>
          <c:val>
            <c:numRef>
              <c:f>'Pivot Tables'!$BF$4:$BF$15</c:f>
              <c:numCache>
                <c:formatCode>General</c:formatCode>
                <c:ptCount val="11"/>
                <c:pt idx="1">
                  <c:v>1279</c:v>
                </c:pt>
                <c:pt idx="2">
                  <c:v>9276</c:v>
                </c:pt>
                <c:pt idx="10">
                  <c:v>8451</c:v>
                </c:pt>
              </c:numCache>
            </c:numRef>
          </c:val>
          <c:extLst>
            <c:ext xmlns:c16="http://schemas.microsoft.com/office/drawing/2014/chart" uri="{C3380CC4-5D6E-409C-BE32-E72D297353CC}">
              <c16:uniqueId val="{00000198-7740-4EA6-8418-96D4CF83FDFF}"/>
            </c:ext>
          </c:extLst>
        </c:ser>
        <c:ser>
          <c:idx val="4"/>
          <c:order val="4"/>
          <c:tx>
            <c:strRef>
              <c:f>'Pivot Tables'!$BG$2:$BG$3</c:f>
              <c:strCache>
                <c:ptCount val="1"/>
                <c:pt idx="0">
                  <c:v>Estonia</c:v>
                </c:pt>
              </c:strCache>
            </c:strRef>
          </c:tx>
          <c:spPr>
            <a:solidFill>
              <a:schemeClr val="accent5"/>
            </a:solidFill>
            <a:ln>
              <a:noFill/>
            </a:ln>
            <a:effectLst/>
          </c:spPr>
          <c:invertIfNegative val="0"/>
          <c:cat>
            <c:strRef>
              <c:f>'Pivot Tables'!$BB$4:$BB$15</c:f>
              <c:strCache>
                <c:ptCount val="11"/>
                <c:pt idx="0">
                  <c:v>Snacks</c:v>
                </c:pt>
                <c:pt idx="1">
                  <c:v>Baby Food</c:v>
                </c:pt>
                <c:pt idx="2">
                  <c:v>Beverages</c:v>
                </c:pt>
                <c:pt idx="3">
                  <c:v>Cereal</c:v>
                </c:pt>
                <c:pt idx="4">
                  <c:v>Clothes</c:v>
                </c:pt>
                <c:pt idx="5">
                  <c:v>Cosmetics</c:v>
                </c:pt>
                <c:pt idx="6">
                  <c:v>Fruits</c:v>
                </c:pt>
                <c:pt idx="7">
                  <c:v>Household</c:v>
                </c:pt>
                <c:pt idx="8">
                  <c:v>Meat</c:v>
                </c:pt>
                <c:pt idx="9">
                  <c:v>Office Supplies</c:v>
                </c:pt>
                <c:pt idx="10">
                  <c:v>Personal Care</c:v>
                </c:pt>
              </c:strCache>
            </c:strRef>
          </c:cat>
          <c:val>
            <c:numRef>
              <c:f>'Pivot Tables'!$BG$4:$BG$15</c:f>
              <c:numCache>
                <c:formatCode>General</c:formatCode>
                <c:ptCount val="11"/>
                <c:pt idx="2">
                  <c:v>19124</c:v>
                </c:pt>
                <c:pt idx="4">
                  <c:v>7270</c:v>
                </c:pt>
                <c:pt idx="6">
                  <c:v>4958</c:v>
                </c:pt>
                <c:pt idx="9">
                  <c:v>4339</c:v>
                </c:pt>
              </c:numCache>
            </c:numRef>
          </c:val>
          <c:extLst>
            <c:ext xmlns:c16="http://schemas.microsoft.com/office/drawing/2014/chart" uri="{C3380CC4-5D6E-409C-BE32-E72D297353CC}">
              <c16:uniqueId val="{00000199-7740-4EA6-8418-96D4CF83FDFF}"/>
            </c:ext>
          </c:extLst>
        </c:ser>
        <c:ser>
          <c:idx val="5"/>
          <c:order val="5"/>
          <c:tx>
            <c:strRef>
              <c:f>'Pivot Tables'!$BH$2:$BH$3</c:f>
              <c:strCache>
                <c:ptCount val="1"/>
                <c:pt idx="0">
                  <c:v>Finland</c:v>
                </c:pt>
              </c:strCache>
            </c:strRef>
          </c:tx>
          <c:spPr>
            <a:solidFill>
              <a:schemeClr val="accent6"/>
            </a:solidFill>
            <a:ln>
              <a:noFill/>
            </a:ln>
            <a:effectLst/>
          </c:spPr>
          <c:invertIfNegative val="0"/>
          <c:cat>
            <c:strRef>
              <c:f>'Pivot Tables'!$BB$4:$BB$15</c:f>
              <c:strCache>
                <c:ptCount val="11"/>
                <c:pt idx="0">
                  <c:v>Snacks</c:v>
                </c:pt>
                <c:pt idx="1">
                  <c:v>Baby Food</c:v>
                </c:pt>
                <c:pt idx="2">
                  <c:v>Beverages</c:v>
                </c:pt>
                <c:pt idx="3">
                  <c:v>Cereal</c:v>
                </c:pt>
                <c:pt idx="4">
                  <c:v>Clothes</c:v>
                </c:pt>
                <c:pt idx="5">
                  <c:v>Cosmetics</c:v>
                </c:pt>
                <c:pt idx="6">
                  <c:v>Fruits</c:v>
                </c:pt>
                <c:pt idx="7">
                  <c:v>Household</c:v>
                </c:pt>
                <c:pt idx="8">
                  <c:v>Meat</c:v>
                </c:pt>
                <c:pt idx="9">
                  <c:v>Office Supplies</c:v>
                </c:pt>
                <c:pt idx="10">
                  <c:v>Personal Care</c:v>
                </c:pt>
              </c:strCache>
            </c:strRef>
          </c:cat>
          <c:val>
            <c:numRef>
              <c:f>'Pivot Tables'!$BH$4:$BH$15</c:f>
              <c:numCache>
                <c:formatCode>General</c:formatCode>
                <c:ptCount val="11"/>
                <c:pt idx="6">
                  <c:v>54</c:v>
                </c:pt>
              </c:numCache>
            </c:numRef>
          </c:val>
          <c:extLst>
            <c:ext xmlns:c16="http://schemas.microsoft.com/office/drawing/2014/chart" uri="{C3380CC4-5D6E-409C-BE32-E72D297353CC}">
              <c16:uniqueId val="{0000019A-7740-4EA6-8418-96D4CF83FDFF}"/>
            </c:ext>
          </c:extLst>
        </c:ser>
        <c:ser>
          <c:idx val="6"/>
          <c:order val="6"/>
          <c:tx>
            <c:strRef>
              <c:f>'Pivot Tables'!$BI$2:$BI$3</c:f>
              <c:strCache>
                <c:ptCount val="1"/>
                <c:pt idx="0">
                  <c:v>France</c:v>
                </c:pt>
              </c:strCache>
            </c:strRef>
          </c:tx>
          <c:spPr>
            <a:solidFill>
              <a:schemeClr val="accent1">
                <a:lumMod val="60000"/>
              </a:schemeClr>
            </a:solidFill>
            <a:ln>
              <a:noFill/>
            </a:ln>
            <a:effectLst/>
          </c:spPr>
          <c:invertIfNegative val="0"/>
          <c:cat>
            <c:strRef>
              <c:f>'Pivot Tables'!$BB$4:$BB$15</c:f>
              <c:strCache>
                <c:ptCount val="11"/>
                <c:pt idx="0">
                  <c:v>Snacks</c:v>
                </c:pt>
                <c:pt idx="1">
                  <c:v>Baby Food</c:v>
                </c:pt>
                <c:pt idx="2">
                  <c:v>Beverages</c:v>
                </c:pt>
                <c:pt idx="3">
                  <c:v>Cereal</c:v>
                </c:pt>
                <c:pt idx="4">
                  <c:v>Clothes</c:v>
                </c:pt>
                <c:pt idx="5">
                  <c:v>Cosmetics</c:v>
                </c:pt>
                <c:pt idx="6">
                  <c:v>Fruits</c:v>
                </c:pt>
                <c:pt idx="7">
                  <c:v>Household</c:v>
                </c:pt>
                <c:pt idx="8">
                  <c:v>Meat</c:v>
                </c:pt>
                <c:pt idx="9">
                  <c:v>Office Supplies</c:v>
                </c:pt>
                <c:pt idx="10">
                  <c:v>Personal Care</c:v>
                </c:pt>
              </c:strCache>
            </c:strRef>
          </c:cat>
          <c:val>
            <c:numRef>
              <c:f>'Pivot Tables'!$BI$4:$BI$15</c:f>
              <c:numCache>
                <c:formatCode>General</c:formatCode>
                <c:ptCount val="11"/>
                <c:pt idx="0">
                  <c:v>8538</c:v>
                </c:pt>
                <c:pt idx="3">
                  <c:v>8993</c:v>
                </c:pt>
                <c:pt idx="5">
                  <c:v>6078</c:v>
                </c:pt>
              </c:numCache>
            </c:numRef>
          </c:val>
          <c:extLst>
            <c:ext xmlns:c16="http://schemas.microsoft.com/office/drawing/2014/chart" uri="{C3380CC4-5D6E-409C-BE32-E72D297353CC}">
              <c16:uniqueId val="{0000019B-7740-4EA6-8418-96D4CF83FDFF}"/>
            </c:ext>
          </c:extLst>
        </c:ser>
        <c:ser>
          <c:idx val="7"/>
          <c:order val="7"/>
          <c:tx>
            <c:strRef>
              <c:f>'Pivot Tables'!$BJ$2:$BJ$3</c:f>
              <c:strCache>
                <c:ptCount val="1"/>
                <c:pt idx="0">
                  <c:v>Georgia</c:v>
                </c:pt>
              </c:strCache>
            </c:strRef>
          </c:tx>
          <c:spPr>
            <a:solidFill>
              <a:schemeClr val="accent2">
                <a:lumMod val="60000"/>
              </a:schemeClr>
            </a:solidFill>
            <a:ln>
              <a:noFill/>
            </a:ln>
            <a:effectLst/>
          </c:spPr>
          <c:invertIfNegative val="0"/>
          <c:cat>
            <c:strRef>
              <c:f>'Pivot Tables'!$BB$4:$BB$15</c:f>
              <c:strCache>
                <c:ptCount val="11"/>
                <c:pt idx="0">
                  <c:v>Snacks</c:v>
                </c:pt>
                <c:pt idx="1">
                  <c:v>Baby Food</c:v>
                </c:pt>
                <c:pt idx="2">
                  <c:v>Beverages</c:v>
                </c:pt>
                <c:pt idx="3">
                  <c:v>Cereal</c:v>
                </c:pt>
                <c:pt idx="4">
                  <c:v>Clothes</c:v>
                </c:pt>
                <c:pt idx="5">
                  <c:v>Cosmetics</c:v>
                </c:pt>
                <c:pt idx="6">
                  <c:v>Fruits</c:v>
                </c:pt>
                <c:pt idx="7">
                  <c:v>Household</c:v>
                </c:pt>
                <c:pt idx="8">
                  <c:v>Meat</c:v>
                </c:pt>
                <c:pt idx="9">
                  <c:v>Office Supplies</c:v>
                </c:pt>
                <c:pt idx="10">
                  <c:v>Personal Care</c:v>
                </c:pt>
              </c:strCache>
            </c:strRef>
          </c:cat>
          <c:val>
            <c:numRef>
              <c:f>'Pivot Tables'!$BJ$4:$BJ$15</c:f>
              <c:numCache>
                <c:formatCode>General</c:formatCode>
                <c:ptCount val="11"/>
                <c:pt idx="3">
                  <c:v>5972</c:v>
                </c:pt>
                <c:pt idx="6">
                  <c:v>1775</c:v>
                </c:pt>
              </c:numCache>
            </c:numRef>
          </c:val>
          <c:extLst>
            <c:ext xmlns:c16="http://schemas.microsoft.com/office/drawing/2014/chart" uri="{C3380CC4-5D6E-409C-BE32-E72D297353CC}">
              <c16:uniqueId val="{0000019C-7740-4EA6-8418-96D4CF83FDFF}"/>
            </c:ext>
          </c:extLst>
        </c:ser>
        <c:ser>
          <c:idx val="8"/>
          <c:order val="8"/>
          <c:tx>
            <c:strRef>
              <c:f>'Pivot Tables'!$BK$2:$BK$3</c:f>
              <c:strCache>
                <c:ptCount val="1"/>
                <c:pt idx="0">
                  <c:v>Germany</c:v>
                </c:pt>
              </c:strCache>
            </c:strRef>
          </c:tx>
          <c:spPr>
            <a:solidFill>
              <a:schemeClr val="accent3">
                <a:lumMod val="60000"/>
              </a:schemeClr>
            </a:solidFill>
            <a:ln>
              <a:noFill/>
            </a:ln>
            <a:effectLst/>
          </c:spPr>
          <c:invertIfNegative val="0"/>
          <c:cat>
            <c:strRef>
              <c:f>'Pivot Tables'!$BB$4:$BB$15</c:f>
              <c:strCache>
                <c:ptCount val="11"/>
                <c:pt idx="0">
                  <c:v>Snacks</c:v>
                </c:pt>
                <c:pt idx="1">
                  <c:v>Baby Food</c:v>
                </c:pt>
                <c:pt idx="2">
                  <c:v>Beverages</c:v>
                </c:pt>
                <c:pt idx="3">
                  <c:v>Cereal</c:v>
                </c:pt>
                <c:pt idx="4">
                  <c:v>Clothes</c:v>
                </c:pt>
                <c:pt idx="5">
                  <c:v>Cosmetics</c:v>
                </c:pt>
                <c:pt idx="6">
                  <c:v>Fruits</c:v>
                </c:pt>
                <c:pt idx="7">
                  <c:v>Household</c:v>
                </c:pt>
                <c:pt idx="8">
                  <c:v>Meat</c:v>
                </c:pt>
                <c:pt idx="9">
                  <c:v>Office Supplies</c:v>
                </c:pt>
                <c:pt idx="10">
                  <c:v>Personal Care</c:v>
                </c:pt>
              </c:strCache>
            </c:strRef>
          </c:cat>
          <c:val>
            <c:numRef>
              <c:f>'Pivot Tables'!$BK$4:$BK$15</c:f>
              <c:numCache>
                <c:formatCode>General</c:formatCode>
                <c:ptCount val="11"/>
                <c:pt idx="3">
                  <c:v>3867</c:v>
                </c:pt>
                <c:pt idx="7">
                  <c:v>5933</c:v>
                </c:pt>
                <c:pt idx="10">
                  <c:v>8702</c:v>
                </c:pt>
              </c:numCache>
            </c:numRef>
          </c:val>
          <c:extLst>
            <c:ext xmlns:c16="http://schemas.microsoft.com/office/drawing/2014/chart" uri="{C3380CC4-5D6E-409C-BE32-E72D297353CC}">
              <c16:uniqueId val="{0000019D-7740-4EA6-8418-96D4CF83FDFF}"/>
            </c:ext>
          </c:extLst>
        </c:ser>
        <c:dLbls>
          <c:showLegendKey val="0"/>
          <c:showVal val="0"/>
          <c:showCatName val="0"/>
          <c:showSerName val="0"/>
          <c:showPercent val="0"/>
          <c:showBubbleSize val="0"/>
        </c:dLbls>
        <c:gapWidth val="30"/>
        <c:axId val="371989232"/>
        <c:axId val="371981072"/>
      </c:barChart>
      <c:catAx>
        <c:axId val="371989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981072"/>
        <c:crosses val="autoZero"/>
        <c:auto val="1"/>
        <c:lblAlgn val="ctr"/>
        <c:lblOffset val="100"/>
        <c:noMultiLvlLbl val="0"/>
      </c:catAx>
      <c:valAx>
        <c:axId val="3719810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989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[Europe Sales Records analysis.xlsx]Pivot Tables!PivotTable3</c:name>
    <c:fmtId val="1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baseline="0">
                <a:solidFill>
                  <a:schemeClr val="bg1"/>
                </a:solidFill>
                <a:latin typeface="Century Gothic" panose="020B0502020202020204" pitchFamily="34" charset="0"/>
              </a:rPr>
              <a:t>Sales Channel Comparison by Item Type</a:t>
            </a:r>
            <a:endParaRPr lang="en-US">
              <a:solidFill>
                <a:schemeClr val="bg1"/>
              </a:solidFill>
              <a:latin typeface="Century Gothic" panose="020B0502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Tables'!$AR$2:$AR$3</c:f>
              <c:strCache>
                <c:ptCount val="1"/>
                <c:pt idx="0">
                  <c:v>Offline</c:v>
                </c:pt>
              </c:strCache>
            </c:strRef>
          </c:tx>
          <c:spPr>
            <a:solidFill>
              <a:schemeClr val="accent1"/>
            </a:solidFill>
            <a:ln>
              <a:noFill/>
            </a:ln>
            <a:effectLst/>
          </c:spPr>
          <c:invertIfNegative val="0"/>
          <c:cat>
            <c:strRef>
              <c:f>'Pivot Tables'!$AQ$4:$AQ$15</c:f>
              <c:strCache>
                <c:ptCount val="11"/>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strCache>
            </c:strRef>
          </c:cat>
          <c:val>
            <c:numRef>
              <c:f>'Pivot Tables'!$AR$4:$AR$15</c:f>
              <c:numCache>
                <c:formatCode>General</c:formatCode>
                <c:ptCount val="11"/>
                <c:pt idx="1">
                  <c:v>390133.9</c:v>
                </c:pt>
                <c:pt idx="2">
                  <c:v>3873742.4</c:v>
                </c:pt>
                <c:pt idx="3">
                  <c:v>794465.6</c:v>
                </c:pt>
                <c:pt idx="5">
                  <c:v>503.82</c:v>
                </c:pt>
                <c:pt idx="6">
                  <c:v>3964845.91</c:v>
                </c:pt>
                <c:pt idx="8">
                  <c:v>2825600.19</c:v>
                </c:pt>
                <c:pt idx="9">
                  <c:v>711214.46</c:v>
                </c:pt>
                <c:pt idx="10">
                  <c:v>1302728.04</c:v>
                </c:pt>
              </c:numCache>
            </c:numRef>
          </c:val>
          <c:extLst>
            <c:ext xmlns:c16="http://schemas.microsoft.com/office/drawing/2014/chart" uri="{C3380CC4-5D6E-409C-BE32-E72D297353CC}">
              <c16:uniqueId val="{00000030-CA3F-47A3-A03F-849D7BC4BF06}"/>
            </c:ext>
          </c:extLst>
        </c:ser>
        <c:ser>
          <c:idx val="1"/>
          <c:order val="1"/>
          <c:tx>
            <c:strRef>
              <c:f>'Pivot Tables'!$AS$2:$AS$3</c:f>
              <c:strCache>
                <c:ptCount val="1"/>
                <c:pt idx="0">
                  <c:v>Online</c:v>
                </c:pt>
              </c:strCache>
            </c:strRef>
          </c:tx>
          <c:spPr>
            <a:solidFill>
              <a:schemeClr val="accent2"/>
            </a:solidFill>
            <a:ln>
              <a:noFill/>
            </a:ln>
            <a:effectLst/>
          </c:spPr>
          <c:invertIfNegative val="0"/>
          <c:cat>
            <c:strRef>
              <c:f>'Pivot Tables'!$AQ$4:$AQ$15</c:f>
              <c:strCache>
                <c:ptCount val="11"/>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strCache>
            </c:strRef>
          </c:cat>
          <c:val>
            <c:numRef>
              <c:f>'Pivot Tables'!$AS$4:$AS$15</c:f>
              <c:numCache>
                <c:formatCode>General</c:formatCode>
                <c:ptCount val="11"/>
                <c:pt idx="0">
                  <c:v>2141288.64</c:v>
                </c:pt>
                <c:pt idx="1">
                  <c:v>957446.1</c:v>
                </c:pt>
                <c:pt idx="3">
                  <c:v>966144.48</c:v>
                </c:pt>
                <c:pt idx="4">
                  <c:v>2657301.6</c:v>
                </c:pt>
                <c:pt idx="5">
                  <c:v>62818.89</c:v>
                </c:pt>
                <c:pt idx="6">
                  <c:v>910183.74</c:v>
                </c:pt>
                <c:pt idx="7">
                  <c:v>1942381.56</c:v>
                </c:pt>
                <c:pt idx="9">
                  <c:v>690700.23</c:v>
                </c:pt>
              </c:numCache>
            </c:numRef>
          </c:val>
          <c:extLst>
            <c:ext xmlns:c16="http://schemas.microsoft.com/office/drawing/2014/chart" uri="{C3380CC4-5D6E-409C-BE32-E72D297353CC}">
              <c16:uniqueId val="{00000034-CA3F-47A3-A03F-849D7BC4BF06}"/>
            </c:ext>
          </c:extLst>
        </c:ser>
        <c:dLbls>
          <c:showLegendKey val="0"/>
          <c:showVal val="0"/>
          <c:showCatName val="0"/>
          <c:showSerName val="0"/>
          <c:showPercent val="0"/>
          <c:showBubbleSize val="0"/>
        </c:dLbls>
        <c:gapWidth val="50"/>
        <c:axId val="304830688"/>
        <c:axId val="304824928"/>
      </c:barChart>
      <c:catAx>
        <c:axId val="304830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824928"/>
        <c:crosses val="autoZero"/>
        <c:auto val="1"/>
        <c:lblAlgn val="ctr"/>
        <c:lblOffset val="100"/>
        <c:noMultiLvlLbl val="0"/>
      </c:catAx>
      <c:valAx>
        <c:axId val="304824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Revenue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830688"/>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[Europe Sales Records analysis.xlsx]Pivot Tables!PivotTable27</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Shipping Time by Priority</a:t>
            </a:r>
          </a:p>
        </c:rich>
      </c:tx>
      <c:layout>
        <c:manualLayout>
          <c:xMode val="edge"/>
          <c:yMode val="edge"/>
          <c:x val="0.25205324393610729"/>
          <c:y val="4.883015258076968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
        <c:dLbl>
          <c:idx val="0"/>
          <c:layout>
            <c:manualLayout>
              <c:x val="4.3992641398924094E-2"/>
              <c:y val="-4.519769397218891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8"/>
        <c:dLbl>
          <c:idx val="0"/>
          <c:layout>
            <c:manualLayout>
              <c:x val="3.4548734736886078E-2"/>
              <c:y val="-1.098567755123003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9"/>
        <c:dLbl>
          <c:idx val="0"/>
          <c:layout>
            <c:manualLayout>
              <c:x val="-6.3334245654527263E-2"/>
              <c:y val="-7.3354909564944143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10"/>
        <c:dLbl>
          <c:idx val="0"/>
          <c:layout>
            <c:manualLayout>
              <c:x val="-3.5211846115506179E-2"/>
              <c:y val="1.153325026406383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1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2"/>
        <c:dLbl>
          <c:idx val="0"/>
          <c:layout>
            <c:manualLayout>
              <c:x val="4.3992641398924094E-2"/>
              <c:y val="-4.519769397218891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13"/>
        <c:dLbl>
          <c:idx val="0"/>
          <c:layout>
            <c:manualLayout>
              <c:x val="3.4548734736886078E-2"/>
              <c:y val="-1.098567755123003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14"/>
        <c:dLbl>
          <c:idx val="0"/>
          <c:layout>
            <c:manualLayout>
              <c:x val="-6.3334245654527263E-2"/>
              <c:y val="-7.3354909564944143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15"/>
        <c:dLbl>
          <c:idx val="0"/>
          <c:layout>
            <c:manualLayout>
              <c:x val="-3.5211846115506179E-2"/>
              <c:y val="1.153325026406383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1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7"/>
        <c:dLbl>
          <c:idx val="0"/>
          <c:layout>
            <c:manualLayout>
              <c:x val="4.3992641398924094E-2"/>
              <c:y val="-4.519769397218891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18"/>
        <c:dLbl>
          <c:idx val="0"/>
          <c:layout>
            <c:manualLayout>
              <c:x val="3.4548734736886078E-2"/>
              <c:y val="-1.098567755123003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19"/>
        <c:dLbl>
          <c:idx val="0"/>
          <c:layout>
            <c:manualLayout>
              <c:x val="-6.3334245654527263E-2"/>
              <c:y val="-7.3354909564944143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20"/>
        <c:dLbl>
          <c:idx val="0"/>
          <c:layout>
            <c:manualLayout>
              <c:x val="-3.5211846115506179E-2"/>
              <c:y val="1.153325026406383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2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2"/>
        <c:dLbl>
          <c:idx val="0"/>
          <c:layout>
            <c:manualLayout>
              <c:x val="4.3992641398924094E-2"/>
              <c:y val="-4.519769397218891E-2"/>
            </c:manualLayout>
          </c:layout>
          <c:tx>
            <c:rich>
              <a:bodyPr/>
              <a:lstStyle/>
              <a:p>
                <a:fld id="{4DFD6A58-7E5B-4652-BB9A-A737C71A4E3C}" type="PERCENTAGE">
                  <a:rPr lang="en-US" b="0" cap="none" spc="0">
                    <a:ln w="0"/>
                    <a:solidFill>
                      <a:schemeClr val="bg1"/>
                    </a:solidFill>
                    <a:effectLst>
                      <a:outerShdw blurRad="38100" dist="25400" dir="5400000" algn="ctr" rotWithShape="0">
                        <a:srgbClr val="6E747A">
                          <a:alpha val="43000"/>
                        </a:srgbClr>
                      </a:outerShdw>
                    </a:effectLst>
                  </a:rPr>
                  <a:pPr/>
                  <a:t>[PERCENTAGE]</a:t>
                </a:fld>
                <a:endParaRPr lang="en-US"/>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3"/>
        <c:dLbl>
          <c:idx val="0"/>
          <c:layout>
            <c:manualLayout>
              <c:x val="3.4548734736886078E-2"/>
              <c:y val="-1.098567755123003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24"/>
        <c:dLbl>
          <c:idx val="0"/>
          <c:layout>
            <c:manualLayout>
              <c:x val="-6.3334245654527263E-2"/>
              <c:y val="-7.3354909564944143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25"/>
        <c:dLbl>
          <c:idx val="0"/>
          <c:layout>
            <c:manualLayout>
              <c:x val="-3.5211846115506179E-2"/>
              <c:y val="1.153325026406383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2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7"/>
        <c:dLbl>
          <c:idx val="0"/>
          <c:layout>
            <c:manualLayout>
              <c:x val="4.3992641398924094E-2"/>
              <c:y val="-4.519769397218891E-2"/>
            </c:manualLayout>
          </c:layout>
          <c:tx>
            <c:rich>
              <a:bodyPr/>
              <a:lstStyle/>
              <a:p>
                <a:fld id="{4DFD6A58-7E5B-4652-BB9A-A737C71A4E3C}" type="PERCENTAGE">
                  <a:rPr lang="en-US" b="0" cap="none" spc="0">
                    <a:ln w="0"/>
                    <a:solidFill>
                      <a:schemeClr val="bg1"/>
                    </a:solidFill>
                    <a:effectLst>
                      <a:outerShdw blurRad="38100" dist="25400" dir="5400000" algn="ctr" rotWithShape="0">
                        <a:srgbClr val="6E747A">
                          <a:alpha val="43000"/>
                        </a:srgbClr>
                      </a:outerShdw>
                    </a:effectLst>
                  </a:rPr>
                  <a:pPr/>
                  <a:t>[PERCENTAGE]</a:t>
                </a:fld>
                <a:endParaRPr lang="en-US"/>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8"/>
        <c:dLbl>
          <c:idx val="0"/>
          <c:layout>
            <c:manualLayout>
              <c:x val="3.4548734736886078E-2"/>
              <c:y val="-1.098567755123003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29"/>
        <c:dLbl>
          <c:idx val="0"/>
          <c:layout>
            <c:manualLayout>
              <c:x val="-6.3334245654527263E-2"/>
              <c:y val="-7.3354909564944143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30"/>
        <c:dLbl>
          <c:idx val="0"/>
          <c:layout>
            <c:manualLayout>
              <c:x val="-3.5211846115506179E-2"/>
              <c:y val="1.153325026406383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3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2"/>
        <c:dLbl>
          <c:idx val="0"/>
          <c:layout>
            <c:manualLayout>
              <c:x val="4.3992641398924094E-2"/>
              <c:y val="-4.519769397218891E-2"/>
            </c:manualLayout>
          </c:layout>
          <c:tx>
            <c:rich>
              <a:bodyPr/>
              <a:lstStyle/>
              <a:p>
                <a:fld id="{4DFD6A58-7E5B-4652-BB9A-A737C71A4E3C}" type="PERCENTAGE">
                  <a:rPr lang="en-US" b="0" cap="none" spc="0">
                    <a:ln w="0"/>
                    <a:solidFill>
                      <a:schemeClr val="bg1"/>
                    </a:solidFill>
                    <a:effectLst>
                      <a:outerShdw blurRad="38100" dist="25400" dir="5400000" algn="ctr" rotWithShape="0">
                        <a:srgbClr val="6E747A">
                          <a:alpha val="43000"/>
                        </a:srgbClr>
                      </a:outerShdw>
                    </a:effectLst>
                  </a:rPr>
                  <a:pPr/>
                  <a:t>[PERCENTAGE]</a:t>
                </a:fld>
                <a:endParaRPr lang="en-US"/>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33"/>
        <c:dLbl>
          <c:idx val="0"/>
          <c:layout>
            <c:manualLayout>
              <c:x val="3.4548734736886078E-2"/>
              <c:y val="-1.098567755123003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34"/>
        <c:dLbl>
          <c:idx val="0"/>
          <c:layout>
            <c:manualLayout>
              <c:x val="-6.3334245654527263E-2"/>
              <c:y val="-7.3354909564944143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35"/>
        <c:dLbl>
          <c:idx val="0"/>
          <c:layout>
            <c:manualLayout>
              <c:x val="-3.5211846115506179E-2"/>
              <c:y val="1.153325026406383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3"/>
          </a:solidFill>
          <a:ln w="19050">
            <a:solidFill>
              <a:schemeClr val="lt1"/>
            </a:solidFill>
          </a:ln>
          <a:effectLst/>
        </c:spPr>
        <c:dLbl>
          <c:idx val="0"/>
          <c:layout>
            <c:manualLayout>
              <c:x val="9.7575581562539482E-2"/>
              <c:y val="9.7396820722362304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9E4F116-A072-4902-A8A5-B9F7313828C6}" type="PERCENTAGE">
                  <a:rPr lang="en-US">
                    <a:solidFill>
                      <a:schemeClr val="bg1"/>
                    </a:solidFill>
                  </a:rPr>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38"/>
        <c:spPr>
          <a:solidFill>
            <a:schemeClr val="accent1"/>
          </a:solidFill>
          <a:ln w="19050">
            <a:solidFill>
              <a:schemeClr val="lt1"/>
            </a:solidFill>
          </a:ln>
          <a:effectLst/>
        </c:spPr>
        <c:dLbl>
          <c:idx val="0"/>
          <c:layout>
            <c:manualLayout>
              <c:x val="-0.12514625917927993"/>
              <c:y val="4.8129067758905962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20BB3D1-A2B7-4D77-86C1-6E3CB38103B7}" type="PERCENTAGE">
                  <a:rPr lang="en-US">
                    <a:solidFill>
                      <a:schemeClr val="bg1"/>
                    </a:solidFill>
                  </a:rPr>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39"/>
        <c:spPr>
          <a:solidFill>
            <a:schemeClr val="accent1"/>
          </a:solidFill>
          <a:ln w="19050">
            <a:solidFill>
              <a:schemeClr val="lt1"/>
            </a:solidFill>
          </a:ln>
          <a:effectLst/>
        </c:spPr>
        <c:dLbl>
          <c:idx val="0"/>
          <c:layout>
            <c:manualLayout>
              <c:x val="-9.9818484060263113E-2"/>
              <c:y val="-9.5517987654112069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1BA0BE3-188B-4283-A252-D622979BC19F}" type="PERCENTAGE">
                  <a:rPr lang="en-US">
                    <a:solidFill>
                      <a:schemeClr val="bg1"/>
                    </a:solidFill>
                  </a:rPr>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40"/>
        <c:spPr>
          <a:solidFill>
            <a:schemeClr val="accent1"/>
          </a:solidFill>
          <a:ln w="19050">
            <a:solidFill>
              <a:schemeClr val="lt1"/>
            </a:solidFill>
          </a:ln>
          <a:effectLst/>
        </c:spPr>
        <c:dLbl>
          <c:idx val="0"/>
          <c:layout>
            <c:manualLayout>
              <c:x val="0.14232190194820704"/>
              <c:y val="4.364908797244251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285E5CA-73AF-4E62-94CC-297473B26767}" type="PERCENTAGE">
                  <a:rPr lang="en-US">
                    <a:solidFill>
                      <a:schemeClr val="bg1"/>
                    </a:solidFill>
                  </a:rPr>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'Pivot Tables'!$AL$2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3"/>
              </a:solidFill>
              <a:ln w="19050">
                <a:solidFill>
                  <a:schemeClr val="lt1"/>
                </a:solidFill>
              </a:ln>
              <a:effectLst/>
            </c:spPr>
          </c:dPt>
          <c:dPt>
            <c:idx val="2"/>
            <c:bubble3D val="0"/>
            <c:spPr>
              <a:solidFill>
                <a:schemeClr val="accent5"/>
              </a:solidFill>
              <a:ln w="19050">
                <a:solidFill>
                  <a:schemeClr val="lt1"/>
                </a:solidFill>
              </a:ln>
              <a:effectLst/>
            </c:spPr>
          </c:dPt>
          <c:dPt>
            <c:idx val="3"/>
            <c:bubble3D val="0"/>
            <c:spPr>
              <a:solidFill>
                <a:schemeClr val="accent1">
                  <a:lumMod val="60000"/>
                </a:schemeClr>
              </a:solidFill>
              <a:ln w="19050">
                <a:solidFill>
                  <a:schemeClr val="lt1"/>
                </a:solidFill>
              </a:ln>
              <a:effectLst/>
            </c:spPr>
          </c:dPt>
          <c:dLbls>
            <c:dLbl>
              <c:idx val="0"/>
              <c:layout>
                <c:manualLayout>
                  <c:x val="0.14232190194820704"/>
                  <c:y val="4.3649087972442512E-2"/>
                </c:manualLayout>
              </c:layout>
              <c:tx>
                <c:rich>
                  <a:bodyPr/>
                  <a:lstStyle/>
                  <a:p>
                    <a:fld id="{A285E5CA-73AF-4E62-94CC-297473B26767}" type="PERCENTAGE">
                      <a:rPr lang="en-US">
                        <a:solidFill>
                          <a:schemeClr val="bg1"/>
                        </a:solidFill>
                      </a:rPr>
                      <a:pPr/>
                      <a:t>[PERCENTAGE]</a:t>
                    </a:fld>
                    <a:endParaRPr lang="en-US"/>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dLbl>
              <c:idx val="1"/>
              <c:layout>
                <c:manualLayout>
                  <c:x val="9.7575581562539482E-2"/>
                  <c:y val="9.7396820722362304E-3"/>
                </c:manualLayout>
              </c:layout>
              <c:tx>
                <c:rich>
                  <a:bodyPr/>
                  <a:lstStyle/>
                  <a:p>
                    <a:fld id="{49E4F116-A072-4902-A8A5-B9F7313828C6}" type="PERCENTAGE">
                      <a:rPr lang="en-US">
                        <a:solidFill>
                          <a:schemeClr val="bg1"/>
                        </a:solidFill>
                      </a:rPr>
                      <a:pPr/>
                      <a:t>[PERCENTAGE]</a:t>
                    </a:fld>
                    <a:endParaRPr lang="en-US"/>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Lst>
            </c:dLbl>
            <c:dLbl>
              <c:idx val="2"/>
              <c:layout>
                <c:manualLayout>
                  <c:x val="-0.12514625917927993"/>
                  <c:y val="4.8129067758905962E-3"/>
                </c:manualLayout>
              </c:layout>
              <c:tx>
                <c:rich>
                  <a:bodyPr/>
                  <a:lstStyle/>
                  <a:p>
                    <a:fld id="{420BB3D1-A2B7-4D77-86C1-6E3CB38103B7}" type="PERCENTAGE">
                      <a:rPr lang="en-US">
                        <a:solidFill>
                          <a:schemeClr val="bg1"/>
                        </a:solidFill>
                      </a:rPr>
                      <a:pPr/>
                      <a:t>[PERCENTAGE]</a:t>
                    </a:fld>
                    <a:endParaRPr lang="en-US"/>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Lst>
            </c:dLbl>
            <c:dLbl>
              <c:idx val="3"/>
              <c:layout>
                <c:manualLayout>
                  <c:x val="-9.9818484060263113E-2"/>
                  <c:y val="-9.5517987654112069E-3"/>
                </c:manualLayout>
              </c:layout>
              <c:tx>
                <c:rich>
                  <a:bodyPr/>
                  <a:lstStyle/>
                  <a:p>
                    <a:fld id="{71BA0BE3-188B-4283-A252-D622979BC19F}" type="PERCENTAGE">
                      <a:rPr lang="en-US">
                        <a:solidFill>
                          <a:schemeClr val="bg1"/>
                        </a:solidFill>
                      </a:rPr>
                      <a:pPr/>
                      <a:t>[PERCENTAGE]</a:t>
                    </a:fld>
                    <a:endParaRPr lang="en-US"/>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Tables'!$AK$3:$AK$7</c:f>
              <c:strCache>
                <c:ptCount val="4"/>
                <c:pt idx="0">
                  <c:v>C</c:v>
                </c:pt>
                <c:pt idx="1">
                  <c:v>H</c:v>
                </c:pt>
                <c:pt idx="2">
                  <c:v>L</c:v>
                </c:pt>
                <c:pt idx="3">
                  <c:v>M</c:v>
                </c:pt>
              </c:strCache>
            </c:strRef>
          </c:cat>
          <c:val>
            <c:numRef>
              <c:f>'Pivot Tables'!$AL$3:$AL$7</c:f>
              <c:numCache>
                <c:formatCode>General</c:formatCode>
                <c:ptCount val="4"/>
                <c:pt idx="0">
                  <c:v>56</c:v>
                </c:pt>
                <c:pt idx="1">
                  <c:v>129</c:v>
                </c:pt>
                <c:pt idx="2">
                  <c:v>124</c:v>
                </c:pt>
                <c:pt idx="3">
                  <c:v>268</c:v>
                </c:pt>
              </c:numCache>
            </c:numRef>
          </c:val>
          <c:extLst>
            <c:ext xmlns:c16="http://schemas.microsoft.com/office/drawing/2014/chart" uri="{C3380CC4-5D6E-409C-BE32-E72D297353CC}">
              <c16:uniqueId val="{0000002A-4DA8-4399-AFF7-0C5CB80AE5F8}"/>
            </c:ext>
          </c:extLst>
        </c:ser>
        <c:dLbls>
          <c:showLegendKey val="0"/>
          <c:showVal val="0"/>
          <c:showCatName val="0"/>
          <c:showSerName val="0"/>
          <c:showPercent val="1"/>
          <c:showBubbleSize val="0"/>
          <c:showLeaderLines val="1"/>
        </c:dLbls>
        <c:firstSliceAng val="0"/>
        <c:holeSize val="67"/>
      </c:doughnutChart>
      <c:spPr>
        <a:noFill/>
        <a:ln>
          <a:noFill/>
        </a:ln>
        <a:effectLst/>
      </c:spPr>
    </c:plotArea>
    <c:legend>
      <c:legendPos val="t"/>
      <c:layout>
        <c:manualLayout>
          <c:xMode val="edge"/>
          <c:yMode val="edge"/>
          <c:x val="0.28790140011831983"/>
          <c:y val="0.16904998823462464"/>
          <c:w val="0.20741962494669344"/>
          <c:h val="7.872031101123463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[Europe Sales Records analysis.xlsx]Pivot Tables!PivotTable28</c:name>
    <c:fmtId val="36"/>
  </c:pivotSource>
  <c:chart>
    <c:title>
      <c:tx>
        <c:rich>
          <a:bodyPr rot="0" spcFirstLastPara="1" vertOverflow="ellipsis" vert="horz" wrap="square" anchor="ctr" anchorCtr="1"/>
          <a:lstStyle/>
          <a:p>
            <a:pPr>
              <a:defRPr sz="1400" b="0" i="0" u="none" strike="noStrike" kern="1200" spc="0" baseline="0">
                <a:solidFill>
                  <a:schemeClr val="bg1"/>
                </a:solidFill>
                <a:latin typeface="Century Gothic" panose="020B0502020202020204" pitchFamily="34" charset="0"/>
                <a:ea typeface="+mn-ea"/>
                <a:cs typeface="+mn-cs"/>
              </a:defRPr>
            </a:pPr>
            <a:r>
              <a:rPr lang="en-US" sz="1400" b="0" i="0" u="none" strike="noStrike" baseline="0">
                <a:solidFill>
                  <a:schemeClr val="bg1"/>
                </a:solidFill>
                <a:latin typeface="Century Gothic" panose="020B0502020202020204" pitchFamily="34" charset="0"/>
              </a:rPr>
              <a:t>Revenue, Cost &amp; Profit by Product.</a:t>
            </a:r>
            <a:endParaRPr lang="en-US">
              <a:solidFill>
                <a:schemeClr val="bg1"/>
              </a:solidFill>
              <a:latin typeface="Century Gothic" panose="020B0502020202020204" pitchFamily="34" charset="0"/>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 Tables'!$AG$2</c:f>
              <c:strCache>
                <c:ptCount val="1"/>
                <c:pt idx="0">
                  <c:v>Sum of Total Profit</c:v>
                </c:pt>
              </c:strCache>
            </c:strRef>
          </c:tx>
          <c:spPr>
            <a:solidFill>
              <a:schemeClr val="accent1"/>
            </a:solidFill>
            <a:ln>
              <a:noFill/>
            </a:ln>
            <a:effectLst/>
          </c:spPr>
          <c:invertIfNegative val="0"/>
          <c:cat>
            <c:strRef>
              <c:f>'Pivot Tables'!$AF$3:$AF$14</c:f>
              <c:strCache>
                <c:ptCount val="11"/>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strCache>
            </c:strRef>
          </c:cat>
          <c:val>
            <c:numRef>
              <c:f>'Pivot Tables'!$AG$3:$AG$14</c:f>
              <c:numCache>
                <c:formatCode>General</c:formatCode>
                <c:ptCount val="11"/>
                <c:pt idx="0">
                  <c:v>804073.68</c:v>
                </c:pt>
                <c:pt idx="1">
                  <c:v>444744</c:v>
                </c:pt>
                <c:pt idx="2">
                  <c:v>1668326.88</c:v>
                </c:pt>
                <c:pt idx="3">
                  <c:v>1183191.8400000001</c:v>
                </c:pt>
                <c:pt idx="4">
                  <c:v>1056781.8600000001</c:v>
                </c:pt>
                <c:pt idx="5">
                  <c:v>16356.67</c:v>
                </c:pt>
                <c:pt idx="6">
                  <c:v>1209000.3500000001</c:v>
                </c:pt>
                <c:pt idx="7">
                  <c:v>263348.8</c:v>
                </c:pt>
                <c:pt idx="8">
                  <c:v>547798.75</c:v>
                </c:pt>
                <c:pt idx="9">
                  <c:v>429854.18</c:v>
                </c:pt>
                <c:pt idx="10">
                  <c:v>470785.32</c:v>
                </c:pt>
              </c:numCache>
            </c:numRef>
          </c:val>
          <c:extLst>
            <c:ext xmlns:c16="http://schemas.microsoft.com/office/drawing/2014/chart" uri="{C3380CC4-5D6E-409C-BE32-E72D297353CC}">
              <c16:uniqueId val="{00000019-AFD6-49AF-A3E2-941B0B46A9D7}"/>
            </c:ext>
          </c:extLst>
        </c:ser>
        <c:ser>
          <c:idx val="1"/>
          <c:order val="1"/>
          <c:tx>
            <c:strRef>
              <c:f>'Pivot Tables'!$AH$2</c:f>
              <c:strCache>
                <c:ptCount val="1"/>
                <c:pt idx="0">
                  <c:v>Sum of Total Revenue</c:v>
                </c:pt>
              </c:strCache>
            </c:strRef>
          </c:tx>
          <c:spPr>
            <a:solidFill>
              <a:schemeClr val="accent2"/>
            </a:solidFill>
            <a:ln>
              <a:noFill/>
            </a:ln>
            <a:effectLst/>
          </c:spPr>
          <c:invertIfNegative val="0"/>
          <c:cat>
            <c:strRef>
              <c:f>'Pivot Tables'!$AF$3:$AF$14</c:f>
              <c:strCache>
                <c:ptCount val="11"/>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strCache>
            </c:strRef>
          </c:cat>
          <c:val>
            <c:numRef>
              <c:f>'Pivot Tables'!$AH$3:$AH$14</c:f>
              <c:numCache>
                <c:formatCode>General</c:formatCode>
                <c:ptCount val="11"/>
                <c:pt idx="0">
                  <c:v>2141288.64</c:v>
                </c:pt>
                <c:pt idx="1">
                  <c:v>1347580</c:v>
                </c:pt>
                <c:pt idx="2">
                  <c:v>3873742.4</c:v>
                </c:pt>
                <c:pt idx="3">
                  <c:v>1760610.08</c:v>
                </c:pt>
                <c:pt idx="4">
                  <c:v>2657301.6</c:v>
                </c:pt>
                <c:pt idx="5">
                  <c:v>63322.71</c:v>
                </c:pt>
                <c:pt idx="6">
                  <c:v>4875029.6500000004</c:v>
                </c:pt>
                <c:pt idx="7">
                  <c:v>1942381.56</c:v>
                </c:pt>
                <c:pt idx="8">
                  <c:v>2825600.19</c:v>
                </c:pt>
                <c:pt idx="9">
                  <c:v>1401914.69</c:v>
                </c:pt>
                <c:pt idx="10">
                  <c:v>1302728.04</c:v>
                </c:pt>
              </c:numCache>
            </c:numRef>
          </c:val>
          <c:extLst>
            <c:ext xmlns:c16="http://schemas.microsoft.com/office/drawing/2014/chart" uri="{C3380CC4-5D6E-409C-BE32-E72D297353CC}">
              <c16:uniqueId val="{0000001A-AFD6-49AF-A3E2-941B0B46A9D7}"/>
            </c:ext>
          </c:extLst>
        </c:ser>
        <c:ser>
          <c:idx val="2"/>
          <c:order val="2"/>
          <c:tx>
            <c:strRef>
              <c:f>'Pivot Tables'!$AI$2</c:f>
              <c:strCache>
                <c:ptCount val="1"/>
                <c:pt idx="0">
                  <c:v>Sum of Total Cost</c:v>
                </c:pt>
              </c:strCache>
            </c:strRef>
          </c:tx>
          <c:spPr>
            <a:solidFill>
              <a:schemeClr val="accent3"/>
            </a:solidFill>
            <a:ln>
              <a:noFill/>
            </a:ln>
            <a:effectLst/>
          </c:spPr>
          <c:invertIfNegative val="0"/>
          <c:cat>
            <c:strRef>
              <c:f>'Pivot Tables'!$AF$3:$AF$14</c:f>
              <c:strCache>
                <c:ptCount val="11"/>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strCache>
            </c:strRef>
          </c:cat>
          <c:val>
            <c:numRef>
              <c:f>'Pivot Tables'!$AI$3:$AI$14</c:f>
              <c:numCache>
                <c:formatCode>General</c:formatCode>
                <c:ptCount val="11"/>
                <c:pt idx="0">
                  <c:v>1337214.96</c:v>
                </c:pt>
                <c:pt idx="1">
                  <c:v>902836</c:v>
                </c:pt>
                <c:pt idx="2">
                  <c:v>2205415.52</c:v>
                </c:pt>
                <c:pt idx="3">
                  <c:v>577418.23999999999</c:v>
                </c:pt>
                <c:pt idx="4">
                  <c:v>1600519.74</c:v>
                </c:pt>
                <c:pt idx="5">
                  <c:v>46966.04</c:v>
                </c:pt>
                <c:pt idx="6">
                  <c:v>3666029.3</c:v>
                </c:pt>
                <c:pt idx="7">
                  <c:v>1679032.76</c:v>
                </c:pt>
                <c:pt idx="8">
                  <c:v>2277801.44</c:v>
                </c:pt>
                <c:pt idx="9">
                  <c:v>972060.51</c:v>
                </c:pt>
                <c:pt idx="10">
                  <c:v>831942.72</c:v>
                </c:pt>
              </c:numCache>
            </c:numRef>
          </c:val>
          <c:extLst>
            <c:ext xmlns:c16="http://schemas.microsoft.com/office/drawing/2014/chart" uri="{C3380CC4-5D6E-409C-BE32-E72D297353CC}">
              <c16:uniqueId val="{0000001B-AFD6-49AF-A3E2-941B0B46A9D7}"/>
            </c:ext>
          </c:extLst>
        </c:ser>
        <c:dLbls>
          <c:showLegendKey val="0"/>
          <c:showVal val="0"/>
          <c:showCatName val="0"/>
          <c:showSerName val="0"/>
          <c:showPercent val="0"/>
          <c:showBubbleSize val="0"/>
        </c:dLbls>
        <c:gapWidth val="50"/>
        <c:axId val="224878560"/>
        <c:axId val="1499328319"/>
      </c:barChart>
      <c:catAx>
        <c:axId val="224878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328319"/>
        <c:crosses val="autoZero"/>
        <c:auto val="1"/>
        <c:lblAlgn val="ctr"/>
        <c:lblOffset val="100"/>
        <c:noMultiLvlLbl val="0"/>
      </c:catAx>
      <c:valAx>
        <c:axId val="1499328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878560"/>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a:defRPr>
                <a:solidFill>
                  <a:schemeClr val="bg1"/>
                </a:solidFill>
              </a:defRPr>
            </a:pPr>
            <a:r>
              <a:rPr lang="en-US" sz="1800" b="0" i="0" baseline="0">
                <a:solidFill>
                  <a:schemeClr val="bg1"/>
                </a:solidFill>
                <a:effectLst/>
                <a:latin typeface="Century Gothic" panose="020B0502020202020204" pitchFamily="34" charset="0"/>
              </a:rPr>
              <a:t>Revenue Heatmap across Europe</a:t>
            </a:r>
            <a:endParaRPr lang="en-US" sz="1400">
              <a:solidFill>
                <a:schemeClr val="bg1"/>
              </a:solidFill>
              <a:effectLst/>
              <a:latin typeface="Century Gothic" panose="020B0502020202020204" pitchFamily="34" charset="0"/>
            </a:endParaRPr>
          </a:p>
        </cx:rich>
      </cx:tx>
      <cx:spPr>
        <a:noFill/>
      </cx:spPr>
    </cx:title>
    <cx:plotArea>
      <cx:plotAreaRegion>
        <cx:series layoutId="regionMap" uniqueId="{5C69381A-8D8D-4D86-82E5-ABFDA24203C3}">
          <cx:tx>
            <cx:txData>
              <cx:f>_xlchart.v5.6</cx:f>
              <cx:v>Revenue</cx:v>
            </cx:txData>
          </cx:tx>
          <cx:dataId val="0"/>
          <cx:layoutPr>
            <cx:geography viewedRegionType="dataOnly" cultureLanguage="en-US" cultureRegion="EG" attribution="Powered by Bing">
              <cx:geoCache provider="{E9337A44-BEBE-4D9F-B70C-5C5E7DAFC167}">
                <cx:binary>5HvZctzGsu2vOPx8Idc8nDg+DwC6m6NIarZfEBRFAYWhCqgqjF9/kpKlLbZkyb5739g74soO2QQa
XYXMrMyVayX/+275r7v2/tb/tHStDf91t/z6cxVj/1+//BLuqvvuNjzpzJ13wb2PT+5c94t7/97c
3f/yzt/Oxpa/EITZL3fVrY/3y8//89/wbeW9u3B3t9E4ezPe+/XZfRjbGL5z75u3frpzo40Pj5fw
Tb/+fLh3vjS3P/90b6OJ64u1v//150ef+fmnX46/6atVf2phY3F8B88y/EQopIQg7OefWmfLT9fZ
E0SUVFgp/eGP+rTm09sOnvsLG/mwjdt37/x9CD/98d8vHny06y+um+Cyjy+duYcdHnYfXumXx0b9
n/8+ugAveXTlC7sfW+RHt47NnnkHFvtXmp0/oYIrxiT5aF79yPqYPxFccoIJf2z2v7CRb5v984NH
Zv98/djsJ8/+/Wbfhejsv9LsXD0Bq1IpuEAf/pBHZifgFYo1kkR89srHg/Yx6P/Cfr5t/c8PHln/
8/Vj6+/+A4I+v7fdrW8+BeA/n2s4f6KJEApz8i3rqydaYwWWp5+W/Gj1v7CPb1v984NHVv98/djq
+fm/P+aztfdj+GSBf97olD3RilBExR9GB+t+kecpfYIZxxThP04E/rT0R+P/eDvftv2n545M/+ny
seWz3/4DLL/d31U/Pbvvx7etuftkhn/eA0w/kYxqxDD+GPaPPQC5nlKFkfgzDzxs6/tJ8E9c8OnB
Yx98uv6VE37/9zth72/t3f2/0PjiCUAbhTSRj+KePGFcQSFQ8o9MDwX4y1T/43182+ifnjuy+afL
xybf/wdU2b2x7a199+n9//mAF/QJYUJClVXfyvNQZTVBGn+qwego5fyF/fyJ7T+9yLHxP13/yvqn
//6AP9z77tau/zrrc/wEjKuVFOhjaD8OfIyeUAD8SKo/nHNk/b+wn29b//ODR9b/fP3Y+vl/AMZB
P7L7/8Oe4lMa/pe1cv9/1Zk/98znfje/jbe7D43yFw3f9+9+iG1o3o8e/V6//dF/p+9+/VlCOH3u
vh++4VFJ+Qz2Hz9wfxvirz8T9YQAPACMJjhFUmA4tfP9hzv4iZRMCw23NbSEDDpx63ysfv2Za2je
uWBw2LEi8Ay0M8GNH27JJxxpCrcIdJgKMfmZl7h27Vo6+9kOf/z8kx27a2dsDL/+jIEM6D9+7ON7
QUsEWQPW50RQJjW8aH93+wy4j4dP/5+N9CR6U+Pcjoicyy286UsRDgne+EXcVn1mcGfPNdX6oHAr
D9SvXZNK2Q59Wm1S59wV45m1Zf3yCxN+Y2fi641BF01gYxoLTdTRxmRRJ/XcMpQPSz+c2zh2ZUrC
DBttfJHxRLXp9xf82hIUIQlYTXLMuWT8sSUYmr0JS0ty2RdjhrzyZ54m8dX3VwGfPrI3RZxIhLji
ShKpGTj2S3uzsehK1XuVGzqii6XYaEzbwSCTJpS8tISUL8txINf9OlfZ95fGAEeP1hZECsY5Jezh
TY/esFB0mJxcyh3dRPN72bn2LNh+Sxnj05T6ltpDF8W816Lu0iQoG9OtGsmhY0g8bWUQV5Fa9RHw
fyR1vuFn/LDqlxFIkQAvU06xgl6FkYddfxGBsmelpkVZ5MVCkz0H15wM2IWY2sSuaa+36lm9zFdm
GMN5v8omrVZcnQgxodeNbSAAsb5Jxq6ock9l538QFfjBIV9tT1BFNZwUDMTN4+2pTaqt9LbIl1Kr
fWw0zVHN/O3ixuVErg1+zbrEmVQYhw4Y1zHTnleHYhHuvA9l/NiZ/qm5jo8FWIs/9NIYzipX5IOP
v7CW2MSyVsFXO14rOIh11Y273ldqJ3uUvKm4Xq/+ftRwiSEJAaImAmLhsQGIHNraVIPZ6cG1+20Z
JUkb59Fz79c5q6ypstLO8/sBXJBWdYhP1543O0dwf5YUVfISzcv2A69Azjx2CoQyEYpwyAz0gUz7
MmaWEPhAWmF2hRTyxsdi2XlEppyVxXJizRQy6Tv9A9MfJwiKEYVDyyErwfmBhPl4UTL2dNSFqXdO
FuVB0TAdNt66H9j7G6uwh7yHOeA4LflDAHzhYCsSr01TNLulCWBQEWuRtSPtnn3frV9ZEBhICTyw
pA99EnCSR8sYSBNNXYu8EWt76UjFTq0o2jFtxlgcttGIQ5104vr7qwpovh47DpaFegevxjCllB29
XWRW8wEZlrtuS4qTpOLJe4aXyu7dOlT7bsahzFbacpTPiV/9rrCuC5nfZjJnSiXe5QnUxinF2sfn
TTJU1cHRWWZqdTXPAidzlXq29s+8tHJIJduWZ3XNywsIJXpVzzW+GTgNfNdHiVQ6rEW4KDeKl6we
+dqmfYeKy0oVbjmMkA4OAdXEPQUzcp5OU7XsoqX9fkjItKR+Ia5OSx3GLhUVjq+qfhFPUdLNdj9V
xJ1BnNRlukg9h6xhFR2yxjRuTsko2+dBmRalCg8lye089tNpSyZhb5bJlie9cK06ULxykzXb1P4e
Od+KnaZr+2rRxBSZapJkynFdYZMXKNIuo8ks3yak9j5POlSnYhxOQ6+L57Mphlctq2VmOm9D/n2f
fiuSIB1RDElSYkhOjyOpDfVGCkF4LkmX5M60xYGDLrETw9jldGunp1Wr7O77i35VNB7iCHpRwih8
l6JHRWMuinKkZc/zjnqx20ind4Pt+5wkVvzdXAO5D0HqgzeEfwg+CtkQygagk4al4FSc49WjfVFV
TdbTnp1BnK97IZL2B7X6G0YVGFMBUo3QDzrOkVHLciqWrRE5djpeNutyVVSyzRkufI4k4BMRPfr7
NhUY8jswuZRhTY+SqmO0SsqVwYsaw/YaHJ71Rtk9HUp58n33fVXFMGRvChBEUFgRgNDj1ws16xwe
Hc+DWLocqpY/RdaYXY30dom7bvnBeg8g+zjvKCyVgBLOAFfzo3hpJR/c2FQy70QEgNMp/V5tc/vW
VJt5MTYdecOUHecDch5veeeH7Rkq5NIfUMOpzLZeuYOYm8nlcL7Q9VDivsqZDetpsImKPzhS34hu
BblRA0gUYKUHBe/LGlAE3c9JdDK3g9UX42i6bOgLlIk+LP8XSwEeVRpjAVmZHkX3NE1BD7aUOa46
m84qMad1kqishaz8Ayd8ywcg0sCJBQYJcv8Rol8rElQ91TIPGy8uxq0I6YYo6lMVjEjn2NbnlNHp
B6t+w5aaI6YR8LSCw1+Pbem0NkuVbDIfZWN3TcVM5klY07FcyOHvRjV0EFQyxUDvoKCvPl6qWjbZ
rmESuaWK5TUr4m7YRn9gdYty3MT28vvrPWz9ETR9YPcZUNACcyin6Cioi4o2nRadyJ0Y+D4ka7zQ
UGF/ECFfn1X4ZioYrATZXRD1+K0GE5Nes8BzI1adJdiMB9pV41MqtMtEM6gfrAdf+fV7QWYQkP7A
XwTQ7uMV20Zr6MMsyqOYEprXZrExs5hNeo/jom1qHa2KPKxVfxaWYSvTcY5iS4uA1ylVqq+fyUJp
vwtKoDZfhOheODPVNl8TWjTZ3PIhc2EBGIG6rThpynp6Bah9sGmx9u2dKdx6qAyd34fOuKtyjC3Z
D3KEyt3Sah73bobamgbFy3Inm8E8XbbO/77UCGBLIhl0473XZWp5aH8b6mURKUPlWKY18uN95Zzx
6dSXrUlnSua3hQP4lenCyQgtdT2cQ5OG7pjvlyUD13cvwzgOLxvw9vumCsXTgizaABjZiiZVPqIh
NUNiu6wZZFfBYcKsTjla3FvuWCzOtGz5gxGL9ZonRtqMibYt9qExa5OuXeWfssQvbVono8RpbLYW
mr9o5DkdG9ekeimXexIHCf1+Kbpb0ceh2y1jT15AszC9bpt1LbOmnXF5MbZ0KVO9rsvbYvKiTUOv
mEsHsTUsnWYbX1eTtP0+bhT6uMWRrt03Zghbhqt1aw5mkRyg00IjTWFTkJAW33Z32xqSZ32j6zp3
QwEbmXkDJhz9Kti+aEu4ApCQ33W+qN4LMs3wXo0px703c/msXduiz8gw91deJP0rgG4xpklh+Jaa
abMqDd1AtnToklCmc5PQMjWO1EtWMjyBXbYQk3SKC7WpoBbJi3ZbivF0FCq+bF0nqqwahZ1SOqz2
LBJL67TZlH6mqR30YVjEfI5wa23aYVatWa91ALOaEExqalucgwcXnAH6nF26bl1j07VM5PzgW/ig
7LHZsrqg49NRuThmOvHyRY1s0ufGNUpdzqpzpwm31TviiG4OtaPF6RZnse6aerCnhlo7ZBNF5c0k
NvICFkJttgTvXs2L3Z5BXBuXFlU/3Q/O6/HQuAV2SzoocilXxXAlvJHtD9DG150AAAiNYAwF2APF
jpOlWThuMcYkHyrED4MVLocSTC5Hkcw7gB1dStE857KYPVAT7PT7qfNrLgTAnAaqHAMzB+K0BLL8
yxJrCR4G0jmS9zapbIq7bch9S7ZcrbjPusj7/cj6EgBKYvM+eH2lmZNXBByeKz7OFz1O1h8gza9L
FRxnAW0toBRAYvyoVMWkU3PSYZEPCroLxnBznahBp0Ol25sfvP83agfAroeX11hKeQwxdOPoyGSk
OdCP8+nipjVfa2cvJBPsfBVLuK24tPlUTyzF3iQ7aEBctipZwHEuqkyOKyQqxez++xv7GiQwDmTo
Q/uLAAKRh9rwRftrWjEHXFuZI+/iBRpnPadU9MneqT6mRSPsqyRO8w+C8WuWBzOoN7Ao5CyigG58
vOxW98jwahZ5V0zl095AwgcasD+1YwRqpxDjfqNQW0TSyGtpojxttzF0aYFM+D3pt+7N961A+UP8
PartQBhLEHM4ohg44OP+HPtlSehES0AQ03jGqnbj+0ZAW5gOtOhNhpbVkIOX4/i0LGtoR0gP4ZMW
gKjOSojhd9MKnGmmNytPlwYjiOm2auBQbZyh3eABX2YFb3x/Ci0z5Dqri+Ws7JUec4+Hts/6kvJX
zYjQCRHNTKD+DpNOu4D9Camrsk+hSrYuHWsMZbQgkCSzeeXidcVLKzK0rjjkvCG0gMM0mqctIVVI
J4JdmXaqQSED2kzc9XaBJBO7YV5OqWi9SCX380ulvKPpyuJqs57N5SkGP7yhPW1jRufShdwPnVrh
wyZ0d0PpWLvr1hGps3ZdWqhrJlE4LJlccOvYnhpJrjjtw0uxzVvc440OVyPkXZoVUeByz+oVbblZ
hH8RJFAJu5EsHT6ZFUm2PHJ02Tkv7PUEOSWmyyIpzlyF2lfDWNKsWpgSh7hYILyqPgSbD4liNHUm
DmW2rGvHMzoO8Xpxkb+rnbLJAepi291304riC7NJRF9uuuLkZFhd1aXl6mu0o7aX4xkU7nC6zcXw
dAm9mC4GWWuWNbTYmnxtF8dO6zkO/rBWsTF7ySePb0ijxn1SMTrko1eoSBejvMn42A995tpQXZlp
0CLtYz2/QOXCFfAXIDiAN0sx5Ovokwjb7/GQE1QgsvcUwThlUcw3UKjLOwlBZNKtMfwtgF5BU63t
SlLHkv4NxxIKpa1Q+A36yRHIq9oXdVY5MxSnap1NTEWYJ+DqugaYAh1NnZomJGw3D1V8EYJ4SP3L
2h7i6lTYzbaTL9wwyz4Pvl32vTGuzpyk45iiUDTNLibLiPabhTBNTWh6mlZsklf1ahTJGl53a+qL
WM2pJTG8AtQQUJrUulSp86Zb8w1OH9771nQvI3VJtyvmmQO8S6b+fl61q0561o9z1llMxsyIpm3T
dvStPwxtxS/qzes2RaZU5ELbh3XkmoQTu7BqTLlbyQqpPIhDX0RTpXGbpzGHIFz6iyUU6GWFLQQg
MOTJWzHXUqZWd0Hmfgu8OXGsqd6UfJlPkk6rcmcKvaBc4pa+2ewqfhvjuCZpHAvBMtKAmJCvwQMs
jIsx6KFrTYZsXdE6QEjZ5fc5ASIxp0u7vNmSjQxZqSHSUoGYOwx+eUA2pXqTuGQx6RgabXOk2TAC
WA3o5RhiGTIDQXW2bKy+5zIkN2VAE5D0rZneYlF5lM2yRb81g05eTIuR5gFVJjddpDNNDdA0z+Go
FzGfxdT+1tRKvJmIHl9wXDfv50lMl77sawLaQ78uacfC9pLovnzbRimTdETj2GV1E9mScV+RMoVz
Nna71c6u3bUDVoCf+2VYM2iso0+VWBaXFcUqeTrLpdXpg9C0I6xsmpwULTZwLFt81QKobrPBDK47
WID9v09d1cisbYb1TE1zD8eClzU5TZJhsrsx2gaUKGXUXVh4Oe/mJjbLuWwlm/YbdJbXxTLMb5bO
CpYSYdXLZiz5WRgGTHPSTksN9XwrL/FU1DTFjcRrNrSzavN+DoRluOnkALrMSvkJFBZfZbObiT0t
2wWZ036UQ7Jrps487awf5sxH6AAzqlqFd16UW5dbLIqbvnfuFa4qJFKjmdl2hEzhHU0SyGeqrJOr
CbJkCZS+HacsgmHHbPB1DSrU0qBXc0y0SimcSn/QGxCcmSGseoUKQlsoKd7qzC39enAGuSGfUQPy
Valc01xJFq3IlY7Leti0Lt/TdWjEyezG5DV42g+gC9CuBxPMALN52YopqyZsmnRSWL8ZoUdI+6Gs
m12taqAG2q4W1U43o3g5FRZqVjm69p3BG7LAd8rmdUTlcDMgEBpyPFp7Maxmo1lfbIynYWRLkUXG
KpMjFhO/m6ntQOlSbnlbCuKmlABuflPgYXvrq6SYTipnoYrGiTY2B2eOFwsbHGhMkgNXG12yyl0B
OsMsPTWpig/obHQjftP52PuTylJR5oh0U5HXhZlZlrRJAQxwB+LBR4bwD/H7+iMW+Cjl3rl+9aas
/pgy//zj/1x+Gl3/MCH9j+sPc+r/+Omqv7fPo7+/j5e3/fEnH9b7/FFY7o/1HzTuRz98pbb/iZ7+
cRz+T27+NbFdAVb9c7H908DVP7T2h89/1Nr1Ew7UC0jqgCE1TMlQgHEftfaEP8FUKgKQH3HgAUF8
+IfYDnM1IIED1wDCL5AOX4jtMERPQaiF/gSISpDHhfg7YvtjJoUDU8MUlHIBKhqCn9QRyGwGXvii
twiK7bA0Jwuut1es4frM+i5cNA9g62OQ/EW1ENbgDBhrygnovsCB6Qe0/QWaRl3Sx+DClLbWw4EB
SO/SbZ4xgvPrfb/nxGx/r7P4sCZX0L2AKx7+lUeslBu4cQVqxnQRkL7Selq7Ig3LQ7bbyCazpezl
TkhR1LvWtOWbkbmEQcvL3i/Ut28h304uKyldXmsoG+pv9RcPuwOmU8M8Bsh4VMJ45mOLUDeKIpbU
g4S5bgBIbRBrXmygbXPsEgA1kIpzC2V7zL+I0j+O66NJi4f3/geih5VBrIAYwgyUCxD2xENH9oUv
zChkXfkEevyJJ/CbEkjRQ9nSzae9q0Z0CvrxGFIjiL8ay97j88GMegAiNiQ48+UggNUYRtM+40Al
Jj9oPY9U+A+74xo2JxgcEjgdR30XW5jrZuFc2oP0BRUYOtRrz8ICGKmBsgBw28iTxCfK5lwA8XIg
snLvnWIQSw0wJ7+PPJqbbrRNclkFUyb5KhLd/3Cb+og3IEhQAm0r6LrQFYEafsQid8oIvXAwRs0L
fmrKwu/gberzpmnRiUT+nWvrbYeZ9q+qcmZvB1uXPmWtjFde2fZirUv+m4jAA6fYTuEmATSf1Wvb
QJlXfhCnw1TyN9SAtJj3psJrHiaOb0ev15jV8wQFsFmb6jCUuq3yRSVxuwaU2C43TBv8diucYCc9
KcYCxMTR2+Z6q4kt00Q7Sm9q3W1kR32kBvggpwDsEFM5PaSx9Mu0B0pkq68rMZvlUEpr67QoGxby
CMmtBAUyChmfS897DI5a1FuZjMBweiAAw+nYJnE/rbyzhzj1dQO9TQLQB/r/fs54DTGXbNH5Uz/2
gVytky3W0w2mPYsUuZiEtPV8qTMhJyiUNs7LbSkr0aWb1XAYQN9k5mIF0gz68Q1QNyQc+Mathw4m
ndDE+rToO3Ljw1rmbWw4IDUZzCXbJPOXFkYIUUqAlAToDdxumSWNKOesBMzQpMgzMGV0WzEcBr3E
MnUbcT7tJlMvhzVBCKo1L0yqyQYfLHk3Zm0L0/Ypn8vhrC9KzIBTtFX7YgoxnKsw0wSYvKper0ZE
eZ1iN7SvsGRB5RrGON616wYEG/e0yjo8As/a6U2+RasPLRBuNcwWlaxdrgWLkKe3AvHzBAjALm2T
ivAUqQAprXcK3SlfNc2+1rq4VKVie7H2KzS45UTZDqCFyoPTW7YBPz3tlrUcT9mWlBCDZASoDC0j
kNb1WN1siqp3xs1zkq6ghQD4BxkzdBjfgAoa/VlRN3NMcc318mJkE/TQnrpK77tKYQDxdrjm5WJ9
OpBoXyeQWaaTglbiec97t5zyZFJdWnflfKMaZtZ0WsoGA62jDd9ZP7nTgff9IWkiPqOtuu26pFuA
63DN7RZZQu56Ufh9QE39bq05tEaJaCBVeboueMdHO+xMZ8fzdRPncx+3d7gdUTqMMRyoIdMdBzL1
EkFH+0JG4NszqgkM9kzbEk/i7OnTWPDutBRjeM39SHMaATG1MHaWO2ihsgp+lWjPgfKJ6bqQFRwP
fVAZqqFLm8RNe91UXQ1UO4PYZX3E+6WLMDcBUhPkceCS7qCl8SaNpiCvsa0KDpjbzjRzU+1PPOfj
mBZQJ/YYyXsRy/pFUjP9fkgGvmYRntdZCC3oBz0QNSko4OYMuJkkWxslQQCk/Y5voX9eswSGB4Zo
69eNQ01uvJpK6GgJtEAY3E3SHvA22qFScyBRAuSvbV63M7mO/Dnbav7WLKu9gomCJRPDUKTlCMQN
aC/wy4gO9OW0RxzmiTi0LakbBJ0yF5s67kVtud+3QFXu1wEn9w5kj8tBLttuxH0PtI4rqrOZrRVN
FQig713YTLYVtKmztUqA0GnmpLlefKn0YZEPgqzxIH02wDDhWrHzpgx1ttQhqS7XmIz6vB2SJgNa
HE/pGBeRBYL8rp9N0JlFULkQ2q4anUioajHOb3oqIVgLUdJLEiq5D+NQXiuLzaFuGtQADR/DbuKR
3DTlFnOwDD2RQbGMgTr8atC9M5lZDegdlUu2vfZkwqkhxO3HoVYnQETJJhtnZs7WcVgPaGh5vHAl
8MXA1K+HunKkh0EyGAiqWjs+h8rfvlXC0Msa+2kPQnNR3ES8zVVOtfJTOkBX/KxDVPuTZBvHm5WK
CmXIFOKcT1o151O01W5al+06sdDKcTSbLVWohVxWhSGDKN5+p2VgI4hUTOw3LR+qDxBU6qYZXQe9
MER6f2pmvekTKMhJcQpKDojgc1iq/QARC2e7YU+DJE2mZzHvJoLmHLqgBDr8esyTwMPZ0vLrSc2n
jKoXrgDioZnWdQ+c3oE05DBIfNe127Me6fuA+2cwQ7ATDXm7luWV3+Y928y1SSI75T4MV4x6XKVt
UGNKxxJyaoWft724jBiZfTBTypd2Plu6Af6vgTGTQVpQZ4oZ7zCc5pfFrJf9QLjY217XJ9MacP7w
e0unUOlknpSmvi96XO1YUg4HiEG5a8Qc305sWM4nWEJC9XFi5xXYkcGE4isHfBFIfyg5AU1oCXvk
FShJnEZrzjxfxzXzre7PgXicmtQjoCq9I2Obsma8rYdtjxeLzKXomnHOcVKhvTSzb0MKBi3K24Qv
0OuqQiXPe1OWe8jPVXlqagHDOS3tWn4CoyXoQVRpuNppXoUXDkFSJXWPwcJNt5u3YSye2YFuMG5G
ixlm8Mo+A5GhKM86Gwhg3cgvpqHY9jKaJRwAaswwFLjwKqNmXp42cw2kNjCts7+ga7/szIS2PhMU
1VOuh2kIO5B9pxOsPH86iAHg+0pZLzP3QWxaF7miFMVte1YXYHNIgxz4SFZ1/LdhlJXeka6qsm1A
G07rtiTTXgKOeglndrgAnhOG9mBkQcL40gSter12/fUGCWhf02S1uymU7TtVRvpgI7lbPSYqp/3K
WTo4U7+QgO11GucuMJjT6gQ5gGbBbmQCI0ltrZv3PS6Tl8PYm3HXtMaehqoElXRjjc8aKUOmYZzm
5QKzRG8qwrrxDNrr3mZ1NMydRkMLqBzTOh8qYBZOmJ1svkylzq0Z/JXrOludQDVpr1Sil99G0vXP
WM392dohdTPB7Utg2l9Pqg5nsmHk0tG2fEXW/2XuS5rjxrkt/1DzBQACHLZkjkrNtiTbG4ZHjiBB
EiAA/vo+6S/6vXJaLXXtelPhqrLNCbi490yyMjMV0/SLwBh4SqMoPZTAf341cxhDbjvN2wkq5u94
s+KzpgU54cNhxeDxILeREwPuUHdieonGgbZZ5NZw6wPTbXw/fYMGzG1XzHLAZI06zKydfNYq6TbY
++gCOh6E9mDKjn5RLciEZGrTKzoOIC2TBffZApPody1fNPb90OfrUDl8b+euIgmFoRltu7FqWIBK
qvqlAR2YrSpKrogsR5rHyuFLGujCdjwQBs0Vbe31EoWnGqT2lSyAqBdrhH8QiMM8MU2eKGw3AwKz
CJtyz5PViy1ql70daHiyvhseTSfsmvsyXI7WQS48Biq5t0LTj20l+pPUdLz1sfL3XkkOjXDXp7vW
Dv22oOAnVuKOgV/aLxhNq3xOrXtIcWrsIXIKim0s+XpXhYB5iGpsBi0eJiLMjOOPnvHiWtKFnqYp
mJ9A1tBD4/l4JVNd3TA7lPcjaU9lM9/Fa9FfK+D9bIMB4KqMg2PfTO2nqBjsV1GY4QlqcbvvuuiB
tPUeTZzPSDXMex6ALU/ipbuejJhzReScVRAo7OhIzc0ayHgjVtbgQOvsbuik2HVTqiFLCjAwjlJ9
DC1m9CEJu73vPVjlpKqyum7p3np1HXeKbtNSm9u0Bc9uI1mdWNxNuR6TJKOhm+/Cti2OUA9UqLXW
n/ys9JVabPARLRfdTKIPTout1ipL8bnx3QHKgSCFbslPnD37cuwgPFXryfa9hWQf+LuqJPoQM25t
KpetbOtl3xbhz5FPQ7oz7SoBGvPiNAZrk1XVnAKa9+wukH74SKu5v5E9iUA2lnW8dVAoXikfuGw1
rd0lcaVPXsVR7gLvD20ciI0KjD9JCJ8+Vmv7K7XJ/EPatN2Ui0uHDJhsksU1Aw5vbLFXZdPtO6ID
tPtVn26ifriWlfzhi6EApVD1Jx6tAwqzBmIdjuEXsBo+L5UqUXfm+TZ2IshAMp11QlGdV2EzZVGP
zqNYMakvUYNPXLf7mbfrg0k0+xjzqjk4oLS7DmQCWhAQ8DemmdesN9Oaz82IdRBOzY6g7n4Hspn8
jKduzcxCcc4UBTvKuQhuQOe0ez/z5CnlBWYnrTt7CjplttXSPUMOjporBNi/rq/zJWXTCx30JtBF
c6WHNFkg64gwWtEFR383EonBxZbXwbSIc1dMtvXo1utCRXRndfkB38RlVViHm6Iq5p1J7XNSiB64
veuOzpP7mdN1GwY4pOnQ+10n433l634b1loqCMOwRJZo8MAdKcqL9MuutzXKUYsxhuJs+VjXdXgI
0EodE/QXGOj68HsXEbmTxj6GWgkQJEtavZA6uO/Ket0FLPkZwchwha9NtwmOlmNa1/tUGb+dRgi8
O2dPqAUY3UBYQ8nK10PLdZdXjOEsdfU1g5zBZ73kicyLNDZAmju/X4IBTEmK473E9j4A+ip2aI4/
y9hWexhlwhfZxOnN6Bd0VkMVZaJfzS62BnWkTb/NafKBLYoC3m2mXClqcgp+bxcxD34kkFlveXjt
2qT50XedfbEywSuAfsUdEztloV/7+67ppARL0cYfoPVRu0XH0mSRJGhqRFUcxLp+AhO87mYeGgxj
wvgMB5jcjovq8jVMInNMXOR4Jo3RQ9bqBZ9wXKsh4zGmJj5iRMiSEs0H6fpvhR5eOueSH6PXzQl/
UN7Fs6miYzEaccPBdvRZNU38E3BtfhUtw3IbdMJ/bQM63Vuq3JwV1o8HIsRXrkik8yiZ1M0SRfwr
zDHqPmpIczXygN9MUJ7c81nynAwYLyytyQMGSnFVJG2/V71RVxBHKrCLQUWP/dSZq6BP7I2uJ/cw
VN10O9Yp/lVChmJMEIKqcQGgDW6/THyh36TVckMCDUGb6G0bZ+3c+kMKD0aYzUC8jiKKZ/wDk8Ac
jnY7oq17UvFKfhQBX7epSfwPyLbmvRWJ203xYGk2V7Q7yaKfYegxag9iCi1IWrQjqgL0D3pDojit
cKq5esymWYZPkJVasy0GgaZz1enLsJ55nFgS8XMJZqNzU4zjw6y65jlccaVNoxbzUMSBv3JTDCC0
bafvxejSQwv97adhsMNV2YsfQd31V9yD6gggyfyItv1Dt4j6emww0UL3sz7YJCQvVYRWFiSTOcAg
W31redL+VEqhvrEIbdak90NH5qtFrum1nnr0SLpVH5NlTB5IPPXbBovmkDYE8vYGNJJTzZJDY8D2
AzQ/j8xC/u3PylJhHgwcFN+72ZV5KAd70y72MyVpB3aTEk2ywQXqG+SOC9mfDSr50A6l3mBKEhXI
SFccpAEb66Bq29ihDU5lBObs/MIViLTyRlKQjFEX9FCPwQZwFfYOFJ2TEkAOuljoqpIO6107U+Zw
oyUH7SdfPCrQRu1hCVMd7FZoFPaK+ehnbKN1O1Lb3Khy+CDDwg3fK+041FMLEz19KGUMmnAArHG3
tJ0otiBYLc3dROgVBSuE7tysLNmC4LV8W9LWVc8j0CcLyk6RbzRVkYfSy5ovKRqvdrdMUFYV2gRY
hfHKToim4A9LOwFeSrwEduY5D1KWlQoa8hKEbNPWh3CKy2oHBA/dsfRdlJzEuBQ2Z1Prk0PaF6k+
9isAl2vFSkBpAwghltFRsAaaCBpsGp1gyqK2K/c4+XydDTY19yinfft11FDZZ3Mbgc4+L1rxyVYY
hW6rdumiX0DgWjXhPhbtMb82GsUzCzq4wXahRMudtdGk6B2UeUWIwrLMza5B1/JjoaH8yDAQpCLt
zGOKo7o4xdx2z1pO3TOmp7FDayf5l3VqI7Ov+0Sst2QZWL2vhYJLSFh+a7DLMJ43TFSb0VU1KFNM
rTfl4N18lMASPZCLYr6fWFH0VzEzesyGntWbgPfyuu8UlE5pUp3bzaFz/b5Pqhqt5lI+VKKIO/DP
wIixtGqn8r5X3a8UOoJpQ2EUF09QYekOTOGEml5R1nXbElKVAa0T1eN2ttYWmQ54ONxS4voO33OK
AMMDmGwP4RiBQZgYw+/v1xXfdZYp+JN1Ht39si7Y3lEZ8eWxqplmd7AF4bfHaDv7vAWU97FQWJ47
uhC/ZmBX7bRtV011vpZQCORxMQHGq5YJzUTvgzVbArgDd0N5RkcaFribqJnjNS9pbF5AeNjD0lad
eIyGIM26QoBbD0URTTg3sK0+CKh+b9CVVzdlCQIC3LKTFfwQoJ7yGQuC5DW6zzhvyta20E/xZs1o
0lYk6+BKIWgkZF9kK21Xs+mcrlWu0YFt0qG28cMa1jzus6Soo2O41CFADRXa+1KUAd5MP+pMQmTZ
51GjyYyyAjIiw9niPjYV5Pebeo14mUWLxwGycOhcjmtvwcMXTKJmuEH9qPhEZW4wcH+2kFHez2HY
/9BxZ54jZlNg4Gq+4zOhc8aGGMpVAQ1k1vTSWfhkCsEPIirofKy6yCXHYZqA01YTh2J2sWK+nseO
ZhXaqnvGQi9ys/TdMwyQ7MUzt96mQ5zKHOKUNMSBOognQTwkilPqYpzNpoq/rqNNdwGQcpzSrk+i
LFHxIl9q3Rdo6CGYqH8t6QLInlaxaQ+z5Wj5gT/3cgcYZk6vS5y3+xSyAQiXksK7He48/LosqdBZ
GBQJVjy8NlvjYqy+sGX2anJr/Ymtw/QxKUN9S6e23ANnwJKBIyVONhr9Y3nQWqztafUtsfmgyjrZ
DGEpu03NJbZys8oQ/klH0FgFAWX3Ahrd8OS7vpsyHQnWHQNW9yYPljHGwV2UrtjEQON9XlEY2Fw/
A6pPfIDCptu5yzuvxZWpdSivSIQucYtZDYvbNuj3N5Ew5Estzm1nTaT9wDUIaShvDHYFweCOPWdk
cIREHaXewhPxlfsCr3KoqxSrRdfRdq4iyFKhBZvkYZ1kezsnOmV3MOEQBkCCorVSPpJdDpkzHmHC
rlxgSwgwBrLf650kZfXTtQ2LtjA89bcMDxlu1AKWE8rkAXooMw1fZmHDORttRCE8nTXMUNWYfK1H
3X7xbKzcvoHU65mh6VTYrG34vBJgAZnpHQG4HsP4qLRb7hJsP8hX+ti9UN/OdjOnAFeOpLY9Bus5
wB3GkrXRtho6LbKmLGBsZWFJbvnUC2iUATxLPWKDmlLj01XUkWofW6E6SIPRduOKKUxNIS96IN0e
zq82GdC9NmMgr8FherVJ4ea75fBGlrnpCNlbPQXgN4sg2pI4LMNNPaqgwoqnhT4SBgvzvqdD6PZE
rB1OjKkCu7L0CxRsg4V9IJeLssO2w+PYDIWri7dGsvGuhyj+fsEhbDbAOVyxw4Aj+2vTWHs98zXB
nBjreP0UwVrz3cexmDc4xpk/CcxH7mGu+hLtqbRQ/fh59XYDFcT4ZHWshnyUA3gOHzTJ8vibxfIS
JpwjWaH2yWDwpN+G2aa3S5NMfjc7lvSY3lkJ1hbqnA9tszB2OBfPbYTNFmdBZdLnlvu4xjya6McU
0hp6TCbbD9s6LX/OMLDl4VCipxtqnh6rBXBRtupEPwtRrG4zmSlcs6GVAjj3iKMu60dur4sRaqCd
mvt0D/83QH4NlL8/LDPDyVBFXTlkJSQgBWVQVbdJKqMfJp4rf9+kUOLdTpHG5hXSrRCWumXEDgRQ
wk5zGzfrYVg0qETMz2F3hCqtWDfjFKgZH0hOv6YhKDXos6B9VuFI/Mm6lhWf2RqtUIAwV3THEMpI
/ZXUpF2fWXHuDhJq42Qr2iWNtwkwivEDLxoPjyxtt4rqFCauIan4BghQvemjGbjPUow4M0Ci1NUx
xVvCeGmVaXUuY5wU3/ha1euaOTtJcw9Uvpkf5Fizp9WsQ7ydxzR0OzLMpciTURhxZ4KgQzdX1ptk
IacW+rVHU/btbgI0+BJ37fq9rGF3FOtAMf4KcYIKZX3hYoCxdpjnx7hch4PyiYBSB6EAoY6SQ4t2
6W5k9bRhCrLSTV+s8TWaOVyJKWI2YGXjD7Cs6O8QMpVYPmkd70lVjffgsbufVE3Lr3ktXY1d5YsN
/IHjY92oJj1ZI5NTpMYI/sXW2joPEICQ27LwLzFx9WFu1FYzCAY3LZIHvjieFp9nOPeeArS+m1hj
KcRtNW6aoBQ/ZS0TnqVhzG4W3+hjvPTkDopIuMsraBfYlS08hY4PTg3I6Bt9QDEQB4xVk8oAlQzf
VKUgbGyMDdzOk7P234zV1xDKt0PQOSAAiU1PUcjdlYB6I49okF75SoI5dG18W6WKbSOvdZI7WEza
DXeCByBCCrqHEHf9UNVBRMBj9YRnJTIhbpKVu0MHhPAr03OV0zht77CDVLCJqw5NZVzN5rsN0w64
IagokN5Lc605xOSwlmIZgpau+xQyLDvtlnRM4cCGHeRuBd4KP4OaQa0KiAAzTtUC/dpYyA9wL1e/
wGWj2NEFE1slCWlyQMoqzCdZMSizKm0hw235Fn1tf2W1CufN2ELHOHZmwGelbd4sdXH0qYVTIknM
52il3caMZrpm6wrh7tCBHKPFCxIRepw9ogiaPKbDILZrY6cXb+mvpObNrTLLE5IZPI7CoYWmz4zX
4E/9nVNV6/KAT/XjoC1cplNihgyoZ5NPxSyuYAgC7RIG5mPlefLVd3a4hg1I3ANMxcJf7djviJjI
xokRayMtawY5KHQvOW4tLdFfseLYxYRDC7wEdhefRdabVJKx+ibDObgC8ZYny6SmPGjqaV+tFtkE
AS4Iv4JtYFzDdJy3TnwgLpHXUJIMGRjrJM5QT/mB4Z2Brcagf8+N9zZTwg43a6HSIwbk7hmMg9zo
1jCAbH0Fnr5I6jDnNk1PTW+GL65ecIpZXw1PViXxbb02/nOqRrZNE5BMDQD6l57CMmEKjSO1HiYA
FiEEedXOWABZ2SS7kwhwkvueReWuJGyCtVr9CmK2HESvdLc5S4Ty/1VZ6vGpiyZbA0hQM8M12+K1
xz4X9YSerSwGqJEBSs2sKfMuse+Zei+0/wy8NGIG0hiKBCbC6NKLOKFekl5BJj43CBPI4PoVp7Uw
y3crGPg2IiHqtQyd5dvKnD9lWfH5sgJ6kt9ZeejcxPn//0OY0xt4UVavQWj3QZxksvO82HTAvFFS
JQyRWdwv75rcfvsO/0cOhKsiuwX5BWcrJJT+PL0Q3ExzlGrZgX3WCz+jmc1AwEMRFK8MCiI97Spn
zUdXaJC4FD01xBBJcwDpj4lvaaNVbysfkW++m6G/10FNMLzGs1MvgmkRHKMAiDkMWGkziG+gm9FD
K8GbX7LtPOTTC4wQB0F69Ae+ofp7nMI+vzMCwRM4mdNeHpBs0D80gDUCyFPX8HahyjwlmHIhhNZo
ax+giKeQARGj9KEycjFbqMk9PEe2iMcN1QL0XIPBaPyWen5WkAQK1ib42gEUw65JP6a1OYthGx0c
SeFb6JithT49jpb1KMI+enRh02FrYVb4Zp3FWVe5BBgsWqtdGKC5zMeShzBalsGKtjCQMJRChUWi
zVQRKo5JTZYKgujeH6OOYGZzQgD9gMhHXdE2GsGbYL5+QczQCIuPGIKfsk/gK+sh8I/3YKzqz1HX
M7GvmyXRW15Q/71LHITV8MuZMWsXN5NtA7saPUt6o41WQKIxaA4OJQDoWJCTJoQJv5NatZhmWgDH
aTxNp3SF8SKDAbmBOxE2rzIr48G3G6WQarCpgrrfl3KGYG6Aj1Zum0ibBWBD1QEWoC2chQyyGZF5
qNCvOO1IuhudX48q9cT9x9P6r2SmHwfoG+SlcvSfwtH/RyUqsoXP4ZPz5V/1/6EIFRkV/6gif0U+
/Xe67v/IUH//if/oUGn6X2dXe5TyEKg1foGS8h8dKg3/C1Y3JC9H58AbDoL/v2WoPIJ6NUIBCmOo
2vBLKN/m/2Q+cYQann1ASEKCgJSe46D+j8L2D6Ew4q1eUSKehYb/qDwE7rJz6UHhiRmF1elSFNpB
YxWcY1sqBeA1mn2zKdm8vFNVf1fry8tEBFJC8KmYhy/ThjrLwmUoeJnHNTWPEZvJ8wjNGMlqPk6P
gAjNE2sWezIC2pqs1z08bwuBuxF9hPNBfrbFvFSQk0H3iAJMoKOZcLZGrAtOooelt2p9J0+tgFkN
jR4Rt6ldKhAHfYd6inSeZtiGDCqJDMkOwWdZUPrBopN6XtrWmb238dhsKqnTD/UQxQQUGNy7oHSa
09hS7F0+t8ldYkL06f9YKa+8/4vz5vz+U6Q6IPALND7/y93vi7ZHcQVhvBZrDi39bbwmH3j/VIqv
b1/oQir514XOfsN/HGwrpGkUCqYGddK8eDXcjh2MPqEEHRVuKUuzBCyznv5ldgWeK4VPHIscMmCE
zCQXJ1tZ12aB+gazrZd9vgyp3YIIhKeqiIsdX6TKcL7F7ylDz8Ldfyy331dlXEBhzSDhhgj8z4cd
ScQLcM1A0EIDe0K61NAfnFlYL9n92Mq5z+Y4aiHhgMmzGvWwd56rTYfN8l5O0FmC+setCChOsfVh
XUczg2yFP29llj10iSBPgPAMQm0WU4kbZHIxl9WhG2GEGcgCk+/M09ukLK3bcCjMbsa6EfWhXLpU
7og25BoEuC6ysJj8C6SBxSMfW4OkqyH1V5AHU5svbTkUMEr7wCNjwHjk0mDGHfNm9eHNjP9+I5iq
T3FVRPdnN6HNZIizBJB2LL6dqw3ZEWgM4VyeOMzC09D4R1UuFDAiFZhpYgGcDJ06SGNQ5sQBhZ6b
LyOwrvGdYnHhfGUUbwzR3YiiixHeSi5V2WCOMGl6E2RSJQYnYzQ++yLw39RZ8ff2priMAvl9rVgg
XYki+AhS7AsFOM7iOSqbGn6iiHZwY+skyhMwR9dhoOp74Kc6BwgYALNl5DZoA7WV3Tg9iGZYD9BK
9sC+4KO6FmE1XHnIGrdDCGO6A//ZvLOmLwrF7ztFigQc0lhGZwn/n+soiVsIFzDO574P7F5CXbPk
M6jvDQqmeuz4GSf69y8H3SVHcwqhNaXJhXjfVJMatV/KfMQeexRdnPwERtwvXxBuXUKx3ARuzEZS
dQfpkYwMp5306Bj7mX7SXSjKfAmgKh7XGlZT25+bFCvk8gT/penzCsFc72VuXBxm53eEKEQBtwda
IZSdCzn4CkalKTi+JjbH4xiehZWh6LHZ334xl6MJLiOQA4RJQcBIIejFovGYSaNuTVBdOPd32ji9
TT37AFWFvu8YCByILfU75Zu+UkewJxKUtJgT5FNdfH9RxmHAgNhmhHgaZWvh1waOyREDaTMY9Zkr
DzTIzmeYJeauW/Yz1Ng4U6Kw+fj287/ymgVmYKApiA2kglzcCvfLiqZiCLKwHBZguFLtAEXVu7ev
cplGef6aSCVD6yNweJ1psj9XvBQdwp2FChCgsJBjF7XDtm3P9H8VFkiMqEvOvywWI2jBFFIu2sRJ
VEFZfVeDqm8RmQUeyiSFQz9dsdu3b+7VV4DOLU7w+THAX5ymHvLZsArhvIDrU28AtQdHtDjlv79K
hEwCoOKwo58Psz/fgCrhEBnTKchKjGX3IMkBWCsWvrz9LGen0cUJhd3NsGvgeYLl42Kbxwlcz6vD
e6ZhJXdBNLf7UVN5KKBqvHVRWx5CDkhilXFxfPvK5y94eeVzgwt7f4o4vfBivwKpXUQDI13Gmxmi
qHqoWpBJJAoeGrDvm0C74YZA8Pwp9oAAMwsN0cPbd3BhdUHPC2yBIzOQiIhic5GLRTaXIzE8OR82
FlBLHfQwUDQcOq42ah4DY7uDwki2nw30bzxW06ltqIFcIIKkDzaSK9pZnKylh7UwmdflnUpz3kmX
LwgLDAciQRYEaMU/F4ChQ236OoFkKp7oXRtFBiZbtBF5l67LddIBQH1n1722GM7mNxQ2tG5/HTOu
d0gICSl4/gSiplHO64nbYPjWw+ECgQ0QvxpOqhs/J/7T25/ilaoawViHw40SylBe/nzWtDRECvBl
4EpHtGITXBtUWYhgS+BO0JdExRbAZfFOLXvlqliACc6KGM3pXwY1x8pp6c66ht/SLGLH8rNd5Aj/
LKQlLhNIOKpzt6xy//bT8vOuuvi08ENBThihTT1PgH8+7gRSzZoImQC1XzmUKQF2AiDnfoQCZSig
woyIQtAGOrArZZpwuQqh4fjltQ/gZoFusjyMCyG/alY05UG25dn7gegy0LbwJyMNJvXrt1qGKzuk
ZpxBdZSLknnc8bHbYhSD8pt2SQI6k8MEOzs0PQfKIdQCoCc9h/gD+gxod6JpACfiZ7HzQy0PqPip
34yIznhiiQtNzgIW3yZVZ9I9LaDGBUnWRMCxYgNbh4MrSmWxa9MJfg0jHNgrO78TfPU7c+/yTZ6d
lIhRQM+PhLw/32SYBp0RZMUWhj3mVJTWbhvaLSE62aHag+MweSNbsgF4aq8DwYdT6h25TVMgsh7q
IgQRQITfVGF6O2rC7hYYDck7G/mV8wLlO45DRLnA9HdZyT0TQPeXqswZ6aMfDcpZ7uEg/8+Pavi/
OjxfqadJjL8fKgKMPVjVf74J2Nycx9dH41Uh/nCRCeSgzEYlWHFNwPsgyuoaEdMhTNk6cXndxu95
TF99TiRRI7IF6f/k7Mb955SpbWtqD7NfFjUB/UQZKMwmZeX125vntbYdoxSA2pgz1Cpx8aAY4KDR
Ex3gBAWvAQfMn1FiYG8ruNx5YZYKYVZA1QdO2F6wqd4lo6vv2bymR1W3rM2kn/rnakDFbshK8pRW
0ET4pqPvTBh/11Nscg7QAzgNystl4pxPoTmG6guLs49xRvRhte0VaV7UYMtbRGrToy+bF6dJ9M7Z
eplig5MNBNb5B46crwwBzcWxDgNOiriKOcj6ZhQH2OzEXb+kw5H4UhxSOM8gzl2iX4g0gsqoLOcr
iAft7TSYYYP4KDiq3v5mf68M3A7H8IK3gfb8MjrZU18wIkc0jYGAjn5ACqr0zLxzld8Bo38WA9CJ
mOhCuLQRU/c7Tu4fMEc1M2Xjs3XOQeO/DVsLimryDnLZcYH4gvYwaGLg/7xSgiCwCRmw0IUh92NG
egHfdeD2tnCxQoAyN0JauJ2qbyxe430/1jwzkLC+s2XPZf6v+/09ejIQHti4f24Y29Zy0BrwgLXD
N94MM2IOoKvMa+Gg0Hv7E/x91sHlfPbLRpheQvywlD+vVUqYq6nHu1mLJrkzK1JO8qYLn0YPR0g9
QD8M/Uj07e2LvroOEaJECIciBClTlx2WBOw2QfQC8rd6inkxntllVGfWIrYBCsK12gayokhHWJMW
+ba8z8I5WSrQaHWa1SJSV2/f0WuvHBM0wE7AC9gdFydvHw7OWExTyJybya4cHUCoQNlpyGC0Ld7p
p15bkBzYD2KigQOhKF9sQxgvgQukeOmsD8JHYx3EAGHjYKHOUlKliHVhQdhCOUJSeyjrs9gbko4G
8uku0VMO77rrkMvF630crZX7lII+nPMuqnRzh8SOtIbZVco69wKu3MPbb+qV4gXOGBAMwBGGePqL
MisDqN3gnAqA+FD7sDQNOKfEp5DhL9N+gFH3BtbmJi8F4/M7a/Xvowy1AjDHb8j8zAT+uVYbuk5A
JVIAM8jWJjlDC/asG6mbnARLHTzotJuvJ9i3xU8S2vWjW2gzbd5+/FcmUNwEWCPYmjAf4az58ya8
aAunFoqb4H390Y6NANpSxtnkxFMyT/NhWROMCiTUW7MGyyeF8P45a+HxfBph4cth0UVzVqiKvNPz
vPJ2kGTPAZEhExPq+ItFVXtFughK9Hwu6foZhuImgnmN0Zsauud1b0EdlVtXj8uxSH2IpBgMF+rp
7bfzSkHHdz0j12COkaJwsY18gGRaSO1KINd8zLBA4M7y5XvzyCubNWKYTs9p0udw8otPANLfa6is
UB/jFDljYmyqHG1mjFjKIXLvHNavXgwHJxAHaDCjy0DyXoKG5YkIMIkuQ1ZPTfJV9/KTZY4+/+uX
dw72w9RLCM7o8w/D+2ef1MaIy6LleWdBs3isELyzbUlXvwM+01fWSYRUfORw48dnUAxmf14G2szF
c3MudSmUjJNa7XMFQXF4RG7W/CWSrGLHuGUpwsMg1FhL2ig4AsofzBqDWFLdfU0MBZ6GUKxfsobh
CHLmGkFyMM2W2VlYnA8+Jt2Hf/9ygHeEGAcRnhayixMDqKJIfLgEWecQZFTr1GeeKP5OcTuPBRcn
7zl4GOAmo1B2XQYsdnIE7FHiKkGPYLIZFXVfs5k+wUsfX6OPnd85CdjfCB4CNfCjNkIkx8CwcDng
jlUbzGiGER9aAT1FNhVSkBgkSuE6mz0CH6DMkYW7Bh/Y5mXXLlCCOPi0auTCblRbr0djRQ/bbSIP
0ZyUuzGZGMLWSn4cgvCap7qfrxs9T+8026/sc0ToYKsjVBhRJeRiDUH06qiKC5ivMCxhLJ3qQwDj
6Pbff3OwpDhjwBbBgnruXf7Zt0EoaQRksWdfgLiaVhgXYmjo3rnKaxv8nOojcPZjf18eaFCP1twW
6LbmoUg3k4uQDwedcbPpqIRz5O1Heu1iUE5QrK9zbvtlqqZbBYEu38OuX8nqurb1dBwQm7bnQ5ke
377Ua98IWxzRBCgoOBguvtEctqPtRyytVSD3rKfTfOy05A9vX+WV/hGx4IhO55gvz+TMn9+orXw8
QeCABVzHOkerP+2GVVd5Pz86BB1C+zW+873+fi5wM9gu+GGiSP9EWNOfVxQIIFCIZSvhp1cqa7lT
dwIJf++s8L8/FH6uUJggaBQ9MYbWi3pDEboHhAMn2YL8lB0J/jd7Z9LkNpJm27/SVutGGuZhURsC
IBmMUIySQtIGphHzPDnw69/xyGxrkcEKmrbPelNWVplRAJwOh/v33Xuug5q0XDUn1Jwk3r09huee
yKMzyarPOsBR6PiJMKrDFkNZ6XN6I84IJt8mhnl8YW07s+ukggejSgqnAD5Z8pF/e53yJVkAL1Ux
MrZe+d4hxN8IrYwPq93iP87g3fRZ0cF2iLPbuUzaaytbxj3lZpPWd4sFJQP9qHXj93yuvCdBavU7
U1+zj72KM+bCVu/M8NuINynxG+BWOSUc32sx1UZaekyrfkgoqCs1nRVnwGdQGJH++e3hfz2FqRbo
MrmGt5+LnQy/iaIuKTUqJGhFm42B2+pmUWDmVUYn5Kevi59Sd0Ye/vZlz+wkj6978oxIiEeBwo9C
bkwd0+qMr1nTFFtuZQ0ct7TeF/REdxlAmCtnGew7b8q/lrmHIXZB0IoxEZX7gq3669v3xXeOwT3+
CnJjNFqontGlpm1zPPilvdBS9uCA2GrSNg/9siqE9DRrURy6uLSyp7Wa9MLX4xhpJpTqzu/gX2Qo
L4esebCaCfwfFm31trKbAm5AMqKBporrPtHmQ1bGD09QGHAF/WNmdUhOB0d0dKun2FbYGXtW6DVZ
vUDAWjUd93Qt4SRYOhXfReTMFrr3uvwweetqBbSzdFJcXANJFdZMLQuwRRkcDmZb/dlbtfU4epyr
fKBm4wNFKnhKFWlN36daS/vrYbQQltNQMvMN6VICDmvsYj+BNpvWN4VDxZNvrWzcDrVeAe5ss+XZ
sLMiCb1Oc1I/jvB/ME56c03tsF183XPhQedrPn8XOpAYSVURuAxaz7pB3DLYAYhaSDCqMhcPqFTm
nxAq0JXAhGiXGysF8RXGXR6hDoX/OIaQF9lWodleni02C48REMPNDJKq3RmJiTCsXGsTJ1Bv6Aug
xcl7gLOeFmGCeNTw+4k9v+bODoLvhsM0VIgJBijeLeOz01bmjx4jpI7ydTIPcSSxQQVJX7sK5nUg
EG87G2qEHVuPHj+sNGKs31sgBs/2ADYy6wzfSpoILlYvOArq7Fg3Hb4Nz9dKkra2VkX61IY8jAEz
LBIC+Jpa5D7OCb0fzktJM+9S9O2Tj28nMXZJB7ushDX8qUeo8Uks5YPRjtlVl9odJuOo7H62PZbH
fGrr58hT1vu1yOrcR71t/XABERhYmp2svW3oKIC51NVJ9U3Uwv0hMjg6+qVulzTI43h4r02jQ66a
02sfcdrAj+gqh7njZI0n/DrKGw3b65xfRzYsNt9cOnzCnZbG8z4v5+XB1iLlq9rZC1oNzVWeh3Rx
v2dNZ2Ikx9/yBEWSrjfuOUzlajSbtm/ms/NlqVwH7bpXr/eOXe2iUlkIGxjstQrVNC0/tW2ByxuF
bYX5DMYG/lcObfZmwjv1tMwgkjfFFGs3s41KcpMJdbidlrT4lmflfFuYzvANtkSdXTmzll21BVvB
tQJZjFpD65/qjCigTdulqbWhHguFKjeEdr3UdeeElj3q4MiMukm2NiYXHDGemmWhjRIEa10U4flf
vBEQujmkKg4E4ka+mmJVkg1eCJArMcyg2Gf+lZukbJKdgBNqI2ZcrSdrkt4IONMd1VQHcyRad7cr
dtmYTT+qPkMx0vZaHqy4A7CpahVlEApdzUfYnlUdFPBNIErRqPxGQgeogKZKuxH8NGQKH8evae8E
naASXaVXdaGw06W8TtW2gYTtaWu5VyYrl+/hYjznXU8SW6ktWKyIJELsBHD1V6451Xtt5Ly5GXVr
Hn1n6OcDiYaOA+MzITAqm8v0Z+3h7Nw4oEQ/2VVc31SLC6DCmyPvi1pX0yezdguWCMD6MnZBzM6G
2lqb+ynHPctXvbG8U4qyhvlJGfI9kRrrp1GWKUZ0slAmzKr2cANL+XIyrMNHtQX8wbnA6u9WzVok
1MDSPztTEt2nrNoj4Kt0fKQgsD54S1yAVEYmshD1sBpwjkyLL3ZkLOZ0aF0zxdSGELzFWlJ5d1Vf
F9+HXkvglGbrHFpNZtpBnCrzw9ql1rd2Kvo7da67ZNNgH/42t2MBqcebc5XKeIsFAKdF40PNyn+N
naU+L5mqJ2zF+vgBNRdoASW1ehtf/yzB0Y2r4tWpcRgGOn2ZR3zSlBU1AenWz9LeOYhmHbrAbM3x
XUG4mB1YJm6D64jQPkGWXlq8j425dXdUucz3mj6w6tltnj2qrpTgI0SJgPgi7UfLlD+nyzg8mfok
1j32Kp0sCGAg2QZF1fCsJlX0svyUrOosFJ1jj4BpE3VlfmDy+1ULa3kekEvkTzi6i08s3p57o5oc
lTdF09TfBzvKk70zKoiDJ1goCxKu4oNbtGu5xSBii3s7Tq3BX1C46XfaVFU9sISZsK1WNQiozIyY
hIdM0AWB/YsdAJhZd4NM2b2ZY6FgIYjb1WWpMVNIL9VYqVdKmRVIYyLb4cetR/0r9WBM2WU2x9dR
l/flYcz0ji+RYkPrATF4OxQd36qBFDNtj/saIlhGqskd/WpoNSiJ0IRhR8ORl1CbhPOFntkIxtRy
3o1KDl0Owxt851xZ9HrjlXqfIIyOs6cS7NgjfVBsi4Od98k2cQetDiHdJh9md+30XYR6p8tQWRc8
5iGeedcWpaOfyZImDQNu2ui0zTE6BjWzb9nH7qrcInTHcA3PzP7WJg5+01rDzqbhJIEgNSbJ3hoS
SmouMwbpu9Dwsq5Jt5LFlCXtI6YlN92yDKA7JzuEiJayNaSvvHCi7zEL7MeVg/sPExawuq8xSNN2
tGf9fgDvCxAOjJge8llq7U1Fdyn1K69AVNcjkUfGslqruyuxSXzSHfk0is2HY0PfwrkXmkYvVqgR
XldM8gl088hRbwhlqZWgAX14Fy9Y5Xy8A4O605dujvejNnkArd2RDKW2E+9cpgBy8qSovduiAmhX
6kPpBeWLYKi3KvNOzLhOaWKCgIHQPUpbdKOu9ibP19ENIvIKwDVgXsPth0lAmoAoeuIacovxJkod
74fVOfNnqphmQScrcp48d82AHHRZYW6Mti2/sg8sdJQOHijPaTJVkvMsjK+wRfhWJuzzFB+pIvxm
G9oKvCjFZamNRk9vAtvL9Fu7H707JRuGx4bUs1uMRvFdkmjOcqh6Xld9MfBsl+TnPXaVzLwRU2bm
+GXQMULV7JcvbPjcBtdLjoseCBEfCRXc87RpkKyrPluT/iFeCv1zDtyHVQonLY640XZuwdRXvmeO
M93sRA1g13sAm2zl66jT01TXBQu9qbQGpDo+mrhyq7ja6imbpK1hLNreyroZk4SuIG7p9JRAB3rT
7aPdqyILrEGf4kfej6TxAU5G8FgtVqJNHivu51l6og5NllXFdUHGDZlC6bhk1/ipOnQqhVp0QY8Y
P7/KLdV8N1aEmfmNg8PYJx6J1quOuqB7Z41t1PJ9K4GGtVZBcGg7thWINmUZ3Z2jV2lzEG6W69QB
sy7eKnAms503dSaip3EZNp4yig9Fp2RPdap7RFzST8CyBivf2jhx1X1Qa5w+vrlaE1ABwOEsQwN+
r1BYWb4E4+TlzyiiTH0TebX60cKP996qgVEfdEckh1o4ZJ1ZsKpkrCkq8IGpct/hoYOVEmE2gRM7
Zwd3Gud3FWUy2lTQsEGx1cZYgbCfQPlPAot42Nu9IyVorYdiJl2J4ISOCGjeE8zrxVKcm1yoWhk6
RV8Cma9h7W3YTI3SN6F4sT/PvfeoQYFxtzX74h/TNMTOdhVFjAm8sPRqD08GHXOFX/LX5GQR98bu
5F1RLeqtRfiEvDhChiCZXf07n0vxkZfJIj4JifgD+ZAWtZGmvG8gokdXwFm7z2rjVXdos/MoLNW5
3dXzlKNb0Ev6k32jTaT/sJsPuzGmi04/oL9hLRkm32rUpbzp1lEBaqZGGvBDUP57x66zPjDhQZSY
drErbYt+cfptB4dOD2o0aRZv2AhYwMxjbQwIJWD330SV8DuqcLZF7mbBsm8Cf8Jx37e3Fsp1Y5+s
i0I+BolB5UM+J3kTwhqMpiDWprbdAC4vAXsmhrnsLWPh7/87BgRhxCNqntpiN7VhVwjmf5iAFdBx
6fULFc4zrT5KGo4LVhvrAhjhk3INWQjeMukz34DFalAhDz/GxORsRxzFAb94xDi4FgXnWf3WY+s9
JOrUH4pGRD9tWyR/XtWxabg7MIzhPNunqYngsVRQ2h3mNEtPdg0enJ+EvkV+WplxcuF8/7qWzCna
1aSIDF0UdczjU7RFCotRGwMPzlEMioTXg3DM+l+VAiGWtrd+4dx+RrZm2fgpbNq5LxLdk5E2WjQM
jUkZybRpE3PSk/HMykogiVuIH1FSzu9tC5ScrpWkhSluc9cunhmOlg7WMlqzkk2G17QwbIXY5atD
c/vtysK5QouNjp1yLnIU7VSUg0QT8FDfIFeOuUsxkVlDeliGg39ylfuhQXMxVvVyYQa+bliiGJVB
wCrYd4quJ5U8J+bryBslU2Pr8Rr+3ezCkMi8IIO8u+0d8C+pa4yr30qP+9tP/PraTH6pU3VUy5AZ
qMdzQI9BFbkV1+5wZR7qfHb3/VT2n3u9+so2OLoXJcWBHhf2hTrz66HGN4i+gw4ZTW36gscXFqni
GfVssZFR5vHAeac8GGrUhtBrjASYSfGJZnh2YaRfz3ikryhwaM0iTNW8k4KW0mlesa4vGuDMOGBi
4WSwsvmprTS54R8Uu7dH98yMZ2GRNklDRSlBleX4KRUVg2DbIIXslbre1kMGO8YkqoMMaroGkYeZ
OnCEyZfS5fxtciBpOdMg5Uwg5WD7XRHpHjQxok0yU48gDd1kV/z2TZ4ZFD6DEuYvw6pA7R/f44w1
sEl0IE3a1OAFhl6DA/8myYyt2mo/3r6W/FWPC3fIr0050ZG6IBKWhebfKryzohalqBwkUFNd3wBN
6ZQ94GHPDo3EsXR/8Mz4GYSLElM8Uj3obK5bueHbN/EidT++C34RivMEwKK7x2lzfBdo6yw7lpIS
PVqG8lADQXD9LknNp1Lr5kelbbUvIprWIqj47JjBYuhsrPBWuD8URcX8eeF+XpfXiclC7oSNF384
4srj+0kNl5ADaVkA6KyHeFVNLEBsMJo1d7GM1hS1y6TZxXXrbuDDLgFp2u0Whuu0J/Fk+jxR/wvH
po+Ct2/s9cyQ90XLCREUjpZTjXWnC6icAzMD4hw2zxVJg5MueKFiV9kXa3tJb/h6MULSSp8Bxwjy
Vpqpx+MwKJPaMhHplVez+7zQntqkg0wQHDx5JIgXdtdZTnmRxAsIjW8/7JkfAaUPzgBmhGwdnvwI
9phlRhMtSFvnpdvhsIWayBHtwtw7M6TMPF4CTDFYJV8p62w7WzUpNUzM1XyfI6GGWbVq275a+yu3
sJdLDpzXfQq+KDTAeFFQKNPCOR7TnLqEolh80sa2i+8sKLNBlVWObw6IzN4ewTOXcuix4fCUHjbV
OFnSp1LvtMFkGiOsXYN16LNQoJbZrG30j6f3P2pGz2gEuAKThf0tPWke7PixYgev2ZSofKRFUl7b
Y9U8Y+SBLLGCXHiXTLGYN5Ey9zelp6j7edV/6VNK9HGH97kZKBiPTl0fzA5RZTsqa0iJJtrao9lg
ycid+VCge73wMTg7PERGo/hFaEp79fiWJzIfijjmbaJYlf2kYzRdaxAEt6m6rldv/xKvOzc0o/mt
PTSFvMLsJE+uhT8uJ7I88WlOq+VdN+bkBgx1K34Q4FH12NOm4nNloz46ZMKM6SKR4TB9bfUkH8Ju
7drSd0tUYIFBy0J/aBIyBy7sPF4EEUerMDIJl0WY8zt+EdS3x/dogPmKCnWF80w7cHmOUxFr/ox9
w/MLytUiiJWJDDUb5P0MAFf3lg8IiHokwrkTBcKxVLgCo93RqmCJ37YNHOaN07QjZGqIq9AX+l65
jYtBByeSt2BAWjMCnaFjSGo2Yoyq+VBaRvduLMlcC4ciFmEfqwns35HEuEAouVhue6GP+oUX5eUz
d/LomINkz5sRINDlZK2JopLjah2x62Jbt5uVVhFBobr5F2oPRk2c21hmIQVDJw/yxSyaLd/UuQ5Q
BS7vMPaI5aZNa0Ua6m3nqR+dzPgCzEI8GWm2fHdgAbUbIvZWwo0HfvoNu6/xS0ZUKCWGyVyKEL5p
0tNNTJOntyfeq0WUgiVHCohRWCFkrvPxb9rCpM7Zbya+AoCfDpTl+E23zBe0kK+3VWgGOB+RCiRN
4Cxwx5dhpNwUGBVC0DFqbrJy9ODqVUufBEVpdrt0dZX1w9JFFbVtAGr7zs16cu/Gpg4mYsWQKVaW
pwSxGHBiU+mI9HByRbZeUDK9Hg1Mbwhk6VOSfkec0PFt2tS2NUEbD1oMKSAxYP2NygEv/NMx50Vn
GXRxdck36WQyUROxMl5WikiJE1MERzDgT2uWNhdmrRzU40mLKgTMB35oDsmM/PHTKPzvel9CMZ4b
+J5WamubiEpJuJRDVe+yWNjXU6eB1++F2R86K82t7dtP+mp/gE2A8cSSjfhJfSXqmdVqMtqVOzD1
Wtn2pgpjFafZDd3ZeKKEN4jQVDRvp9MXvH/70q++21zaQwbFOQlFLD3444cXtNpH4ML0U+d29Wec
J+9AgkEThQv2IKK8vHA8OjN15CnUkfYpEAenQVsRbzlyWootcDfUK1GYPxY89hd+0Rcl3fFPKk3b
nISkN1PuyI+fKuIkPBSgiomELK3n3O1wlyeE7VV+x64hCbM+j/OgVxLcNjR+qylcsY4uDUowkhps
BBi1Md3VKVwnBYrHsDFpIF4DhqzHPZ2F4hk1CUHa0NRYB2roWUGvz+sj+jX9tnCcwdnqc+qQs7XW
kH+oO8PEajRPCcc8n8xg5Z2yeXmUOcLp1JdU2yynHu/qpYGxUCCIpMdfKcpTigYw+ukWRjvtcc0A
CSpnYXghfdgIFy8q4SLIFUQBwWCCfgkpPJdmAM0kNrd86AXoP75Uz3qErzroQG4+cCaZ6/c15Z/l
Wug54QaFmKB9IrsWHFN6AQ0S8hD53vkU959W5FhaQIqCJYIsSTCYpjZ1+92Qr57M0jbqO0WJnCEg
XIJOVc/L8hAjtII7PA5wvLG/RPtExwrzmcSm5MpyAKhtOAau3d+rxR/RUP7/DN2Tm5z/HLrnY+8e
e2L2gOEMy9WPf/9L/vt/w04M8y/OHLL+ocM0kavo/8BODP0vXXIuOP1YJmZT+R5WNTCzf//LsP7i
rMIck5ooeWbgj/6Bncj/P5RziLI0jv/sbcw/gZ286Pt+f0vxjnI2R7wmVXky7fr4La09PiM9Sy1c
xbWT835utY2a5fXoT7RRnjoUEQ9K3mk3XmNG3+aEyM1NbWokO2RQHDdO1+t7JnzzIdPE3PqD4g5f
aywKyBgkOrwdNWcIoRgBCHOmNKm2FTPe/MPFG3WyqiNYY7w4nb2yFHQN/Sm1IwjO0pYSPQ6xDihL
LVAPZhvUTgypClF+Nn7+7Ve+/3uY/qsay/s6rYb+3/86/WbIy7LVgknD0UQaeY4HzxMNVNsCJtQS
L5sZLBaPJoubd6tYD800vZs7+5IN4HSnf3rNk6qPELNiNIO8JkESWtRYENDp8LatfsGH85Ilfjw1
qNvho2ARZ9uFeu746VTYZqlC3qyfUteZfLZ45YRlEIYgZNtJeT9QP70ukUAu4GTaDOQxWWdiHRdk
CGlsXytKbe0pmM0TRC7dSlF9GtQ35nTM4d7p2lfVKhVrI4xVhkzBvbqn6Sl1GBoQ7AtfI47B3O3J
0yBqlpZquZVhc3f8NAiHTL2qs9XPsLexSeNTAD0xAslIJUfj424lFZuOanQEKRxGB965bNdP3to4
6W6ereJ6nSftHQhojKKdNoqSTLp2+pmYJEttzKJ1n9yKr+5GcZQIt678Tm004NBAul+eU5ePbFKl
vsL9FhEEApsW9RUJZIgb5FDNctC8eGZZjhhJ0rPASBcv49vLoU7loLc5ZXy4jPK3mJW5DdklUuej
JBmrGwMsbBJMSWn+JK0eLiCeLq8+8HXmo4HHR7QBdEAl0NZV/EI6SsQcyQqjFiazOa8gRj3jF9lW
GEfnUhsIetUVeiSTjp3Bb4wpEmilZjO76RPY5tjfRQV6s++w4xhtZi8bFJx9zLCsuhay+aADKRZa
/EGua3TQUdAcyK4VYaZV+nSYqyzyNXsVhKwBfoWr3pbiueIjnPq5rpfDFgP0Y1KX5vslN6bPLb0l
9YbeatvfkxM2a8EQFeVjWQz1FX1fch2stZ/XHxbmnzWcRZZS5HI8IW5FXiIHsWYFNa479ctj7dYr
lQR78ZjcPYFqO7vIDWtTmMSkoEIxSwd/qOUoPqJ/bQrcuC+uRpIDUXLFpHFvcpUWVk8mmU5xBQ6g
ldgz+oR+QrcndcLomhRrfk8JsDvoalqWO/6KaUKPK9ZJeMOrvllWq3+ybSUWfh/F+q8kEuQesR4b
P+sUFFvQZrpB8GE+jV8pa80fG070pj+m/NBFTL47gtWazrTAyY/mRDM8soCmtrsu+dXo7ZWQ+sII
mVm0o3lMvDk7sNbHzNh+6uUijTZZgIaUS7ctF3FgjaznlVza615nlXflgh/Jpb+XHwHHsIan/y4X
q82HtoN+4Cle2MSNHQqagDybl6CHMlWhgB3vVXIJDDv33qdZScnx7XX31RkN4o3q8AHkeIaLA1PE
8cuMJEGfOZBwE7pzVxnlDzdbpqAExsxSlN4IEtppVuq/mjEK4Nb3wdrZN6bVeX4UT4/Luuzb4hKe
8fQII+8JzDNfUvossih2fE//OzCIenhi/eXh3RzlNMUExsR6GZ9iIF5i08phW+QAvgzM/23A/iU7
p/95A7ZNq+Jr9eP3HZj8g392YBo7MH4cFGs0I9G18cv9jZvT1b/4ElAHVTV+O4qmnJT+2YE56l9S
+k6xga4Ffy2LhP/swCzvL3CYqGXlvom0VUP7kx3YyfecqF2JtLNx3WCFNrxTh5VhZODFKysJbZHi
MLKotRwGO04+EIg6XP02KJf3K1yLN4aWGOc+2jGvDNAZgeL5MKRpyMtlfhvHskfYVaJMY7nHv2Ap
FZGlq7OCHKmK/IJD72Sz9PfFsX1b0njFl5ix/r09o5oxCOKYfBCp1bmulLzZdV5rBOYU1QGs7hpe
SFQebCSwl5YLuSf67dv/96UlbUCq6bmDk+XC6OnvKzVG88ZI0Z+hQiFBaVF2Wd3Mt2JuCD4hsqa6
hn2S7JaS+Kk4d/QrHaqRD59haS/dkNwYvroheeTHrCoBRvKGf2tVKVqn5lrscgiuoummMOvkQMbc
sGdKrttobetfkBs6F5Tx2JORQIaqbuXeg+w8XdAEnFZz5djQJsX+Q8NMMtlO9kUrGg1E1CCt4Whk
77Kqsj0/TVrvCvk7sYEj5/N7at1uslXIev9Mzsb6azDYqmxGlMN4koiFvcFoq9JS9mj3XhoquWye
DJXj4vXFJC89e6d2cLpEWr/Qughbd04fUWgRJ1eui293rhV2VdLvkJJ01waqv23fQv9q47q/QB06
beq9DBLB2LL2yMLOYnH8e7lKQvgRmp+QHAhx16aNiUetK27TsceeULQEkFkxHSXcnvlNnoB8IN67
mr46dnGprvJ6vXAcj+Ikkev4xymZHd+K56mjV/WomNAO6z+6wsy3InOGHQHJ0e7t5UL+9KdD/9ul
rJOnRtEWxcSV56GuokJGvaywgVOi6ItVLsv9WGjOhWOcXAJOLihHl6UaaRnHKbmE/PZapJqXkSNG
a8dAfy1jkohAYxt8YRWUb/urq0jfoYODhKX95CqVxQZJHVRm1NxEWAoNJBgrIV+EYINEd62vZCM6
wdtDebpjkTOIt5NSKiZ7ZvIp2CmDQkgPQqApL4tyO5Y52H00yMDzlOGL2Y7J1mpEteUF8PzRXQmY
nWNeJkTHzn3O0Wun4WiGbDt61od1Ev2lPvHracUCQAlSno4g050WYFmncGqPdRH2NXFLFbqCQBTp
vDPoa1x4pV9PK1qT1Fldgw8B6IWTFQeS8gBawJS/MsdKOt8pSi1HfY+ZdgpWx4nv3h77c49GuwAl
Cp1fKvvyn/82q0ohDZSoNUMYhMm2am1rF40cnu1G/Wf/9R9bh+cuhXeI7Tgzi4E8mVpj3rGKkq/L
MYNUA7NrOBllSbEVeFYuFHFPiS/MKJfjuUmzAogsfdGTjxp6cwcvQsvbmdP980uAlod6mgXMlyJy
/WwmAXLjjrFxq9XdcjPmZvMO0V4SRBhMfrUEez+no+ndt3TdPxW93oQ1eDFyScrRuNBTef3GMffp
o9p4CaE+WCefO2emCk1+YB4SdVtvsXw4GyRJxZblzQhIbVO3Q6XPFwbo/EUZIIM6Gj/9yUK55iBt
CQTMQ8LVOZUaZG08AB518fSt1a9mcZJbWuTKtz+fbCjr/ueqp6eA1qXhrqpjjoNk4MjuTg8FoT+k
JQv3wmv0erFkUGn/MMs0j4c8mWuuveRaxH+ERp2ZfAQ98x1uuUu01jML1/FlToZxxiLWaaSyhnnU
FodEmrpiI073WqxiSzKycfBb6ub+AjLuuSHeAs+YEFT+HDNPDmqStw+KqKKgnsfmxprRjr894OdW
E5yLfBM5c1l4fY/f7slJ3WVKyESY2NzuSZWKkZy69tOYePXzPOvR/u3rndkwMSCIGynMEjtPB+74
grXaSMsSISWr1TrfBjh+P5fJaXR/EgMdBbS686dhSqr7Cv/HgzuYo7hKtNRcKK5S6ycFNFK/ztNq
qxs7Ncmhefv+zo0HlVDaGXJpYL9yfHtz7DHVkqkMrXGYn5Z1Rgtm1a3ykcU2v67spf7jzyniDw4W
oEnQA1AHPb4gqA3DmfEKhhmNktKncKSDDXDy58HhvyE1FB0hGJX38PZzynl3/BV34UzSRKJthxP/
tMOfJ5oGu3gow5xJt3GVJQpbwoa3KsE9d0Dq3A1VKAB9Riw2dexcAsGcWem5PGeJl2UNgdvxU+vt
AgmwrMuQtJ8EL4AKwakBY18Yyx8yOORCjxKFOQf5gVbCae6DVbMvLoaZT7ND7a6vp/4aqIEDDJh8
1AuLyplFU8r1+JxAjkO/dvJjOmNk16OdF6RMdmJDQdPd5kBHCWvWtUBL0dqMMBcurNRnxpL+CJ9o
Cz8AX+KTi05Gv0YTceNh0o3JI32DKEjndbkec/USPEX+LCezBokUYwm7hirNaVMyd61Ym7HuhlB6
jCuhmSh5Cp1YniTBEMkpJ0jFUF7BBv/19nQ9d2EEyi/7HqlJPVlGma5zxFKuBKSMiE8F2cKfqgQV
tsEmiD7dqIfEw+Qf5O730hHqzIrATkFF0sCOQYonjqcqFg2S5lJSgxXTS+6KNv619qm9HRc6rRnq
//DtJz13Oa5GUYPVgK38yYLMMZszSkQeZFx4hP3hFnrO17X52CZV8aiRInxhZM9eD+jPC/hfBgUe
P15rY3LRYU4HIIb7m4qP1aY32V3GExwttRwunAVf/5BwcHg9EC/SlqOScXy5zAEbCTEmCdcIFyqn
3+Ego+fCtVDHnZJ090QWPlWJdQn8oJ+9MBJOybqmXXhKHUnLvBIjgKwQZL0+EU5ajne5aGyxczLh
YeMQVUUplrd64xLLUvskvC35dUOX/MrJ2AL6vaWSuK2KeNwQAdL9KOqoq4PZyLyPqHy8uzFeG2IB
LROy7BIPJBQnbaVSxMfHc79Ij5RPIx5zdBob6hcNT7rrt8nihloDc+XCSnRm4wF+HGQDS6ylO8Qk
HA90h2NFp9eShiAoSfZrRBPC4aCzIjAo5TTPEaIME70DtaDzneEcdhXJQDKLrV4Qxqnk5XKdyNg1
Rcda+PYkP1MR4N6Y41JrR8DrKXwcI1WWzl6Shs1KEhQph/pjrY0qnQvN2qtaYm8gzmGcLzwTN/5M
oMIoyKLMbe9CWe314ulB0ARQS9cTGNTpwRJv2WImqRWHNvlAfizIFBjobhCIc5EPdO4nkRB6jsxs
OJEAnrzavTcUgzZptFMXqFokThjdYTIaJ0glvGkDbDT7YPVC9WhHxtN3VB7GsCGbhoaAvboHu4W+
X6ylup0cy9lmcYmp8O3f5fX3iwKvtNxAs7A4zhrHk2ZaG/iqQ5yEBdk8hOPpOe2wtLtprMYNdQWb
S152l/YCZy8qR4XdOMAe4+Si+A0nFYhOTDwm7yYlsybZ56qX5pturfJPs8vLCCv60i8v1+3jb5ks
Zv/vZU/WdVtRZ6EkOYsczMarwjU6SnIkoP/5iMJ7Y28HRdXmoHY8ojFyqKTpWXbS2rCvSPPs/DGf
J4gEiQUtsrJCIdTmws94ynZnz4OK3wN0hb6Uut/py6+vCcHVtZmEWlXUflHFOWyKsQhsS1kfCa/g
7Ci39nllshbIQCEqGs7+7Sd/4YGeDjDrDmWilwb/qfjNayIOLvIm4Pwad6Yp4r0TEwRuF8PwwE87
PTvdnBwsVpqrIY3Lq7qwakBZlXIAO6K/s6wFOezbN/V624uPR0P+yIYbOcnp11WzOWF2DoUjNuJN
2IuuulY8Z96mAv9+kzXDDUzAcge+wQ1HyrLB25fX9DOTDn+9yprHR5Da9fF0GDXUcErE9Xu77bfk
PSzbEpjnjdeRzrYquriul1mopAIX2bfetY13iM/BPqxRYlJgaIwLn+Nzyx+BA+wz6NJLltjx/Wi4
f+l5dglc6HTZ40+etyJ2P7oxvfW3H/3syDMrXyqTBt+l4ytxwisNNBe8COQ27JfOND9PVNJ2xEph
Hh6UPPLVEU8i7KTkNpqE/vnt65/5/tMl8iR3kQfGTHN8fc1IGzsp2HgUJtW/pY1+GlU1vocdM+6d
JsmudEII/bnr4q9vX/jcOmNJVx02RjwUp0lFJYxNB1ECF1ZhllRYxK+diAr421eRw3f6stGLo6Er
u3TuixrltyodWZ+y0NEneE0qNUzVCm1CDxcXH0/83uiq8oJ+9tyibck3iUI6soxTvJqy9lqKGY19
XKovB2vtVMI4I/AOWK895QN7G8BXwAe6C9Po3HVJfkN2riIwfJX7RPbvinNfSUOtXtLdpDvfEuBx
d/ac/jKUVNu3tvHr7ZE9N3H4ShBjQLmQ656s4An0Ljdmyx92JmZdb20H9qiLQ6wu3aBnzU4nmlyF
d086+MWX5tzriQqfxzVRmbyCyaeOW+VEdaYhSbRlMJY1+B3IGnsDVf2FleDcBPr9UiefQxShgpS9
Mg0VF0Wpa5PJOMGb9NFRDtseLcGFCXv2h+Qo4wEZcWgvy0f/bcJSZFFST2vJgi3YB3er676DBmT4
qGyAFecEPJWkbe7e/i3PjSeXojfC1pMpdLL8mn3fz5HOQ65mTCeTbHY/RvO05Yz+h56ll08wyypr
KtI2aSU4fr58zHKPbRONQUpsWz2mM4k4NwvffqBTLtvfl5HyMkp4NFdOjT35gHsC12KG6CrtDove
RVvqITTQUOs0+8KNbybs/58RQzaPjkkSr9c2w6+hXccdPvB2zyZwDoypMcJc0ehP6VEamEY5h5jP
mgtL8LmfXNqrEJ/oL3LO4yFx1jLPh6LNwtVFUKO0lRU0nWWEnZq6PuL/dWeWtvF0YYTkAfZkZUQa
gFQUSyvFmdMD7iKcusq7jrRo3atucJg8G0O6ygSo1VcWZrg2tsW+0xLAEutwNdn6fKFJfOa5aVUj
GoD8i/Xq5TD0/zg7sx25bW4LP5EAzcNtlWrodntIYidxbgTbcTRP1KynPx/7Bw661EQJ7QAOAhjI
LlLk5h7WXuvFUdeQII+fidqlGDuIs3mFxAjWSyjq7NCwAcjpcGLubLYqxaJIw+QyrV+G7035q15Y
7azaiRNBttGMPsKyDW2wcPQS70j5tac7Nebn1bDL90bfjx80owKBtTK5dU5p1Vo7Xltx7/gtjAdT
VcWXbTOfwTbLuYzt+FS5sX628d0fvRH1cqg0xp12lXTH28/NOAclZiZniYM3VzyOCzOABBzmsj43
7Mcy6pOvVumWxqmlx3Kp4iT/mVled0niAFb2qRLi4f6JU31uSoB8OEI8RuC2ns1u4n4e6uRE68l+
h8yu9TBBFfRQwHjXao4FLdM4nO/bVHhvqmIsm4DbRAFk87EZQ561DEW+Uwr9ycXK4vFBSwf/gVnO
4jo0efLnfXuKR5EBKVDU9GVlT3+Ts3mzHTWVU2EP/MIpBgB8dntDOyZh92No7PkpX/Vq58VQHCLe
Ci4QZTEGlYLNGgNHm7O5opXCY7wcW3tyLoWlp2drdvLf7i/v1XaCaZLCvXS4HYBuW1MtfbaVLD4/
ZZo9yAytu+g13rKyNS2ESWVPoe71ZeWo8jDBWSFlPTF5e1kNvTDLtsi1MLGH7oFahHOKtABerkbP
2z9SGMAfekbpYMsdjTNjtvXnJAsgfgGluHN/FEunkW1COSAJLYF23f6SbnLaUe+pUkGg2BxtvatO
bXGeaFbVojzf32b5Bt7cVblqk5FbHmNKQf7mpmQtXivWsVXq0YgEp1suLsMCDSwD9w0pFyUHpKQh
EKTy71/4wrjPKfTovRZmUFdQnIvao1Y5AIfhVDqgdJwf79t7/SyT4XBUOaRIAHqUG28N1roBrx09
29AeRHNxhN+EYhLpe5BxCUSEdHAzM7Pfzfo8fwU31n+0k9n+WuqNc467ETahKpgPDUwX17b1q68t
/HdPea3VP8dRDDuH/dVdlr+VgOgZrU6rZPMVgngugqhJtTBK5+oR8YDkO/pow1eDGZz12DhCfK2X
Cm4YUWo7+/TqSkvTQMrlrClzt1sOBqdsxwlawwgmTgZDxqw1P3da4JxFkO29h4qzBtqQiIxxP5/+
3uYIzGuQu5OtyU7qEj8y5jsfqbKnf97/8CordLOee3mezBhuv/saTTWIm0xDGsesH0gWhndDw7j6
m63QZKIBg7IOF2jLSpIZkVVTYGbStrStdy2iDQdzdPYKOIq1wJ1L1YqsnTmaba0iDUDQ+N4UIZjV
+9eq1bKzP1ZiJ+9QHAFSK/JjBnZoQj/X7V9cTW3QBmpYoNzhsy4f4qS3zqPjI5rWMFJ2f9temZIM
xmwaXQ5oLsjGbz+O23jMYsLVH8bLzJCFbaV/5cnKQF1Wxj/um3p1p5A7o+aHGyXVoGW2MTXZjd4V
8YQpkRmPMPJFJ5E7CQG5ATV80iUfl8j5XE793vyyYo3MlZPgkO5zqe3NIyn6AXoaYJHhxBzux6KK
IMxsBv+Uraa/E+coTMGaItV4JY6XuP52O5tYj0H2G0Ho6DOAmX6sGxqBi/duCCAIO715Q+nv0fgD
usfQyxY2MLoomzkJHM4+UxPi2KLi/E5EYHiYVOq8bwN8cX85MUOZgy15ve4bV62UspHuEyHSOdrG
lHlkVU1p5FEoev+fNKJoWcZI/PgR+JT7lhTnhgoRdw5XBdHR1hevVmZPOCjAoLPpwhXWz0tIkS75
3R7WGBLaObEf7TKo/oqjJtvJGFSrhOEIEAjFQJIV+fcvbmIK1WoWjC402SUJQCk872SNvRNaDC+H
95f5yrWg2CRHzlw6+/Tlt2oVEcBTmP1gzO8mBKtmfR0fB3Qidxb06tWXLSZgpxYVBmhStko5/owg
BjzgfkigXz26BQQiDNRUcP+Z5jWeIRm9vyrFBnoE/aCIdRL+Z132lxvogCgQtTD9sEwbkL0JSEy6
5do1qBtn551RLQ3EPSg5usSvkXL5lJqJrsHiqFFrfuzrrLxmNGuLQw2TjQlVXD+m1/ure13PZzsl
qQefjSeU/749H1BsktvhV0Ovpxx0GJcagusCoY9TvTAWUhru5ByyYlnDpbWgpoSh2H/UgtU45lZu
nwK3tk5MtqRf7v8u1a4HHCEoRyQXztbVjpqwOtbv87An1T86TzwEdvG4XBZ/XnfQUgpbYADkvlNL
ZmJyE9Y5tR0tM8qVdOxqcAe15YVlVUaHxCr3uO8UnuAZ9UdECKoUaZfb3RaJF8VlH/mh6MbynCAS
esCHG/XR16FOSCwx/ukP629dUNY/37yhWObVQsLk2dfeWmY2Omv8hUWuGSTS7Ri11wbQL0IhY7t3
pl4VZ6jB6cTjfDoSZvgDbm3lmc+MfexyRUtAlq3dGQ/CLqcLhFvGg+u3iO8xOHdpbcCYppct5ziw
q7e/Yz5ps8RA4JXQ8bj9DZD+JDQ9DT9cFmBP4zrZUMwYBqJ1o/33/a1VfVQ5MozPk/WobXIVT8HU
L2nrh6btaR9HiL+PA93nc2RnMWTFmUNua0KTneX5mxHK7DTqfYzvwCQHUEh6lBfeXcB8TNVYwPta
Nj/L1ZsusYVlGi3rTrlLdUmI5amyAhQCOiqd/wtLrR20Szz0PoFHUBxWl0bjmNff3WnaUyl57QVB
ARiymou7BcC4yZongHkzjTLETksAhHXqVaEzCVtyzLhPsHYVbz4p2IOMUboaAp4tam1w65xRds0L
IWj6KSK/uI5D+nFu7T0OpddbSOZLt8FmFynpbAWLavI9p0eJMjRAwlz1GJ9agdQIW2/vIVFaIvd6
vuzQTW6ORbUE1jwVhgsgxjAPnEXnynDkLOti2uX+4VeZ4s0i5YeJBuWtzV3PjCZbjEK4YTIWJHuA
+IE3juURPabhzS8xbT4SJE467zFFnNsjyFCWrIs2cCRFWRLmnZ0cZ03rADOY7unNq2KogGzMJBim
HSav/IvT3mgtZee1gHe8pZ9wGIbIuDaMSn8cFmf6ft+W4rzLohsdfbksIGm3tgZ0DjtmhNywGb2/
gc7OH+EmHkKU4tAAAHKy451fR2mgQ8H6sS7ZutxSIRVeFbeVMbnQfnfRKdPH4JShAPbWghOOn0/1
P2QWN2uzqIAUdqEE7VJ+oGlZdpHEnKA3FCHkfWUMgl7G/V2UKdBN1WljcHPkGYnp+I6cQ0R6kPG0
Nf9EkQOVgH61PyCOlZ66oGp29lIGR1ujz1ye0LDJG72JHNY5imZUG90QPmf3fRDMSDFD93T15yQ9
FxRTj+06ew9MIdkPZbVMf95fs+rkMKhJ3YNQginbjU8mDYRiIIWoX5vX6DgZeXGEw708l3zVK5hf
462wKvYYLUFwt+AYGVLZeuZ65OZZkAJaunC+ZlGvMdnfTs6jX/r1XnVPnpBXexswCOoyG8FU1+YE
tSSoudWxuLkq6OnAhf9QePVyBUaZvbXtzbq4Ex49NFdqkG5i4MobEDdaWzec9LRn+sgyZcDQhXrh
I36EnuWnAqqznWdH9fEYv5EPD+8O5dLba99Dttb5GTekXbr8Sq+oD4M57viXMI5jn+1pLqv2E/gX
+EHalpSjN2fV9vHNZsoiIdFpzqPrtWAfbe0h0OtkJ999XfiWGyoHpygAU53Z+pjKagvqohwUF1qf
+TgaQ2EfxbhGjzaQ5g+e12pfZkFgpAPbuM5SwQ1JF/uykGHsPBoqd8fh4ecAfoMbxrrdZvLVPBpH
tKybZsno2DoT3CeJtRMdqbyPpOOSuEfSlq3+pNZ2CWiJ0QkLL/ZDMqr8kCfWCF8FFAwuQrYoB1fe
ztP7Ou6UGEe6w7RqCD63GAa79QUwf5dcvplLeLRNEOrT7J7XjJ4NpFFTGOfj+BAk+Z6zVZ1dmUl4
IO1AJW6FRZeSt1G0lhM66GR9zLOqtckcoUY50GUe+4NLlTHfcfCqD0mKStOXXM3lgN1+yNpetLKz
FicEcRSfEaLQkKnv9Z2pLNUteWll43UikNmpSFGRiit9OC1aNx56ZKWOaQw91n3vrTJFeR4gAYEG
ZLRyk1/EGJPV6v6aGlKwygILpkfrMaE3gPC3k57um3oNHWS/mGgm68S/MZoiz+8LW9DiFzHi7k4o
3GTQw3nOUbqJkTn7O7fSKnvI8gTZ6wG25mNkUw2O3AnkxuTH886iVV+RRhjz9pIogBDh9oeklTXU
hkEJ1bEYmRj73nuflP761/31qt5lGSLSPAUmTWh6a0WUURQHeuyGdd+YNgpJbvSOMTtke6Z+0pKj
3SbD97mC7wI2pKh7nIOG2O7+b5A2tu8XU7tyqJ8R+2A7o827WDSIfrlhESD/VfXzena9cRIhwKvm
0plG+p/jQtOxc01UVxOc0P8oDcAjbzbYypy6j33K4fMMebqgsQRNYdBSuRqt+YyOAbJN9xeqsgg0
DVwx9Ft4hY2HrWpzTpF7dcOq1t1Pna7ph6nGj8f2EJ36lNHPHYOqMyRhxUyROTif58P+4jBr2hgN
IkU3jTQXrRo7rj9MwRztUD2prifySPDnQ0XA8yF/xQsrbRHb3mLxXgJqtI6FHfunsSihaa0hcHn7
DlKxDACtMzJE4HxryjLr0honHLmbREzkOprJHK6WQTYDgl/M5bLzJr4GrOIOXho0bw3WZmIsTJ85
Yd/mkOL6bRBag10e3cEvjm3bBkcbaaezbnT++7bJ//Hh7Dq5Afypbj+kl/urV/0a3mcK8SBpqEa6
m9vqCk1UgUuytbZV+w/UggWiRwKSqGOqOeXPekJ36ZS4cc7IVW6UGqc4LZ+grUDZZK20Zr7CKd+9
Gd1Cgwd0D1G9jEGNrap33VmD4c/E9ggtrqe5pxbaQ5izzPUeRbXiPN9Y2lygFrWVyBVYMjTjr0bk
1WVeNXcnVVEcZ4wQosjBQBa0eW2MJVp1q5hJyIRTXG2xEG4W0QQzImKN9z+o0hT4RpMhY7LoLec8
hND1OAw637PK+kNOl+WxydvPqzU3O2GXwvXg4J81REjVSRNuz/GUBTWT81QEPGH352IyvbMO7O0K
h719spws27Gn8OnAcWhx4OdorW/ZdgekjhqrxPNMHkM3cBpZx8Wo9GuSoTt2LOo8/+LBZ7xX5VMu
k8kx/39kv1tcjjEFvTdXhNNOvfpPwFuWT5QnSC7zNfpgC2fduZGK55N2I617WdGBSXfj+rJ2Eaif
rKReRjZRY6nXkyNg/TpwI6oj6hXlRcSL/35K7e6YwH6yY1+5zS/sywP2wvVm44DyBw4xnGx7vZq5
lp+6wvQfewGo3wJLfnSWbG+IQBFN09ZlqoLohLbDNmbw9Xiu7Bmu0KzummsCIe8xr2G8jtoguXYR
ZGeWkTdwhVXm6f59US2XmIg4HlfDAyD//sVyl6wR6IrWXshweHLhJYoO1pBax3SpxYc1H9rrULZv
xl1JVnzCT5pagK4B0N8aBcCR80hzSaEynoHnTGXYF1X2hCPdYzBR+QNPzj7CRUlBbat3US6isMaF
uufqxkwgj1IMD/6e80gXYWcrVTflpamNl1tG1xidwiPwW9lKv82Ma2FExmFpbAtW7iQ43/90r6e/
JAyAzXp+TqmCbjyQFydaR+2O9BJBzJ/t5NqPQS6Ck9dGVGOiFeXLoy46bzhCxja+qy1JBJcvaRyO
2SROWmqLv/LYQWV2yNY/rEnz/r7/CxWPC8dKh2RVFmyYU7z9zr61tAX0C14Yl9HwRGT8Y4rbdqeW
ofjCcqyeiF5WoajZ3xqx9XaAbXTwwmhivi9ytAwBzgbBthRtk/vreU01QKH0pa1N3SRFHyMYItiF
3EV49TEQq2eEmlstP8wk6H5C4NcbHxka8MoTGPv8qzt1NgqhcZtrxzxxQYp5tBe8UzkPkDk2mive
/NJKHiKaQdSpeQC3jsRD/2CIQMWEbqb1j5Mm5mMhUskn2fo72errj0t2wYvEyBNVHWL+233XhjXX
/axwwlFzzA+QFa4PTbDu6dW89oxUmYkaZLYvA5VNeKq5vZWsWkaiSpB29ucGbkk3pq6TF/PC2GNT
fe6myQpNOg5vxRGRPpHBEX7RmqWVuLleomdOhU6eE0Y9L0FnIDEINn4+L32Rh/cP1uszjCmaZbh/
sjaSi9u9jNqosLKidUIvqIr3eZLp1zUayiMZzJ+/YImMQo4s+dLorSWJx57hX+GrBVoPeBo+Rqal
CWtnw9oJxV4/Lfz/iY8ghSBieTVIoNc1MPIiskMvqrJr3KVf8Wc9soZZRsSfT4cC1dQ3++Abm/bm
m7WLBqdHh80JwcxQ9+P0CPy+RfYSJeE0n97I3C4r7y/XuD2e6xz0E70c7MFnd1o9sz3HkOru3Gr5
ctym81jhlZaVdvLOLTvdKrzVqiIHaP84wWQatD7j16N7qHO0CzXXjy/3D4nSHrUaZtuIa5mwuz0k
01S4I7RMdpjoGRQBS+effRMeo7akghk73V7dQHnJaUtSk6H9Ahr71t7Ql0VKnZSTkvvlWXc6CKiS
Zf7IjHlyNM3BP2qaW1xMYWU7j4dqpXJ8k5iLDtirzMQVXYYKXmAjK9nH6CvN5KFaX13FrIsHY9G+
3t9YRS2M2VVa5jzZeBSSoduVtmI0WyDmTmgmWoT0iF8/Rk6/Ins4wUzloE0ZwXmItnKiffet6m8j
1/dKf6olA1qVAzOuZD/b+G1e0gWt+Jn8u/FyhD4zTyrOac5DBwHFw4Lk7s7pVTk3at+EfHTUSRA2
ax6aYEroaDvhgLh2uCJIjmBvs5xEVH+7v73KpbHBVIMk/dA2RUKu3B3ahloGxGLNSR9TBKs9iL4G
dy7eIeMb75weRa8Ba+TpaFjhuo1t9GyZ6GrX0KjgtyU0Kx71c1miYZzEg3kwg7R5KLTYPRrLZH+E
8Ky7lEGiHyUN784DovK1vFR0jKVS0iuEhAk4tKfb6BBRexEpKAIDlFyNcGwlwKdlqvvK9I7W75hV
n2dZ3EX4Tgajm8NUoAKax4idhoPoAwrJojN/nxyreOgpk/yw0L3711ngWSiQb/xketFwgS593CvK
KU8Y6AY5GgfjwnYS1007a17jhrpjkA/Xss6TrxFU+XGB1tb9E6a0JMsL0Kf5TDNsPBUTqpB3RoQj
Ze9bv0fLEDwNttY9rBQ4dvZWZYqgXt5Qyo10yzeuQke1TtMxZS7IpabQCRy9IRPnJS32XmqlKel9
AYkSqG/n6uNGs7spxSsh7c3hZbL67zXP0T92x/TH/Q20+dXbp0wCUIg9AL5A9Xu7qqLofbE6hh0y
KyW+mUPK+2IjPXXfisIRQKsD2hU4qMQobfZOrEZvDPTkw2xKxMkdhPfVn8X4pLnm7/0QLzuLUuwf
dFASyctAGhXbjTmzmJC51mw7LJaGgbDc9UKuof9NqweYW+4vTWmLIRAAvZh8RQjFwOlkl1XKsWAO
hJll03vsHfu7Faz5l/uWFK8y7zHpGwm6RCZuPlVf0T/0PGKpYmgs+zw4Vvyba8QoKkA5Kyw4iv0U
2GKgPTLbO+18QZVnQUiYjA7cO3+2MUiHAHfTLcQEk+5l5ymzxfsu7e1Q87X+c5EXUCp4WZchN244
j1U2IkBVw3F2fwtUmy0vBacI3iT6q7enda6jxRcz0XKv2b1+bE0ksDOfIRNQCE2341tUh1Zyrf6v
uked9NYYjWlz0qOSVCcPCLMyeguHyZn6sxjGMQ+dtdWWXzhML03KI/Ci+jMny+j3S+eEsNz3D51R
zqfeSPyPkZHu0WMqTxMTfvDXQkxP+HNrypprPSla0sW5riBTJd1qLzNzSicH7W3tQKE7/xLNnvhT
cydjJ+xS2YbJwJcNIvlgb5ZJh2OqWxxGWJcpuikBbCkxssPHwBXWidrmdBri8lsaN8XOJ1WdHw4P
TxN9Vqprwe2i57VfR+qzdlgJT794aVIcxsKyL/W8rKe3H1UGyxkNex5Jdjf7W9mwnqwu5Wi37v+t
vNz5VLpFd2HwZU+YS3VObYPiOqF6AHHsJsfSqG3DgFe7YYlzDcdutD+Ns2CKcdEl4473/f7CVEEW
CBka/cx507rdFnhmoMMZ+qNu6LdR8q3A7T0kbea8myOz+h5QrP28MKUXajUDZ6k2Ob+VCKpDQpN2
O11VRfmH6VvcIXUVgh3KKLefMw1Gc3AF8aVPtnDQhLY8NTXw9VUYX5tmbSjNu+m71hbxQxUB6gz0
UueQuQ01zhyGsLigIepYe9hERfCHi2QagSEkwHXbQbSodpwhmni+cw22FUAiXqjrMWpTMTHDODOc
BgXlHgW34iG/MbrxVk0B7WFEjVfO6qBl4pndJQJ5vvMMqM6aRPEgA8fXp6J1u+NlFETpNKVumDbm
n4OXOpe1Byfg6NmTEenVb/ePmryOm+BElphkJRyDlHdurS2aOTEiZ7ihHtXGQU9j8yBKd/qQGmN5
jfVmPsXZhKpLQu1visr0033zKm+BjgiojOdZjy0Y2EH31gM/AyorhcIy6tLuMAgzPqJXXV1+xRQw
CCDjxC3bLssK01dnS5BuUyfzFTL16kTG337MDHsvOFd+QqZKqDgFz3OZt5vqRHlTwjlKL3tKaehU
sfkR1U4jhKgP+qim3sPqKHfxhb3NwYS+sekmGOrDoNGK88r0yZEUbj0Fmr/XtlEujc65pF2i47jN
fnx/SeeOgl4YQwLyjjpFMSPZ3BTxoaja8b1jp2+mHoXrgGIak3i4IUZm5OJfPNhuScEu6Sn5M9vt
HcshNQ9t5KJbn0VvHqXemJKLf2Gq7YJ0YEkgHdYJaWZjGMKurcadKrLqylFgovtOFZmqyOaCd91o
iIwLFVpa0EmaeX845JERPBZmrF+chACwaILoXZ2uzTczmLt1JwRS/gC8OhhodpbpgttldlGEkij8
6yFEIv50yHIAF9Y4Bj/L2taQg+C+u9aonRFeKkLDT/eIAVTHFQkOmmE8pXDybN6U2oYXmQBPerih
Wg5B05RI2ia+9ce8pggy3b/3ytXKSSN2GzaLLTiS0dGiciKsmZ0xH7xoGj6uUGuGSQ9plZumJVSN
WvzkNYb7fnXmvV6NKhCjU0Cpm74VBaHNmaIdaCDHjjs3gqTMDvpUfR30TPvDcKL+bE583Hxs+qMo
u27H4SnzCUn3T+WL5An8+e13nr1u0MUMUigwhvXHaM/9mUJ8fUWJK7i2sKg9eVotkAZDHR6aK/tA
NaXZ62aoHk0pcsCX5pu728EgS+sYjF9oLlPD+tgWEfyYcbQvZ6LyS7Q84XyVpBaMl96utcjgCsl0
8OiO3v1nF51xThq0rhEW7U9UKvZm7pWren5IgEfSq9ke4arw06gHHdnZIjuuM50nd132Si+qoysj
AGptDHYTDN4uSou7IJ8HEt/WjGfrqPVieS8KeC7PC2Ro6aHrzLg5cdHhWyVFNuJw8Ir5F9CMPM90
GmnSQAEEpcftz4AUGNkTg0pbZKzx3zovzWGcpupRq70irOPZQ2hkaM66X1sHNMrrq4Xm1Q4WXvV9
X/6GrdPUsxb5MtCb6UKnWVsT8WR0pXnNByM/6ADir/e9huoD46E8RtqYU3o1rewOs+16MSVju66n
a+305jVApOCP+1ZUnpBSg5Tq4oIwFXW7s1NC1ZKGoxNOqG38iPrWLg9+WYzpIRijcQ/XonJFSBtT
i2fKBlajzR4ag9cv1Ur8qlmZYMrUCczHJp2K5OgnFjJMvZEyVlC5fYaAHgTSexVb5WqJG6AnxRnA
YXi7WltMY6F1gtKCM/nnpuyW6wpmiXGGedrJW+TGbcNajqUcJ4IXA0TZral8WtxqpXcTro5exgcj
74Ojpy1V2IPlPKUwsyI8Xu7NUCitPneGUVR9PeLeVpAWlbJzm7tF/VC7+eeaqbOLDinDO22CPrCK
ualvP0IU4SgEPwNMtu3v2iYZfS6OJYgrvhexvn4xxrS/MnG6qxmluhQyoKXsbhnU4bYf0GTMLfZg
HCtEVp9raHXeT0Yd71w91TGVGRtYKEkuu13RWAh7gFDYCZPatP5zqq6aQgH5/GVJKztkrjB97OFe
Ay5UTDuTKaoTiqsFZM8fLt7msbZRRkwcBt/CeUjGhy4pzEPEbjzGApnKX/huvMrgTxk9x9PcntDA
aMHtxZSB4ZIrT4vXf+vmaDxBjNC/3RL5JLJRcPfzEm+djJhmNKVy8J7ekNpHuGKix3HyneJgu4N1
efOq4F2n+80kMMXDrYvpYmOc0QJxw36J07C3DQ2SVn95n+Rkl/dNKV4ETIFx4ojQZ9vO4ro2A1FW
Ro0krgftZ4baw8EyzeSfQbQeoNpyD6CqeIxpd0n/CectYZU8ti+SA8+Y8lRHRjw0ar/SPk6lpn9u
ImjSDsXUNdMjgvSFf559YTO1uHrFQZun5e/7a1ZcwGdpJCrhoEPIwG5/g1/EFsEylZ/BdrMvYzCs
qAq75s/7VhS3wKGwz3gnhRVaCpv3Xqxkr3AgEtwYESp5/ZT+aAetPkSEITu5kMoUc0LUHciV8WGb
TS3qoEN8cLZDP0jE1fJb91MVE9m4+i67m9IUL4IPey5drG0la9GpLs8MiIXe2KynOIiSh3xglHvw
4nQnWFF8JtmnCKCM5yKAnrr9TK4rBsZJ0RUarXQ+J2nhXVKPqsb9z6S4AARjuH46WJL1Z5PG2YMP
pES+NqTI/ckwh+Yvf5zKH4HWfffNtN8pSir2T3Jy4PfhwmdRm08lfK+IakqrMJt0zUe0kuDhDYbp
ZBrTXqCi2j8oR2QrC80sYwtD4vHpHWOluZQK07j67Tic2ji3d/ZPbcVmMjcgJiEfvf1KERqyDS1c
m0igrq6EJOaTz+Tc9f5XUm4bXT8gHowckAbeWsmDHrW1ln5KjMraWUvHlex+1N+PXvbt7ZYYfMHJ
8zxDjr9ZT6WLuod1hsp7Z9sf9Goxr/OSIGTs0uG8b0rhC10I/eAlgBmdpGtjqqwqejkdkWRlFMbB
ihvrYERactUS729LKxL7gJ6KfhXDDL2w0xHP3rev2lTYBaHXwRfL1vTtphJjMXhVEZ0zB6xfGOH8
Uts1pcvEWpc/75tSnRJsIMHKoBDVw02BVI+qvCyhDAjtVnSSbH6BWqIN0Ai/b0e1pS/tmLdLyhtz
ahmE4zYv3fDVQ97yYV38lgnHrDi33tpfxrJxTolWR4d56vakPZQ7KnMdEMrUnbfOpM8ad+o7fP46
VcWTiY7FH56+IqcdGZ/vL1RlCQlNGUYye/KKrm5eV7omqUkDbsjzK1K4we9JR5YOaa67s6eKeJz1
QBNCLCmhf/Lbvniy52D266Kj1wfjRPFvMNj6o9Pr+bcYQMMj7GblB2e2xl+48DQl6N8GNCh4SG+N
dsAkigw6zXDJcuuQ9DRFxirqrwFIg/D+VkqXu8ly5PsiKysQP3JEb03NltGI1WJSsu1nkpk8GvpL
WtfFu8TyorPoneYTjPHaf4Ge75V1VI8PrxuNIUBVjB5vTAvE0kctSehtopN+KWsaPpW35gfeCOvU
6ZXYCSxVSyXMo5Yhh9CYLr5dqpa6/eISnAPaN52HEWafgzlHIqysuJO9RfNQ95U4pUk/nO5vssoB
MNxIF0TytMG/e2t5ZB6hXbl6IfbaI1ruSXnQg6rd8d4qM8SyslZHwe0Vm1db2llaNrLvnpf2txp9
hUtTGMtOZKK6EYQMkpOV7gQrul2MSBgkiSP4yFa7/VSXuXNpulK7eI1WgdZ2mmMWafXOhVCujOeI
cwpZzytprb6xOtNOWRldwSKcTKbPxzX49/5XUi2Mxwi+Nzjeqcdtv1KtJQGdJFhlTJ2WSz31B0g6
uyPxeXdIi7I5DHU67PgXxcrk4yfRvgzevyLwhfhar/VFY/zBGYbx4GV6807M6byDylabkXBiQn4Q
hZu1pUmMdHRBvR5tAu1nszjFF6Px9rrpSit0jcF9407ALNwejaS0aErkTO57jatd3VhbskM7DPbO
CZQ/duOz4PGWan1U1YCTbRZjl2OtZwNtOMfL7A+VoX2P4PKFtt56LEBkfezF+I8+o+9gjv5efUbx
9MDpSC9J0tZDRbhZotEAiiijWJKvxcG7qmthlLVzdz4IY7a9ncOhNAYdr5zr4g3adlZb2KqFnco2
T7kEn/So906mU9Iu1oemnk/3j7/SGLvJ12NSlwjw9uONXRwvYCy9sG6bnzjH9g+0RxE7WNO96SLV
MWGalfUQ0AIU2liyO62CGiGin1G24gwnybQeFjS79nqaCqY8C08Ic4YsfkvGhdslFZNO7a7lY+kC
xspmMZOnsam6U7p447Womd8Li2m1wtZN0Vicx9j8NELQf06pzcdHMRUtw5AuLN7h/a1WHmCwxBRS
kHqhpHD7uwwY/7V1YMLH5Gn9JxfJ8EiK3AyHdh6iM/vhB1DTwEV3aC09T49uXjbtTvyt+tyUGEHZ
yEou4+63v6HOWsbdcwHcgkTgPaP9w1Mm3PksJnM31lZ4VnD48KaAy6Quto21jdSJBouCBlXbxH+o
+1q7LM4gji5H7i/YAuejGafdL5xncnQJQiOSf8W1oWdu52kloMK8c5c/zQnl2sAohn9KEppfuKfU
o6nA+Wi3AZW63UsByLmAPRqnYMLOfYjMyPsvN4uyugyt0O3z/dOjuj4Q9DLQKgV0ACPcWhuRzMji
mNOTAM7OPxV+A1u13XrLL4xpkHDCxQCAiAOy9QgD9C8aGRQzYmvz0ROG/6OF3ue/+6uRv3brzOE+
kPPNz/XnzWri3g1EFOHjdGrB76CyNz5FjAMek9QcEA6f070sSXXwbeqKsv5ArWbLc4V+cxwAGoT8
IBDu2SqB0WV5P5yHKtqjH1eaooRDYE0DlPrA7ZeiNT0aKGkwwa0hOtb1Vn4VYzueaj/ZQzOpXAoN
6v83tbnOlrC9WrQBpG4W8wm9S5/CnfuvPWqaMDrPwWFajfWU2KI/lJnX7PRKVEcSsB5caOABcbib
ZLruM8d0aHeFdmc7v+VMnJzLqex3okDVdpKLESpRuuQTSjfzMhcryKGnDGxFvsTiukQLsutAFJ+g
E5/O90+l8ulgqFgO0T2ntJtPl8U1mPk2BlXUGpHzIAqy2KOpjyI4aJByQrvaxvjnOaZ8/MFdY5RT
kNao24O7uMZXEP3zxaza6d+pt7V658epdpuZdsAAzDWRQW2+dccQU2FYsu5vl82XpQbjAcj3F0Az
iMxTQgPqJPND63a346SJ/Nxgcn4QRnTy7O5brbfaNTbWX3GfciSSwBEEEuXxW0tE5LMzmUAj4R9G
ysItBQQHhW4gTJpTQ9phBFCeIkp1hgGxFlmZ/PsXp8gcq7kxckk757TJPwFlwmtW6ObnPCrcndK0
6t2TdCdUDiAgYMr21pTOXEXSlxIlwyTpySTjDSt/oj5tLvFh8qb5UXMT7cv9oyv/p1uHKmmeIK7k
rgAwuDVqLFViM0jDXRR98jQ7jXfAtTbVoQ06PWy6cQ8VpzRINELi9AwR2WxohMCCX9YznHaIqUMA
YgTfW4/BnrGzkr+S2tprECl39Zn5mJMh7d4uEIIcLVh0OmwxAoYfCqt3vhhaOZzH1SrgPGlT/dhD
ercXTSpv3QuzG4/gMNnao9mEh5108yjSoqER1uwN9ak3k7cJuAtNjW3dv7RczUwkkUNFokHG6Rjo
1zpwTB9bXUqckRvCf37/xKhuhGTLNp5zNjzK7YbmIu9GUD60LBPb/dAtpXWKJ9t7n/t+uhN1qjYR
LChjAQRK9GY3pmIdgZGZ9lPoDGmeHEodHNcBroTdPE11SKhrIbpE/Mow0MbQQrepMkrm27uxRuWj
dvv1HBlT25xms0JovQj8UzC0/d/3t1L1DHtgYD3ACUiObCedBjA9cU5uFSaMslwyv++/rSIDi5Gk
1jvH0tyzC27iCKe8YO7VDnYcjgr1TdcZ38ZcJvWSVxl4XRjTCgKHDmMLrR0DNvUnJ0Gq74DKuiFC
sY7TU283qKLbwwTwcgIaPx2awbehCfHbeq9HrfoOgNBxRzLIQ2bu9mzBlM3HLWS0VRfWE3ju+EzK
nIdBr1fZYfVaI4QVqN7ZB6VVsBv8gwcEZHprlSn7cRp6gsrM0mVFsbZ+ZvmcvYPAcf1Qp5TfGK/c
oxZVbj7viqS60+Vg48Yx0YlCVQpOvTAB8XWGpa07dpVIPsH+4h0TsMP/x9l57ciNZN36iQjQm1ua
zHIqqeSlG6LV6qH3nk9/vtDBD1QyiSRKPQ3NhQazM4IRO7ZZa+0fDhi9p5LHjjkQskmsECbf7A75
rduncO+WCfoRJwHIlb4NEFQrNkem7LDpYxyeyRWQqJO1owxy3wrUezSEKadumU7SnAPdHUjjzWlN
7zV1yp/M1JAOnJNwq9vnTAjacIZomIPpuPyUcyppWivyA2fKO6oupnlO52w+T6m63veDVblViPS9
mdby+fYu7qhciRY5JCpyEyB627TVGhSUaOvMxmo2fFBtSfbCvFi+ogc/DYEE23s4Z5mm1u5o2NMT
k00zNNzEBy9m44PeKOkR7HZ3M+h4IHImI425FSCswgZZh86yiF3C5Zc2y2oC2MtmQotaI237oCsR
Gjitpj8hSXqkMbT3NJEHUhqlik1vf3OVmRSsaNEqZh2ExZA+S3WX+3GpSu8jPWvGH3Ic6Ufr3bvH
IqtQZSo4Ylzk5ccntkqMbmK9Uxg6xju1t6wXlXmF8os6N+qHbOnboDMa7SCd2VkpAH8cFqBbQdAV
J/9ViIh7XFI4ZSinW0r6Ple5vspaFL+7Vvq2GmN5YG7n0WCaAeko8zEUoQx8aW7JqqyhAMU5GzTz
Q760DBSCWPrTDEtt8ZbR0R9RrFE+O6WYEb9KR/rSe8ulNPOHaMAx3+p0LnkbSWqu26IVG9auNCJb
4GYUUH+u7eCIkMpefx/cLRGFbq412TcSF0LezLi6W22xILjS9pY/d3X8tWtG9WxNWfQB9o35O8mG
wl3Mvq7cxJB+aYvW+0jzqwducuc28RsA4yDmC7p72+3uzJTpCvNCxdMq13Nr1mgLwEe7C1ercE0T
6h1sdKs4ZW2RHni1nZCL9I2ePrwZkqytAsZQGCZAaUwvRbJ8bPra/gpz1b5XVsf+38FWi9N6tdVg
p+loiH7NFiBTaJQ8YsRN/NGp02fCAOc/i9mrs+fEKiNmw1RRK6KBrH22pkiq3UUuZfWURPw+t5TT
rgoSmkoIKnZFjKtr1froQ+z/Qk4CpQMezm3n2JSGuBiyBBne0FpyRt70xRPVY+3u9k7smaFcJhAh
/Musgst71hhVIVcJZ04J47jyl6QCLdfka/7ptp29+8Rug/ACXUCauYk+jKFKe0dDlwy4VxZ5ypA2
n+VODd2eZAVdl+jjbXu764LagoIDQ4vwl5frUrSsXGyboDqxl/I7aAP5t2UOR1iX3VUJ4BNgY9a0
Vb/u6lKXFwsVp2Jdp2e9Sul5IMHtN5LVvyBXcXRFdnw/2gQ695IyB7CJje+vbHp+aTpbfj0NUu7J
aG6UJ82I+8iL16GIzpUCeD1gGHT87fZ+7lqmTk0+a4k/Ng+dWdvG4nTkDraUpZ8XPYw+81ZwMNXa
5N0vFCqGlbT4t63uvQL0eYR0DH3Aq2Lh2BCESylBez062gAwau3e1ZkavYfAB+tWSTWpOSWJFv8X
t4kTe7Rel7+oxCBLDexAyPCCb9vsubkqJULf1Mz1TmloNsll9MMpM2dx9bk5YtXsHSjKWECAQMoy
RGFzTTrHGAjiCK/6PM5OzNvM3NBcmqcyCn+tJPQH+7v3VVH3otBM6ET3afPK2to0qTR1bTiu2tMa
au1dOcjvjaVszs4CaL0dmiO8575Jcl3kAMgHtsSVMJfMggIhs4OQFwPfNDWw4Xt7QaVxdX5WZlo8
MiHJOEAg71kVqkBAKthW7uqlO1Bzm7FvsUx3SaM8UUixFEhG1N9Ha+r8Mplm4jEX6lDUZe9rvrK6
DZZNJIURM6MrIS2d/MFBAew0F/Lycyn1WvYIfSbVHQaVOoaZmM+SOuinBt1GX+mn1USYCZSjGcva
F7ax+xSl1fLMEIH+w+07tucp0dYSk44YB8ibf7k1mrREXQUI3o/naD1XThk+d8Ncn29b2Xvc0e0W
l9nmqdkmRu0SyplBD8hnAgII5qLUPTkzZZ8Yrj+93RRsDCqMtNeoi4uv8ipSVWSmNDk9karijAyT
llLdTamAnRGfSg7uz97eAVEQSEfkyK8mZxQmQVqZ2UB60zw7MY5KOuWqNR4c3r29EwSsP8BNEATi
V7xa0JxmDMTWRJWtWP4DkBfdqe36k1rwEaRkzxDpJFGVKkYMb6fs1bIy1HkDWk1qaZyFmTZ5eome
UxYR7b/5IzGkCDYCLTvSpm0frVyzNB8F1LGCFPqIIn4WqODOPaiK7UFIu7MqYjzCG7aQzGWrZ6Cr
mQ6HHfD8miQhuvRDdqoorf9a0Y//C1Nk5GDiaELQJth8qWhENWCCyEuUY9VnCvtxYCWoGnSpclTx
3evGkP8JHo7AriCEc3kqyINiJUtry89TuToraiN5CeMlg2WMBrekxuzNmdUEnT0ubrhE0OkKpTnH
61y6sTws911p5AeImh1/R8OLKaZCApzm7+Y5Wewyb9WS5ctD0vi9OcLAqhTiY9VMPGMajiRnd+2h
AQJHx4QcvQ1eebIZkNYAz4gnSQI/qhhrsLSz9nXRQu0ujFv1IIrdO0oONQadaeawtLcDMoZOQ/Zw
JAqSpnr6L02r6H4iEgimwmkOAD1/OjybFIUiki6KworIhDebmU15CGiPJ0tSqtH0qp6tfZaUtkOF
i976C+Oizf8latcOvoQ7Dd2VyBq1FzSrGviC6Ty6i0HC6DMvBerx1Fn1R2JhxQritS1ktzOc9UM9
gXH06lUdv6SwIEp3jXIY7vB14tbNieVjr9Cl8jnNheKILA+96kYRY0J+V8osGy4T7QfzFBPURxBu
m5GaXtO0L/laD/+pc5tLbl+byJgtSyk3ntz21eJpcZO9TGs11Gek9DQ5SOtOlXyzLdpPaaoa/65N
ZX6Mi8j52MZhu/odcmNHPYXryFL08JjExVwF+t5bNpQ+ID5iKCPwBFutv3fNwsScxOjPjWGUZ8dC
l7N2iG77NFR4DuXPt73f9cEV1nmdCIGE0MrmiRoYeRTWmbi7XRi9Y25D37mko8Y70xg73Zti1f79
FxZBFjEEDPViXuBLb5EtnBvFgrRs45CfTVAg3mJq1QfFiuugq3v7wBNeB1zUWUlUUI9lpRQ1Lu1V
jhGry0ibr2e+GxomcX/SVLv3KmYDkEEryymFN3WwrdfXE6N0iFAYh94LTOPSqJOlUaHh9XyzM/Ov
/Zqo1CJH4zkEOXzwJgtPfnk7MYX+D4VHiskgPy9NRekgTUtIfhlzGb0ikcL3USobBzX7vXPy2or4
Fa9e/mTR5qQ0qZ7Xq2Q95E05PFmZlnvxKBupq6F/9DefjR4UcD6INjyblwZDW8mlCQ9PBtv3QaWu
uQewfD7naQveE5brfcokyjfHAuylAGEK8JvoEV0ahb2pGVB66Ev1cffR1JPQHcKx+DA1h+SUvROC
FBgcCyRJqUZskrmqGfpOMrj2g16iVqKPjYeWpOmiDnOkarx3A5iULIRRUFLiqb5cFZmFEL4A4BX1
zEwuR8PxaMqFX5Bor9+Z62S4pl0cUdv3DswfVjlVU7oD27AqWRutXVW2MgE8OJ1nJWlfxtxWA7QC
mt5rtBI9gtueZXedQkWEVxFFLlv8/aszKqPn0Xc2gMKmSdR7JsCOPlzF5qlYIP1oDOA4o0tQnf/G
KCm5IOhSK91cP723EzSQgL10uVxB3u9/Dg5xdyxJvSct2eRlpXK00O3ewnoWxBhCO5jeuO3N2UFk
BoZilq0BldjS77KI8eVhGXt1Uc++WjjrQWlu+0T9sUfQChUA/0nsermxYdY58jImazBlffsiek7n
NJuGn1m4NA9gB+1znUbyi9NUoacqDRo/t/d4b70smddRKO5ceVOrHuhkmDPrteKfVtrOLwm0ctfU
p/tCi6f/blvbWy1FHuZh4r8BE292tyY1XWOaS0EUqsw6Wpr4Ia1LuTzV3dJ8kqUaLp6ytD/CYc6f
+tlWf962v7taesTwa6HGEcFf7jaj/6Sx7cY1oEBhIz1hZL4e9/k7c1AUV1qGI4rmlYyI+LwIAqJH
RiGPtrz4Qa/uzcSYxTHU4UxmfancrdNq/RZJ2bkbeiXQl2LypVpSg2Fp5EddyeJPMZi1g6hg6w75
DdwdC0AAMrfAUDcP5kxXo+Mjr4GeO4s/AaPwUiPNvRSOUnB7f3dNcZLID0BoUbe/XO46RYVa0TQJ
0EYZnvU4l099Kddfxrk84jnumOK6cEnJL+k4b9GMa58Ydtcx7gNYo/nR1ApSgylLH4tMOti/re9j
/6iYoEjFWwKuaDs2doxSCfhGJAdqbsa+JK/o/82L9CsirH9OkZrU3FIvuoOoYG99Jkk6oSn/8Gxe
bqVGBVQtGTcWWJ1seSEqNG5IF/S+SQ/nDu6dUhBF3AvQE3AStysMe5ZoKNIajI5ge8zWvFAYSM27
gsbHj0XL8n9Xe7EQ4zXUk7LWtowYDoqMB75oZ6OFHqqg5YKRueJqMPljsNtekoM+m75KkS49GNTQ
EGUtl1O8jjRoejhbB0Z39pn4VRSREEKEjyL+/tUNXQsjV+U8UgLSE+WsRJF0io05+TiT+R68Zzve
j2SKPgKQAWq/W0pdUVJ5V8xMCUKlsQObP862guh0UqhL0Gj18OTYSCQyiKP0q2HODhL365UKYQ1Y
g0w0F35gczk1qZplySiVoGW2iT8XUfw9cvLWX6J1vb/tB679rGA7k3SJqRLULTZuLynatGWGiBIU
wJE8q8iHh0FW14e6dmpXa7v+y2171zuryAwoABOOPxAclcuPaNstbEKE0oMZHpjbytN411n9v9pQ
Zx8Mpaofpc5RHmS+tLvWZe7ftr6zsULekmgTLj7l7s2rpoZ5GFX6OAUow5ePUhL/rzCa6IPVZfLp
tqWddRKdoEZFlYORX1tVqsUcFnuxcUVzq85B5ajZR8T3l/vIKCl4L333WEVMtpTUtPL1dHIOyhV/
+BmvEyIaYPhaFH04qWBWt5iUoaEz35XjEpiZGmtnzQwz2SXjUxEtN6P4XUcxwvEY06X+a9dKN51E
SzD1ErlPX3JSp+J9yzTO1I3VyKm93kiY5yPYJstjT6xePw5m0VPDQqwquc+7NGzdprGpdGXWEJ7z
Yirrg0937XJoTtAhpo3F2uhWXB4cuuONEvUVtz+0q7Pe2nOg1LLYPOomeVQneMOwMv+7/Rn3rXID
VSGneDXQqGhzNK1lrCbFoJ5h2U3nfhnmZ2cp+/+1M2l7MZbxP7eN7pxSsMa20PxESZvCxOVSzUkq
nYVpCoGRh73LQA3t3jLKOZg72zw4prumLFppNrKDMpXLS1Pg+7TW7C05SLpaP9cgoD18sOShI1kc
fEDhtLYnkuiZnAQ7YHM2phBaLsoqzuSgMO3M05J0OZuhnbiyZJvvndCRAjNpH6nft8Hbt5N4jugO
nB3ogk1UNTFFbanB/QXyDJ3QVPmaSmwx1E0xooNrt/M+c9t4oMUTRf9mO4OhxqMDnkmJQCDV3AOv
+7GsTnsqSnodmTw3d33btw+zBireLdu08cBb9gfr3XHp3HiydzDx5EVbF5tYkQmNsuX4yMy4Todi
eEjGNP63BRL2VDWIuxw8zDsGhYqKEPIFIARI/vIQaXYUqVrTLMGgz9XnqEqpcEdReZ8wCS6QSEEP
7F1fSsFspKFE5EKvdDtrIzOpx9F5lwPbTKJHqbQH4GxaiBxDbHanKp/Hz0tnqZ9vH6Pr80uwI4bl
WcQ9dC6Fx38VfuhDr9lxxbYOAI48UdhiAr1Ufo3LtnyEVPKrrATwzJAOGoLXVxRfQJeJzeVzkn5e
2tUygrql5cVUjc55yfqMBm2W5A9JlscHV3RnYy9Mba5oNA96mlV4A8dOCwBtqFTmkWG/l1ttOq1h
XXuKtvYHEcju+oAZybC1haDYBhoiV8xDjWu+plLp6XeQ18Vvy+A9meLCObgZ16bIJ3FyQhcOLvM2
ep5qMzL6bmmDgbjPWygUvVvV+KNeW9Kb/Sr4CI4LyG6uIcqGlx8NAY3E7NoV6F/Y5l6BMuep6mzd
tRJJ+nj7XF5HGgKKga/hzgtZi81rUSdIIsJbw5SlDvf1NPauZLXFSZlTiiGcR3cpGY6HZg7k9+Xt
g1bRGpJ1NGup/ACDgY13udRpKNaKkdZdIK9Jc9+Xs/k1Hi3NpVikPFdqX3oESd1dmdfDC4/oeuoh
UvojcIPci2Y6HgfeYe8jg21XRFwrYN0bb2Qj7NyGKKQHRb1OCLYU8heaI3S9FPtoKNv1fbEV3k1S
WpwCJdPN0TWZAF1oa1gGkaGVHkKWvyezdh7Sse+CatTWj/HSH6HVr92QsElkKeJXEV9ebrecW2GT
E9wFmRRGYgy06prSuLxbsnzwEzEJsFkW9eR08dFE2Ws3jw4GMvt8bahtNHAvLa9gHKOiVKugymOD
yFVR7uvUns/SwCzElUDp5fbB3ttd0kt8PSGDwLle2svTMqx6Ra8Co5jsIJGtzEMKLAnstdPv0jb7
RjXzqOW+t0aKipDLhSQmjvfSZkbQTsgnV0FYzaqXWk0MzijmMslz6kWVbb7Z+XFzXtnb+InJsDqn
SpQqmPU6cdWmtt5VS1+eZbs2D2KT3aVR5GJGAw8nucHl0iop6+qwm6pAb/TRRfSTIkJZS+8zxDJQ
J3beXsFjaaQ/iPISiEAXurS3VF0ek6OwlXMW3dlZ9d+YVUwhbpGmbAfDOdjJvXvxB1XAKAji5q3H
7VSz1TJ7KAOEzoyvER1/z7GSxK+Y/eV3jWK9M7o287JUKw5eFbGQy8CWJh0a/SwGgTdaC5cL1eE5
5zmUnSAO4+493PTlySzG7KDKdAUwwM++MgMi5NJMVNfaoixGGdDWT1Bz7iNf09vuyQ6jl5DRxA+x
VcRBDEjaayN4WXHKbuvTMD0xR64nrJ/1A5ri3omiP0ToR+8Naf3NF27tmly7t1CYX5cpaNK+CdaO
YeZys04nO+6Papa79hxCBIjRolS6OcHdYDLKFFJO0Kp29ruQR+t7raqT7I1LV2RunFTjv7dd0L5F
khZecFFY3LggM+160nQ+7dx0uttS2wuGJGxOir5EQNHtIzr7ztuFyJAhymrIhpDmXn7jftHB/5p6
GSiFrfoMQbY9e3XK+7pu+oPztOddRZmUx4RmEXyrS1P2UM0Ikdh8PDt23unTMvlNWVmfwq6YnpD/
wuctA+C32xu6YxXdLdpSKKsKMafNho4UI6151KoAldzuvppH6a4YgctWBPzeUJmKl9KtOjAqLuDm
ggodC3QK/3SotkqPKejcdHXyJugVa6SioYfvslL/bYza4DNGZXqIDTX6M6jmsZuU/OCW7CwZIScK
TrwmZPRbNcsONaJ10pAyU6Zw8MoG3sDkRAiiq2P22TJbxUt09WjQ4xXRi1caFSKKQJrQsL3a6LKk
smZqte0DFK7NgE7KiixwMxq/iI31+6jXwiUoGB33vpjBDT8uaR9+d6ooqf3ZlKSDt2e7B+LXCO+I
vBQQQAa5XR62RafdWWSqLWZMLvdpNwzB2jZpYPRtRz8NFdOwKo5oWVu/jFFibyaiUrkBErCVD0EN
VjLiLA99K47Lr+x2+W1pD5nh28P1xwoAJBC7lFCvQHpK6FADG4sQAZxCe1IlSf9ROE7nh1o03M/t
mJ86rTbcPkmqx3K0DxzU1mEI61Q0RY1YF7oDYuNfJaXaMBiMhtcdPxrq9SkutQctkseHeqJYffvm
7lkiIqJuAxBBEGIuLc1tpU2IUoD9JuuZXKOkJOVCx2x+yOVaHsA5do2BxRHk6T8kp42xxjGmdVWB
txtr1nl6aLbeRGc09TR1XT7fXtneORH02/8ztnm/O2cdFmkAUd72dQ3k2W7PFjCZ819YEdkgzRHC
om1LoTQXTQlHgbiFWXNSk864i+3e+njbyu7GAQihQ807wfm/3DhrqpmvCm7eR+aweAmn6At4uOG0
MJH3YD1XpS5x9IQ4JtgeEtCrVhRKF5aa1hoEVlCqFES1/Gejl47HIzI81m2seE2IajYytN1Za0f7
A4HSW9Hrf37DHzwH2CZqppuIYKqbIrE78PnoRSYPs5oprqw05j3C1ouvRNL6IPX6dPByboMCjBJ9
QfgAwI5L3xKoezPVYzlJcWZmPfiF3HaTl5Z40jBU27NESnvwUfcMEkKL5iKFU1QaLj8qtJYwyVB9
ogMdwndqoJay3apvr6b0oKSHM0d3DhHWgFEhBEqotZVnGKO8TgfdQTS4V6o7qy7Gh1hfzJNF1H6w
l7umeKGo/uBamLx5ubQyHHOnnGzbD9Wp9BWtlt2GcvSp0WH5vflqUA8Vgt2CZwZU89JUN5tkAfnI
qtJmuo/r6FcNGeBF6UiEblvaeRIgNqN0g5oUo1C2QU6fSqPC7BcUBNrcfFlGtf1GPziBzGaUn0lj
zccyXCNPjqaQmvcUHZjf21NGPPMeAWkEzb3xAWG7NMC2QaoWVNZOStc258nOOr9d5l+3F7rjOSmm
UYKl7oSG/RYkEjObyJpnfJpTwG9udMn5oWZOffAY7B1/oGjcOSi9Al10+eFqszSNFkkWv2+n4lPf
FvF9EqWjp3eDfafQuvNur2rv84ECFV0KeNWod1zaGxgwaq0Gjde8G4fzUkfS72Ix8xdZKfWUCT5x
dzZHu3wXmkPzrbS66GjsylWqJzyM0McUfFcu4FWpOZkck0Kv40PBl6PTZLShFzZD/gtoufyljevy
lCrR1Pl9beozA226PmDYofOJdm7B9B8nsb4mTjT+xcGySK0ZHCDyoSuhhJAGX1+uDpqvq3aCP7O4
tobyUENH8OCy7gSMQtQLZp3Q/b4CO+mRbKeoUjj+2qA9gKernZclHmzFNSJjeK7TTguGxjg60Ls7
D9wJnLNo/YPouPz2+FnN7iBd+3kVJ1/SRo3vEK2q3zdxZJ7JjKrJ1WZVzEqv5ciNZKP8kvRMawf1
P66Ud+Wh+iUbRXiEodnZDy4aRU3wQbw+2+pGHun5MISN49utUrk9+3a3dhiMFwqdtdJXidsy1fV0
+ybseBJ8MxNGRIFTVHEud8OomyzK6Ob7sCpXsgWtDybDGBkkPK/+bVM7l47iCegOkzkxnH/xU14F
spMBWl0peOOmRGoDxmyDezC7GnJ11ns9acK9mZdf9KbIg2JFy/K29R1HxjGDRokfIzHddrCqqOtT
04kdH8Cidtcyw51ccYoPHMvedjLEE7EPoS5DXnC5Rn00Vy3MeFehzv9TGmX0JeIMPjIm9YgIteMy
AVwJmKDQwCVQu7TUJE00lwV7OIJc86oGBZsKdVXPWjsxy7tJ727v3549iPI84KSa0FE3b6ucNEUr
a50DVqUv4Kpnnzum3Z+lpiq9Os+PWsl/OnyvM3oOCONeRQcQmX4KT5v1dWOU8ZFaxx/KuDwlcTIi
yWx1XqOq9cPSSetd3Nij2zJO0hVjft0E0dx3ucaxdabOvBsM8zcCe6o3mxTRmb03HWzI3qfGfVjc
Hb4AfZnLD6AOYFMdJ3egVSYaxzkyX9pCz12Ai2Fwe++PTG32IufV7IoSU1MuF/epYhU07bTkg4EU
xcEl3bkmxPqEvNAG6fduvVAcxUM6ofzhN3oWnfW1pOW7StXBNdk5TORIKEciP4Ba11ZRIwLy29cM
CEXlVeK7lqsduVbUKUGtT/CWetv83+0d3JaOhbsB//Cn4CYDhdgkgHRe19A00awKmbT7RbGpR1lh
/k6qk+X7QvnvGbGF3i3XJD9Y6c6nI0qjzPcHoQOtaHNKKrNQnclgpWKCgY3WgevQTH/Wo6Y4qELt
rlHoLWFQDAgUm/7Kv8bLQulUjUJ/RHTnPwgYqK3Fklw2qEg36ffFiNRnq5XC+7bp29Pt/d1dJgOF
BTUOlMmW7CKG22gWGiEE+an6tVnAGS22EeauU41HRKI9W/g9Ab5A+xgs7+U6q9TSFnM28Qx2obpM
QrUf0ix7sFfoTW9fFYUXkQnSUyZUu7TEYIaZXLMOkUFLGimg3AM0cRiLavDibEyWgydqL98G9CDm
hKD4IxScLu3JRsIgYjsO/WmsKFc6hdH/MNV0YOKXLbvSmkHpCc2va9/kDGMpdK8su/rgwO44AH6D
gFxAUReF+MvfEIeRDhGsZM3MzPmG8nPzpSG/OFjqTrBDdZ/2MMW7P9y+Sys8nFJlVhaFu7GQ08Au
4gpmHQybZlB8HXEh4yQpnfLWuai4AYomnFFKGkScW9VFWa2yLNHl0F+V1vhhyJP5OZ2iz28+NRdG
Nl/RSeNyrRWMzFoXQjnhsqlVHJ2KZpr+d9vUXjCLLcGxRbkd4cONe8m6IswsbQgRIV+KhyyandYd
rD7/oqrZ+o8imcnDIs3ZuZm09GukprMHxK6OHzq7rQq3lwHDj+NSHR0iscTN402gQPWEQjCY8G2T
Q5pibdBXJfSHWEnPlHDnE0PyxOClsHHz5khSZe80CYUxclTRqd9mLfaijAYjBjCnRnGYuS2Uo8Gl
TLaO93TM7A/zSLXqGQhFdxSn7DgjAHwE7twXKjdX3eRSnx2YGpJvhzrAJKTvPyVN3jA0K1v0t0cc
f/rkSIgL3Mm28idJVj5NWs+09lypvC5rZMrBSRNMSpHc3z5Yex9QtOT/z9TGCyiQ6+2qmySktQrN
z2dnOCFPOp4caei9kiTtwN7eNhoonIEzQRwD/OGlP1CcJpwaY5GQw2nolIeK/ltN5m+FMphfb69s
98qIUjqiujz7Vxjz0YqjXlH5YotTLf+sGvqgria3/wwN0sSzaqqfRNqOpm8euwhnWPdonuhuI4OO
7agkUYfUG//2b9rbbQF4pRanQVPdDg/Xwl7KLUmW/M5yoHDBPBzfN0xnc0v0He6h7Q5vnc0uHKEl
MD1km+T7W6DHkteNJC+VREE864mkre6XPox1wDSs59Uxir9wiVQ7UCGiiEs1afN5kyGkoaCk7Lld
FndpMTBPxob/koj517f3cu8kWbB8uJOgiK+anoTkWTaleERI4+GXPK2+A2BxTooV/c2ZBYMJOYIu
HPHWxvcqTroWiTlL/jqr1vdljF9avZ38JFGPyMvi/2nrTkFXAKYHFQT2VKz5VWS3WHFWLw7nI5vV
zq8zvXNDaT7aub1TSCkYahIbZ1/px5NirlR5uIO6ubRnu5umb8ADQ1fK++wUZRCmb3+p3VVRE4aC
AWjY2mbkkmwNyySkGoeskv3ZSpuXYUkBpN82c30gSGRAEwBpgsx1VVeRV9QKSySNAiM2q295C4DY
q8ulesnite4OoqcdY0RNEKF4jPiv7ZmYe3Vm7GYVBatSrJ7WO85ZNkLLGy11Ogj3RfB5eSiQKGP6
AuAMobe+BYvUyA3AwNC5U5Nm/YK9Fp3LepI7l7mRw30MjvdOaYzBcFdDd2Y31Jbp4FZff0B+gSDP
wGH5w2q7PJaMPFHjqXEkX5mn/HHuC+UhLRHNv/39ro+lsCIotoLbfsVr18Z+6dI2j8DeRAhQSUnx
A1nRPA3ippY+S0qZqP5ti7sfkbgU+WOBCdkWqsKlZixT1keUoVrnPl2TEC2IRg9iehxvftJZ3CtT
YvGvbvawRFPl6G0UtFWW+71R9k91SNqkRmb48faqdr+WiWQ9h0YljtgUERgxoNppPERBN9sMnla6
7pMcOcVfLIjOkvD1oiiy5TUNje6UZozUa5W0zjk26n+jIhpPicVA6Nvr2ftKFJBps4rY9wp00Yba
qmlzGMHXTKJ7Uwnlj2WdFJUrJ5Rw324LpL+g5PJq8oZdfibFTlJ57iXJb0x58GNAdXfd0s2BCbLv
ze0ylFVE0sk3Qg5gKwepF1odL1Ifi1JIcbdGWnTXKg3jpoz5CDSzdyJ4kAH1/ilQbAfAyOYUKdWg
xgGU1D7ou1kRanbN6e17J+QNRJ0fwPSWhqpHpaWHSRMHU5tZ0P7N3jWZaXCvNdGR991xFQJGSomZ
GrNgil5+pnF24okOfxLQ7o+eeqbqnDRpsoKmKPIzqCTzw+2l7WwgRBAqWTQB4WJsgboA0DPFbIwY
kIs+vWeMTvTMLGftwAFeZzeCm8RIC6h0Asi1KTTqkhQ1WuskQaWEmje02uiZgIYh3KfSBzWNkiAh
fD54XXa28sLoxltEWdFEY2wlgdlWFeCCcvyQzVn7aBXr9Muu5/6AD7mzlegrw7vgOaMdvZ3dMUxq
p6oRXr3oOs3jSzr3iDsejTzaqbAI1T0xugNVOo795oSklZCdQIM7WOVVCkLH7rzZasOgwpt4Ziqp
92NZRucedugDH5yp2Wo2BbdPzY7jgvxN7mGhuyrmm16eUuf/j8eLsmAx6tjP12o8270U0nEsne9v
N0V2jS/mfQbOsPmKeUf7DX5AGoRy0d7Xs5S4q1KvXtfa9sEptfnVm3BEjOyi1gnLlM6h+PtXLxmk
PrWo4pzBGaO9PHBM2hcGkWTnntf0fSOL0sNY5QlxXoF6wu1l7hxWbAMO4j8MPtp+VcRzLSUyiiyQ
IskMtHWuXGTlFU9reMTVejoSBd37gq/tiRv7aq1NFBaLoWMPwnDn2elUeXakt4/qoOUHifHO5ae6
I2AoQBsJ59RLU/ZU9HKuOWmgrrH8z1zQ5J/1PH1pEt0q3ZxK4E+yu+J8e0N3F0iCSFsQp3NFoh24
80aK9EbQGGAn+d/ldwBGlAenGeKDBe6Zwn0KzSI6zqRRlwuUO5GMNA7fbkomP4zS5KsqgWdokV8+
MLW3l8Q+sK4pjoPTEj7o1Wer2iJvO7qNAYMeSpiyTXWKZEaixMuov1+nrDqbkBUOwq69s/naqFj/
K6NWb2gSE0G4F5ZcP5h9pHh1klcP1TAkD/bYv1UEh5su8Dwin4JAD3X/0p4eI+mThXEeQNR7VxQT
b/oQnwm/zHMIR9mrHPsojtjbV54n2uniySCbuzQ5qotsNs6UBAtoY8ZpkI0xyNUIfXjYRuxWuKBz
0tpv77Ui1AwHCCCFmNmzvfVmJkeSoy5J0JfdEIwtQx0kx+qf+sH4/fbrAAhTcAOFZvN2SrSUVuAS
QzkJoM0bdylC1l4ya4NXV1L3FzcPdXuAYEBDrjGY6hC2o9V0SZC3SfTeiMr8Hiz5creM2lHr//rJ
JX8EVkpMJjBM5uazDalNT3y10gBAWvkB6Gv1pPfN0Wjf6/PPrmlU9QDT6QJvcXk40JcYw0EQqDRm
3iIGMJxMe4CWXsm/miXR/NtfSgTil68QDWOU1ElBKD2j431prVPW0klqkNhWGRfnZs3tE+Ce98aQ
Na4Vj9Nd5/Q5Gnp9eNb0+aiBc30RQIRRhEclUJAst9X4eJiKQZlhhmVhaCDmNy4PzKKoPunO0KMq
3HQgJ5325faSrx0ompQqJS/wyShfbRvldpZaemk7XUAKNHpZ1nVnxiRLHtPk3joCnn4bZBCSIOyB
798KbM2hE4+SMxYBpEjGxKZDhJx41JVO5aqmlR4gyq8jCqz94YIIRQD89eZbOjgys83Q1wy15mEC
duavaDt4qgVoqLDLj0WoafcAVe5ub+ieXcDPYioAJDjmc13aLVu4nL0KCkVLC+vdKOfp/+PsvJrj
RtY0/Vcm+h5n4M3EnLkACmXoJcrfIEiKyoQ3mbC/fp/qM7Pbohji9tx0h6JIZiGR5jOvuZ19vJDE
bNzL2taHpkCq3l5Zyr8f+JU3CfLqzH1BZItmzouBcxNfHCa2SsUwzCdrKreTHYwjgLSwMt9yZ3n1
KUMKKxAp0Wt/KQGnnaX3R7VUqYI3QbditFQcqNrcl+N6W/Zz/6GJ6jUpJ/8t7Ntrj0mn5F9OKlxU
L96ru0w25XejTDvPJB6sJ+fQZ9tyagazfmMJvToUxAyIIZxfbJGfXyWGgJyiuTrPaOjQCYM75hmD
uHX7rnljG742n4CLIAIDkwRn8PLk6YuoKoy2SssQriQ0QnXojKmFHWxbnyansw+r7Y07KCFv+bSf
s02e4+djj0v/TIilUkYs9VKvWE2zEmW2YF2At9DkxOQeFt5uHW5ysZJWjVhbZmYyyZxl5RBiNfS7
UfStuzOWwt4JvLCW2NHb4sd9YfT3Fv2IDA1np2/jeZ7dUw16vk8aeKldHMDk+TEY3L9ps7ricQ3g
GCVBtER1rNqo76Gs4lESd26gsSHF0XJO1nzlZrFrmTNOLpf5CJmh6YgvtfNtqsq+Pi1TFs47W4+O
TsaOn2SgEo1ZWYNUjuehK4+mV9YqqTthf8mR7R52Wsv1Bk0JURxGMRrfvNWLjo0vShVbS56HB8FT
p/aYw5jT7TLaCdUoqVL3fLbsIhw3d51RKMiRarCADDGFJ1O1oo5ROkEUcY7QTIkVqmHXKpfujwLV
1SHRBdYNkO+mrmfR2paMw94wirjKze1yyqXhoLJTFObJAEsD3mMi44vXltLlIVvD6n4SFiqIuRDB
oXQ1fp8q7KLvrm2oJ0BW5bkYqKuLsdCBe9n1YS7j2fanOclcYzqVndNbN+Hqm1elb87OpVw28Yls
wH43bfn80NR59RXJ6uEBKE03xYYKzYhui1NeRS09rTRTHpCtzDP8BysgqUiGIJzF3hzIL5Rlrrdc
M0N34HLO35kKBnJSZlN/dNGhQpxa536VTPZU97upR6k6NpFEkPFWD8ZTbzTFGEvdZTYYv3k79Z1T
DXGEtEGXGKNp32kHbNFx27JqTnQ1OkG6OEFDBwBDTewM3AXYn0I7KIxR0tGfLKmyG2stdb4bOld/
KaSxnLGvZSCScJmq65485dkuiALjvIMlcJyAdz6a4yzLpG8Xx7m2R1FgvSUqhDu9sGzGnZW39Wcc
NLM2WaNtuhiU0N0OTYL2NDmN78aGmUHU7bax+VhNAmEt1WeLTjLd8yZE1eNUBnDCfaayVYEZgks8
xP4ols9+1pfZRc1gT/BonDrBHwKgEbky0QDIm/VxRt7psmx6/zvyWtxiZZRtXVrXqAymJapJZeoE
Y3unIscIYmVGgxkLX8u9oswdxEXmjT9sqp7fpRnNF7OXldXBNDb7gw5qLJeMtvEVc5KZRKZYqe1Z
xKjLFK7I1yToqkigfW/kai/ktAy7ua6tfL+aU9MiOWyXdYLEWbu+2/Ji89NqFn6N3FfrXw3VPIYx
dSjzQcxmQ38deO1pduySa7Ary6epx6MzXuvauJTOJB5RelnvPW1TU3GLZbWSitL+lVJAABIYvLn7
ZAZ5FNytJep/HTX4aecGvYbK73ZLn2zZ5hTNbinbTu7XAmVk3gYpd9KICQjMOPp4RQOUib66nWG5
7zJ7cbABURqUYKyDea5Ok2116PcZqpc6hq3iPdQjtk37LvCr9geQIaC9A0IXZtoR29+OVjGaTeJW
MnMTvkTWXgiEn8s4D7Scb0RpbVMMKma+CobScJFYboEYzsYwFF88wwVgsVhNM7OVjOCErs4wxaNl
KpUEVZapD9PiOuuhHcRYxrOxec/4fYprFPl86SDubK13oiQESvpZGSIOu3kRhKtVXT5EkMqGGD3p
sbjVGGGEQ9z2gbTelyGlgGTzi/xjN1pGFAduPpU4/FkTyAeUhdAz6owZgKRadLuTonKcOFzlmh8i
Zxo/e57I/DgoRWgfl80gguPOD+S+XvPF2m8b6hr7Fb17+2pFx6d+njZLZPfOIBv1vs1a934Dno6x
Q+Tq9sYrbDu/1iFamd8rI7OaSwQOInkTmEtlf0HQzg6vw6krrR0VNuN918mu4kAQrg+wU6Gu6/iL
7STuWhb5QZl++RxVwXjlzeWsj73FcbMPOjRkj1HQ9oT1+Sh7pKr6dksav/B5ibmhcLbwZ31wZDYX
e6/sUKCos2B8llZuOtezX9c/lrz1Nig2vu451JrRvi7qrfrYGYvOLnwB13nX+Xn4PhhNq07ppdXD
fnXH9oc/Bo0PAEuuHw09TlUyEgzmV1Lni7+P+D7Obhsj/Ofc1erEhelnUxgvVW/kx8pwkdsfQxR7
kFxS6tJxc088rHpqi93QeNu2c6uq62JTq9J+r/q8kXcswL5MfO1URp/UJsvtJiASQ3Q+D6CaVGtl
Rwe/K/0+LgbX0fCWRRC8B9dgmH3iq7HO9q3OjWU3oQSLCJkqh1XtKx6mv+6UABFr5mOp6wQdi9mJ
82H0LymXTvUxmrYg2udmvXJsGstIFS3DYc9NQ9Hn+nvubOKrdrxCJaLpwyBtR8/5WAXmPFwVwg5z
IH8YON0D8faLXeP6WMUgYzw68BdCW47bglxRpDaik1Bym15PQVcbUA3w3I4EYnxyiX5YTiXN26qy
zOmzlRlCpkW1wcleaDd6zt5v6i3cD8qfqzM41R9SpFkRyVBaAK7Yz7W19l9MgcCnEUugSOXeUMaE
pFfjYjd/0EVRdrEL3r54JmhE+5T7map2j6Fef6AZPesPvmEOa6K6XnIqIhlq7eagaUHJy63kznPW
MWLLW62zL8Ix6IHqDUMXt+Cx5jjYgs78FuVh0cZnvSoHdfGli6gTQjNPOL2aORahs3TJgh8CBWj8
poLEtEtOAG3iyXUuoej1ChoMEj3rlMnbcfLrNZVjtspre+nay8GoqmKXD311ZUWlUR9rtL3NxJor
8TgVvENk3sKyAlsPICop8t6mTFLpMYoBgHrrTo51tFxol0Mu3mwxb8lSLerLiqTJ7dSsEYjpIViy
ZGzy0YwzeEynRYjZRYQ31xxuk60/j5OMRuxEfOHExaLX22bSnkHyadoiWTlSP0XzgD8TvjrVLarn
HLk1+Ci5szgKytgbXTu/y01NamO5ZV3HpdB5tIMiMXo9Z5i23WRw7a3ea2W25U4bc2Pv16wimS7R
EKt2jrOut2ppBiexKKflcSv9xUXsXFdTQs3Zt1mM2yRuBFQZ+V3VhV6qpJ2yEsw6Vbkm8aqQgNgq
0NaM2RBhsa/axVuvutBT7km50rGPVbPky9FTlu4Owsg03x1oSb1inTHUkf+h71a/LwmBRpVFgNT7
QMRu4TXRde+2lb7uCumOfLcOemtsB9vqhvHqBkb/hXC17z4Hfddmt1kdCc5Akzh+FrHhlWN3Oc32
RinbXrQ+Wplf3wigG2IX9KXUJzcLlRh2/MfInwcpao/Kd6Om3YSkZJP6Bg6McVGERGccDrUbi8Gi
gY4oiMrjNapR8lumMWyPFGY6Y4f2vjO/x0LZ/Wjx17bDBjZDxIthD0Nasw+6vW2u4UPrb10W48jd
BsdeCTwKSCVzlTpRlk2XsxupD8FGmTN1gzmARdMInA8KT+nhttOVYcaLH/yJ1td40QQcEDIuKk9x
Ehmodl8vhM9IEnK1TDtryPInbwnClf1SeN/sOfP6ZA4i8U4Rk9g7UBju0fBN1MjWKqLxRnojNa4j
VmZjc+aqK9ZfZhycAhZrHNGguFVO1C6HRvFZE0q33JVgpn/gjYKHZUev9H3uzstXPdfFTV85lInz
Eu78VdlVLvFHnwmPeuY89kdpKgGZpIWZamcym3a+VToyRZXMrdKom6yPXimDIdbuCqINknhzi1UH
PFKjcocogcBg3/ULDIcYplWkD6Rg/fdt0/VlNIZhd1zqav6CSmB0XawRhjrjBIad6MHiN/wpWtUx
L4O9Kh3jtnGbkSNYOuFpxI/0e4mja/MunEf7loXpDCQOwrgH7xBIQryqvADykH10a6NWcUk28T4r
M2Hu3HxoP/BYrrwMZCMYJg/N28VYIytpDEtfR/5i2gS8assu/XZxPyuTKJZHyVZ9LFa/dXbK8RDr
IHvbPuOYwY53onF1D2rATvLUh30VxEvN+9mFbTbcFms/BHE5FgLVhHZitk3uuktzts2nxhUl9yx6
jI94ctnfjVYgCrnqqLhedM/NFo6TmcfVxPGTshXcL0XV6ybtIceHSa09r0pyMh4vXvMCjp8b6i22
RG6dwsE+V5HmUCB45lQqiRZzshPH1WOQls5kXbU5axTZbS+r40JVW51QlM2aYzS7boPWAMrZqWcX
xgX5hCH2fjv4T3I0wPls01Dn5NNbVXLDdNwhm9NE6oZIbGxi0SjP2ituADj2NCGe9douOA1OCCEd
Sq/MHvU2FuQKY+F4KXh9349bG6iSQ54rYPpI+5xOGf5676jQIt5EbOOysxV/G9SbWaF93DR+Um5r
ddjGbF7iJq+d4v04WeYTpoz+mIg+KJt97S3s/4FUumD/ImTGveBbT2UQVWLXehZBfpn5jUVC74Gm
aKlbLon2K7vaFThql7EFeW6O5dJMblK14IwpHk0UWf15BqBuNC40nF75D5MchyXl2haKi7nqrdiK
zN49tIVnl2mz9MWUjl6A/kne6igxmilbecGUWY6y8NsitoZhDBPfFXK4WbKqu6nRx9IxWjlReJ2R
7B6nqnY+A8rKxridVatwVImc+0KCbqbak287WZ3vBme08TE1zYGw3i6oiyXLGIzvfVfZMh596RYX
TU+DMYb87X7AlVGtR9UV0WeIts5VMQjrm6mqprractTHuFO3vkvmpnLe2Q1+6XdF43cPhWtUzX4j
qn1eNi7jpOIr/mgh1HCSrFtwPdd0nGKiRJ0fV7sdmU/HyNsYULOtUe9o8yhW4VmqwM5dIpZm8791
zTKJi0o12Dj6c+hOCTw7j2aZ69UBuk6LYpli+s0V5qsquhmbeQ0o51BuuUW+tRxjqAbqnS3qbNvP
5tI+1+WyTknoLRHR1JJ51IQsVz6eMxIuN07seU+6O33nIrByBA+bHIm5amRC/HDJ916/4ChOPWDb
1aI1oktXS/sW8LN133SRKRNzWscTHU1J1hQExbvG9dYp7mxkzGIf3Wg3Dr1KfbQyN3+0ncF91ouO
6E1nXXtYNBpkCSkbqbhL9uuxBaP+ogy3ScW6CVHUzNuuyjjPrfWZsz9sMRse529OaxoVcz8Kmr66
DG/rs7YkUCpZP7XurOeDW0eq3zGnOKL4wrffZ1trW/GybE4dGy267wenIhaImePhoTOLZoyLyR+X
GFhG+yEIW33lQRho44aVcDu0RfU5R4rtOZdediSSNWYUauuC2EP5p3Le+i/zBFEk7vqIIkHj9DX1
cpxQ6dwG2qgJGEvrQudVnh+c2hbU1gZK3DHmjgsyWpHgmCvmYc5PPu7lXUJfCBxNq00yAbNu7Rtd
ByuGP3KcBh7ctY5MRiOw73HcLuVvTPe42dGCK2qnL3dinVtWfSSHhTBAd48UXAKTWEQs7wuC9wZb
IdSJ4mL2ze8erW0Ry66oQhhLlXqsYYT5cTcM5KzLsIQ3wzC0aMnWhXXvGKb1LarkbCWLHuwnXUXt
u4IFvyVeb08X4Sq6IDE0EcjJH1EkpjbptRd41EVhYhTa3cuVvBbTVzOY49IKFz8Numw2CNDmeuVw
6vIvKPhUn/vIKr+owqT0oMxVeHuddfOjmmT7Pipa6pcq8pW98zrP/5rJpWLSKDZtNJYd8zF3S+dq
BgY3J6Y0sMnagkl8D+eWeHAkd+IcsD3zq+/IjpKWmASh09yrKx/5NoNEvdyucGHeZDJFG7gsO2r9
D5Yq3JNdTuWXxkOUK5XK858Jt1Z2o9H79ypAmXAnzbX8TAm3eLQqbx1hg7XTgwXL1aassBED+fjR
SwgZIygvnMzbx9UCoR1rHS2fAHDWOkGbxWeV4iNkp6JrLaKnrCZ369QyHeoML11U+zz32Ae5MOOq
bFdqIuFoyF2ZDecTGy/d276yFkGtzAufFtmr5wlmmIqbMMT3xdEUy5MApaL3kFiDKllV3z+ZilM3
ZVl5zyvH8idg4u2n3FM21YfcI4LIjJYDtKr6bkiCvDTmdHMs3KPaoOBbl4MyQ4oQdOvQE4wmY7dE
fn++CsPu1E0zR8E8OvltZAi0LP1Az7tyQjkymdycS2gmIXq2NEEUrM7GO9Vjje8vaY77SRcAd268
ksQw4cLWAdtD1yioa1ktiLeiUHky83yx7xo3YA1tE4aTiZxn75a2J1pUzijz8DhQ7SW7a31XXjgU
GatUy6K66Jxlmva1aegotmrTW5LRnzorCfHFoHOxuP4U28oPHgBfDLyWNRttSjYNMngWJeZDVFiz
kwj6GgjplLK8rDBIM66dgix/NzmR0cWhdqjbRMJzQTuUjkVUPoUtNXFV9PfzZJb5bmzdRce6jkZ5
S+1efNM2at0waEp9p2vPAkq3Nf5t3XSVOFXc8u/bVk6wFSTBfwq1vR1jBYtNwWZfCFcbq3WHBPsA
66DVWFRpv071/aADUtVxCQjmM6KOAaSOH123KGCjJ6r1fAOhjzpRBN94i+3R517zKi/oCZ6drYxr
NfddbFFtvLeb2ZDHSBXFV+Ih8kAj6wIExSOKMjA8a8WBRE/6nWic9mseutnHcV1m/1xFRhhe05cI
k7kgo0k2pbyLoCm7KalFT1MsQjG7jRcCtPqw1F64nFoqdV/xSXLfCSMo86Tnto9iwd6vduZsWSN+
0tl4LZwlQP2K4osVozlCha0JPePrQnpxKzdPf+intbxry47gqgnb8APbipfUhVl52c4Z2T0MqdB+
b0aGkZ/wwnXA5+quOecV/sTPGNOlEvRbVqtCqkFpl5zQJYkoJqK41SOr3GXhBGIPl+CuSOgTeQdX
TDYmT03ptlyRfvuO06O5a5tqKbgVIFDthsyzUsfrG4c61mRdE75NbCUIVV54NXTUSK8GcjY0AZH0
OnrzMr3zZmv9Njajzi8irTgGxajso6p9GSTz2fokaTMvfDZ6z7oVHDVs4U7oMq2CJfqI0I5FHTZv
gq9r1gMynCMdssCyMbgv1dAUuFD4MPSaeuiCOI/Qq4nDsgvkIZ/t0dqbIfUAbrdeALhsqjqjnueJ
MnaGYFTnMDY8VC3lu91S9NaH0XWrj54Y3RvsaFectQaTym8rlvUALsGlD+U0RYcaqBGhrBVJ+WXQ
Y6aO4GEFrjhR9bTmkCLifgtIiOASmPU+HLLKTP0m8m4bPbI55FLQxPGFu1DYJNY0d5Mvu3cBbbEf
rt1PBQrEBEKc7NRZ41DUABOqTXiPlauLR4zseoFFQTEeBR6O5VXbjGSaNlcAqYsfLBeU3lDaHkSg
8neNcya4ec3QvgEy/RVAEQFVPNOiCHppg78ASGVmP/RIetOOHl1Cr0ia+85UFuaS0vtQCLV8/H0X
+hWMJAO6GDiEZ5lNtMd+bpqqSiM6gA0HRprNeuNkaklKxdEpFK5amVVSTiOpONWVmnfSmKL9WBdv
iSu/Im7HlwAbeQasn4XXXoBTWOwafr+sQXdnw+XGGrkfI11+z7cu0Cm66kSSUqCSHU+b5P6B79WL
nYcA3wWKKlRofz8pv2JlaLACqMLHjIog/Nyf50TbVlvLHq9P+NXNFSl8+6F36vwN0O2vbVzaQsDm
wzOHBF3plzO/uoq+yFanpkBKjq7lzAHge5ei2eTh7z4QyB9Y/i7gHKLgl6tK0hztKxE1aVRNUTzK
br6ky2G+0X9/BRBzZqWiTwAYB+vF89r+C/itrfXmhEvNA6mBM6AOqud264cPXubDRN3wtRuMfrn/
/aO9Nos0ODwLkO/Zi+D8+V8GpR49g5sK63ST/Zy04eIc3ajN9kq2zRuIwlf3CnC7MxEd5MYvJAQD
Q7QNBH2TulJ86kagvM40qYROXnOFEUd2tBFM3CN6qT61zjYkVWW3bymK/ro2WZR/+Q4v1qawDeHM
OuJ5F8SDCKeq5koalf33AQ5nL3bUmgEaIKLy4hwyAyyRV2ohKWNRllBm8UidGNPZbXIfacYQDhTl
JL+CqXlLQvm1I5AJPiv4YfyMEO3PbxRS5MZ5VDRpU7njVR70YChXOYAqQM1PGzSQf7+CXh0PGR4f
3DTyKvYZ6/GXFZR3cPONakCF1qzWlEr9nHhG6e8nj2bceJbl/f14r3BSeYVo0py9UQOO3vMr/suA
MDSFuXpVk2Z11clTuTJS0tpedrXOfnEzLI5+rxTtuQZvG3ybZ7rGTmlsfmy7U5iKtvYu6rG0P//+
e726slA3Q9YTMXL/pQze2HhOnqEzmWKwXH4zRijlBlLP8e9HeXW2MdkGvQ1whpz854eX46LJAG1Q
ZRs1gDwy2tvSmulMk+VdD0QVb5zlrxxKOL1w0CLyRIH4JShe+n3vTaQEKaao0ckeR72nrelRNQPz
ZWbae7cFQzv93ac8+x6g7odeDzrK9kup0q0vLZeotUlV02XPgVeUnyBFrTedtWyn1YWQ+8Zj/no2
/TkinGrckAAGvmSNyhoxgHyVbRp4ukCI13M/uFVE6SzcgiQH4500Fct7XTVlOysAQlGDh/n9u/0F
FXX+Diim+qBnwUW+hFzrYXKLYjVY2GbgI2W1hRele2a6TdTbm0rY+9DswqToq/HvSsoxMgwNphyd
B77Ai1VFG83RWaHQJsd1+zjqXqQAUVTcrTPeUJP7lkT4L6v4PB6ELWzpOad+iZq4QVexbnWL941d
PITS76pdQBr1uKG32if2NrzlqvHLOmbEM/X4bJECnuulyMJSRzQBQXlDY5nwowt8dTtJwCk5NjyX
QBuCG/ATwRtHwi+X63lQYPABukzgbF/6cefj1ISIwbXp2IVNHEUb3Eg6l+AEq7dClNee73x9M8oZ
r/Cr6Lphu3RJmjQPzKqPPaPu6yOyYVYYO5upDyQO5beGyT38fs3+uTF+QtPxjEgKA6FnoyIb9GLp
tBNAEuBAXWpAGXuvSWOpiUU4glfF7CCShl7tJ2p9Rdp3IvwMHrmh2zRl4kqCxaIlAbArleA57qW0
sjCubBqe/4vTBKrUOUakDfEL+ZfY05mkn7Vp2LXN0aCYloI77g5hRO1Hbut0+/s5eW11U08Fa084
d76Gfz6jRdTr2iXLT7u5XxNvreR+MaR7iWZdifZV8RYv9s/F+/IdcBueCW8QGvjfzwN2fk0ntNZd
ms0uZWcz2+4ILsRymWFgdRus/qbTYZXOV23YwU1hNvWdb09DFtfD5r7rFKD3vz/lKG1yfHNTRQjX
nJfrX+7oSXf9pJqsS3HBrdNItd2RuotMEeay9gFohzfO71d2moX8BiYVGALBanoRb1GtcBphzkx5
4eTHcdCP3uqLNEQxZ//7l/vLNU84By+eNAthN6gAL0ba3Ey6wqZbUhAsq9g3c+cZpby3BA5/vQvO
6wcVLl7pGd78IrsRM74teH/1adl05h6ED+LSjmNchFuF5KIHPqPPAudExvCWOtWv2eSZJgI4l5ME
ehiynz+/OxzQozaYnT516ESSPpdgMoJA7jR6VlPaja5/0u08prYkznF11N3KflRfyJDeMt399a1i
jugAaLc8i530UmO7nEkjTfAYCASE2dFY5uVHBGPnbtZeP76xYl8di7iSJJ6CPwqPPz81PccQ/DNj
hb2p42pxEN21ii1e1rVMf7+EXhsKUmWEmbgFBPmlvlozel27hV6fmqtydyyx6mRn9cfS6os3Tudf
F+t5F0K9REsYwcqXJxGtEgeca8SrXMpNxVSFgYRKJTrxxuz9QiVhzaApbzF9uIFxH/w8e7DF+tkd
C5ykhvWT0v4HA/bDbpsKlXo+/tObQ/kpOGMPeqMv39iSr80nj0jp46zBw4X78+CqNZ1VbjzlbFTR
fqBDcwKMlB/LYeveGOrXa/ZPV0Ccy9n/xBIvnhPWgdWBjhnSoPD0vupM/24lckrNIOvA1ZAjebTa
ouGNWserezKgb/Y/476gAdh+L80Si1UQZJwJcz+JU12H1t5uOrVvcKPcIXQ4nOoiirhh9HC/uUP4
0OBZ/dbJ/spkk+hRISImpBjykkGzuQLB4bIZsAAZ/QREunkR1FBz+yF6iyr3yuplybJ80W32ebUv
JrvGHEGSnw/pSlN1R7VJX7aUt7/97d14Vl84E0cZiLrLz6sHDVKL+7EfUjy7mkM3rTLFuc6Ol8Za
3rilfg0MIBeT0ZC9wSDjiP15qBblPBH2Nrukr4Y0rPDoFMppnhc2VRwuKOS8sS1fHRALaJNnsCEc
v7iGZbhY4EGCgS4Tco4zbOpdVXrfQRPAPvDK6o3d8dra4PBEVQz5GGDNL+5G3JglHjCtQiNBOEne
eGaMrKGZrEzqGzvitbXhYeMK05DbAQ3gn6cSuHSwVBFuGQOz/c6acQDbRX4Bqev3q+O1cYiqyRtQ
bfHREvt5HPzhOlmWAgleHYZplOkbiCBv+aa9Nm9/umSyrQIIhi8GGUloDZHNQzrLCLlYmgV7EYzb
zmvY579/nlcOMKy8zp4VhBY82IuDRFmenoalww3Odc62v0jtZbkC4zLlyzXa834y5tPfloZk2cMr
or54rsAGL53LsNqS3VTMKrVqMvdomIcjNJW7blXWGxfeKzPJOWCGZytl4qeXcgEWrMJmjhqVhgW2
H3OJxV0BbTiZQ5puv5/JV1YG04gyUHDWJoBQ+PPKUGfKN/GTSivMXO7oQgWxq73pjXX+yg7mWrMI
TKiaRt5Lb0+/QfRr2VzWeVWuaSFbeWzoveG1QNuPUvL/IgyCEEo5GFVZDsOXDFQ7U45VraNOWwnj
e8QiNu4bwsCilsu/ig7//rT8h3hu7/6VoKj/+k/+/dR2K/1wqV/887+u86ehVe0P/Z/nX/u/P/bz
L/3Xbffc3Ovh+VlfP3Qvf/KnX+Tv//f4uwf98NM/0kbnen03Pg/r+2dF4fHPQfim55/8//3w357/
/Csf1u75n388tWOjz3+NBkPzx39/dPr+zz/OVfR//+uf/+/Pbh5qfi3Znp9k/vDyF54flP7nH1b4
D9IYIE4I/p4ZcmcW3vz85yf2P8xzAotcBB4+2AZxujbtoOU///Csf6APSt+H+hV8Nkp1f/ybasfz
R274D8IyQjLuAEBANKP++J8v9tMb+n9v7N+asb5r80arf/5B9fjlDqPQC2mXvBEpIQL+l8t+FWVo
oPDWJAAgw/u2KcAUb9ERlsnHojHUqV8jIFvFWWg6hzU0jMGDU3fhXV6bQVoZETj+8NF0y3d5n6di
qZOyA146dS2QB+1eb63X3KCZgXZKQT99oRPuN8FNMBLIeKo9bTTYXBiCXJzLJQoFx05aqHZFaeEV
ZwHda2Al11CrYrbKNdp838iNn2hMH109/FBGdB0o58LsgvcSnsSITFX1SUbP7XI5RZ/0Zh697ELM
F02RX1nhx7J3boDPELS6VWI22Piuhwih4N7xnqLukW+XTOIaCkYTZ+gh1nl9BwRlBzqd84fqbP+p
mprTWi5pOCJGKy4V4DHqmEmx3W/VtU2BXINgplrzVJTmx83fTnO03YQR3t2Ub4zoAxkQAkDebTF8
3ai6dpVJTa4HPk0fVl4IVAtWcN9+fgh8AGm7dfwk6u7AXM6jjKP8enFubH3Rm1uiwwYUkPeM6scH
JADspI4g4bl3q5HtLEN9GMQDtx/+oImo7rNWJpVdoIm2QGyxd42f3c1ySz2Jy8pgXku3O26mcMHe
u951sJUHwxueskVcKEot8bR4O5AKVxAdbuU6kEPJ45Tnj+Xwfzg6r+XGjS2KflFXAY38CoBgDhKV
Ri8ozUhCzhlf70U/Xl97bJJA9wl7rx3M2VdVZ5qbKYW35GgwReJLuU2i+mkpVQwVwkOky0a59iJw
HntGE+lTxL82pqLIiHMab618S5l9D8bi1dMt7w8Ilt0SAcqCLQkBvRPv46E6jZkqvUygvgjb5yhP
PEu9Md7cxBaMzra9ReZ4b230fo2xbKnCDLdO+V9iKf7MFao1y1yeSLg8apiayamFL2mvgdKvjjcr
egA87rkz+JLXLPtASd170qg8MK6/qvKjq6DGZTWel/QNX8w2YsXaWQ9h7HvNHmXf15mXGpmvYGVz
m0W+duHsjliMJiX1CuSIy7p3cA4YfXlM9Cb1xq66mstZM4ff1JovnZP7ZWv4dl9tQ9TyRvanqFt/
HCa/s4tjgoRAL49LfG8bUuyQSmLpWob8tY2cXZSGbj4UvqGMty7FSlPZp64fPNJMNmaXeGX8Hatr
oKv5ey+He5iUe5mPLI5tn+E3uUYv1bq42HKeOov84zrf57rYTdp0Xirln5Mbf+JF/Ze2H86660Tt
hyiJMXwAKHqzWuswlr5doAY0rDv8l8JFYOcWCo+hOZKJGT6FY/EbE2nhNj0LTx1hCk/54K/SuAzr
2H/h6PnntNUh/v/H6IMyRiuYjGhdGOS6Ztwc7CX9E4vw3bF5SYSh/XaO8sPKZnQTe3Q2ucoxESab
eE2PUuCJaSM/jYqbs8YbZbaf5kE0KH7X2lszpQzUab5bafTHQTvls0K3roKoIdxN9j6u9NVjjr34
GGoi/Db5dbZogtSxfV14j9qZs0HJd8qEBLL8wxYqMYwPrFS7Bp8bh8g96f+p4bKiWVp9s2TWUMd/
Vbu5xOwXJCJoDwtQ4ma5VXnkJHMEhfp6zQdjfuYcnXzWECecdPgKVfN7UmyEZ/nqWvIoc6u5V7E4
gW/W9xzo+rZZXocy81ZdjjdEJx+hWiDVqfR7BrfJWpNko/cdGpUcerUSdvcFeVNhLvKp6MprU2fb
VUF2bs72gYBAsBSotndhy14Ip64ZrDGvpoUxlfC65DOT3bGync2AU8MeEQOK7GRX+vJiFMp7my+3
LE2PqWVcVIBAoX5EFr769Zj89LF4XieCyxPH/Gmho3tzRq5Ut6TIpBapb6bcThGSFLOPJvs2DiiT
wEaOOT+8nXmLIVFwUby4I1HygdmYvrXwNukiPIXT2l6SppkRkEcsNvT8RKp2swv7ZbI5U8v+ArUw
OSeIA93MGTZ2oqG0wiK+l3YFJ6/WXq06IlAgVMy9zVb3Llos6lY7x5zfyjlcwvCjH8ouMM05eYOs
NgXGgoCGByTd4LZKTlaRzMeIKs+POr3akcnMVsmum00eicYtOGD9ZjFDbsUUR666nq3WCZq15ccj
xlhApok0UBWq/AeMe3DVtF1cjEzZPbLDZtMOLcvNuK726lojuqq+6z7CnC52WiOgkmGXSyrtFOps
ZGVbD6SGGtWttbBbY5Ewy0uLqD/Q4n78Gws2XysmDnW/WBoGHcpTzltZXqzJXv1pHRu8IeuwWRj0
GHO9n1Ma2HIZWm+OfrG64n+Tn3qpKH5MbqczaeC26x4JF2nMOl1voTehu8xZticuVd+Yw1r48ZL9
6WcEO8ZU9/iW43e8wYhctROp2AikF+ueZEt51q00+0fqKZ55MaWHMFttxBIGhtAU7eiiol7UG8fm
m8lV1h4VOV1FQllgyr/4zBtk0ioPrAkVXlTdzdDFuDHKHAFWLfqNURc97PHHn6Y9vFw4FK5lKb8o
iuetUSMn7OJ4VzT2C47eq6HYk0dmZHMaFAoF600CK9yu0aJ5eGlWPMbLXzLhBk6JOTnaxhR6Smcv
u4K6a9vxU3uiOS/zVlkpltZfHF2q74hW8XKzfV/L8hu/xlNmNMomtgtOA5mf1SV91ZJu30XLOS7U
J/DHgaaVu94YXmRb+KrOjRKu/2Zms1VDlSbqbcvXniT5FmLjFp6Mm8xBqJ/m2fTV6lEzGYekM7ZO
1npxkrloMf0KQdrUxYe1sPFitcM2ZzXTLM25MrKDMxfXyBm8fLo2pPaVpWB3Vm9DzdyIEY1RSOHW
6epGZLwaulpf+O6pIO5CT51DnSOZwy4wHtdxjSIywHj+Y2VUr7kQg4clkJlrYSmdlxWto3irood7
2E32NosAo7flOPt9XAnN7Se9xKfXrErhr5MDw2ll6udq3Wjs8HeSP55USeoZreoc8NZbR4pk828m
KCBjJayOOL8yj1mZsq3qNX5ia8jNGMuKgMqR7E2xhsrWjBgoygKh4jj2WMY6qXrdQ4lTOg30glgX
zySbwVOYQB0NcaaeRnTunwt2B8Sl7FNjsVIldcka3kn/w8uoLQWjHgVKNgapebxCnM6w/hvKLs3n
5r3VIRXrk4azQBmT0WMbXO5qpV5e0nVRzy2IhUNHm/lbqHEFaHXqn0AdfxlTifsjJ3L4QoZi485R
RT1TNIq40LhlwWCXyQtOf2Wv8dHdMVasJ/oHsgrHyNjnqoWFymmaDepMFK+h7Dn5Yg1t9Wx4kzoV
hzaR3B5Woy0B54em7bRa2825GR1GJ/mQXTfrgdorxruaS+So5L35Hcacm2MSds3932kDZ7SFuB6l
6Ks5DhALRbnyo4KMiNqQMmXBEq4WnTiW2YQAOXW0d5gy4UehdflB06ap9IpipVSsF+trHSmMRaNG
j8OpG7aTVQznGXLxR0tI8H5WUfByhRbQWsq8Hr/XvNZ3pOuCKo/7T8PsFQ5ETfiWGPSzrOznxDG2
xlyx8I/gJ5h20LTSHxRxgOyI8zGZiy3fpHC1SJzDsrrY7fymZ7NPTvBFzuhMvHic5yPle+c3Y7l6
LPJXd8jCT02fglw1FVdD5pQo6smJuQFBW+wJx3qxp+JVy9cg7WsupZnjqXrhXj1gWdooeER93AM5
7qb0jxhUlWh7NZgTC92zUq2bKe1uckBg3AwwRQwjwe+kPHyM4Rnp1LlW473TffEMVl6esRxzzOit
ymaXNJlr1whJAaiQOlzF8SG1M+cRwUvOAfhnVMT6+zopkgAPyZdvtV4m7b/OjJB7MLCemQAvDumi
1y9SNlhSGVG8rHkyeAZzT3xNdH56qsqgStXWr9P2dc1X5znLMhgQ0Yp1NzcPhUUqSWIxgArz6tq0
w+Ji0s6Qlmah+xiob+ZaHCJLD2TtPC/qZ5UYnlb3njG22xACATfKxoJxgo2LbyadFUbvtTuIeTsv
mTdlfHujHAKjwkCN3B0ZvcDV0kUXRx2/hw55rk2FjeNJaYM84VEn7lUgguuTlk/IB6YHmLKjsg6j
P48VNnArG/yBOpR7QhTHso8O4E4vkeiGQ6kMtxpPBxQEA/Gug8886eJtLVofd2zod6kZIzwoAeHm
Y1HQqLRWGXA7WOdsNKiv5EOYnGi4s1qOhC42zdxVs84MdBT1l7wvTXCfeXONtWTcqCp0yCKM7COt
HC8BHs4iwPKRBpWS6ztCmOKDSEgIm4VwNoCb4ht2tNTrY8161zAnbU28XVv8IJiV5nV23hGkrzdz
NMfX1Fzyu2UMEoTMCEGiDXvCeHLHeJdGn5/jsUnPeSmce5mLGHJIruMmJ6uddmZq9qqSFO8T46AX
MCLFF2ry/u9IfXHo10Fg9o/VLhgatX91Rmu4DnBZDyK2ATNGGXZjDEDjVi/bcXENp3AuzmT2H70h
w3vWptGzStq47Y5dSJ0rw6R4GbRF+1yxI2Q+gFm1dGfZED2MzWs3pFnoSVlaL0bbIJ0ps/mSEVN3
XFV8jb3Fg2lahXoPZSOYubbijIty2WPlbi5hlhjS082aoz7NtV5BuNeYJw799bjqOl0by8Lyvc+4
J1VjWbxRafW74xjxBwkXbetr8dK9D47Ry0CHeP/GAGHeQ96BDFBk1QbK6H7tEcjPUdL2roMN6HlW
yayhjyW+QJZLxlczcjHbneMBCojfcox2m8Yso5sjx/h30EcHw2GkY7AOqxWrQWjF4XY1mtGTUJSC
Fb8ePkNRL0dYAQ/XfWYfcL+E7lyhDWwIDEwntI88tYkz79WZLOFudTVF7SDnM5TQ2eIVor1xz3Yu
ziycsQaYo0G/K0VMC8NCIUfvtlNnUQAPxQ+klav67RSjiUA99DHTJrBpwWEwRO8v2Db3SViMm5IG
HRej6kahsDeZk31Uocy3+G2DydE3qcaZjUHhCRv0A8UzUXZlf0oUWbTm8qMtikuNzp/XXIlebL3N
XZjxjBzKdqBukBO4+nU85hNtZfy7MitBueKOg/I+xOGewIjNpON1kN0I7UOuB1sJQ7/HGTCTI+vC
4eGfy6dTJfNgZHHiOjRgWl34dKOP/vHJJq6UvziNO7T+JD+OT+b6mhorjj+mDcyTbGzSQCRflKRn
OKBVlU+Fulesame0rQpqVSXrvFfrs6x/enld4btOBr4XrHQXph6Wp2Ic8OJZqUjVYJKB4d01bd9x
jkkTaLLJeYeSHj9X9JOq5F4W1k89J/lrWYhzN7NDsDCaYzQL9Z0qidRZJP1UltZXOqk9X+W3YDGA
vzMUG4iGASk4X0QQ3jjkOOP7teDTfi9juVHqj1Csi0c+hc9aZcJzTCfQN4+mLMU0bLNI2pqrwn++
iqPWFOKtj7pNVzT0pGSeDu06HJXMVIMmjrddaDqb1o7YBGeY1bOCIeEj8Uppo0C3T1oeRLhgGhOr
RVb/E7FDNMTAnRmRDONBSbH9oqz0LbcO/iiMIFCfiiGIY4YozVJrm6Iqml3DK+QVsuqeolUlHamz
OVoKt1a7l6yaT+EAwDjLqrcWIa5T21+gy0evL8tkqyKeHLOdg3tj6AUOxmw9q/CEUDZ5ceqco1AB
Jl302a5Jm8irwUJtOq1m3OIsf9lwnQYnNC+c2dMG2/IRugz26bZyNqUjceXqOCWM+KQwB9pgsEi/
IoAwFERN9b5W86+KniFYH42n0gJ1hjJzyXr94OBBYpjxxRZfOWHuPA0dhK+Mxdt1KLEczZM2XzGb
WNupqn0ZL8eqDjdDMkhuJeNXMcuHc9I5E6YCrc66O21dvWnTam1QNpYe+WcTXwNyknlMW1eJaxsM
wGycBBOnO+uBEfszmY9911/abN2aSfSEL4TXfJRvC732plmdiybxXWJzWRVGMh10LkhKxZjxtBC1
XWn51imhpZgypGAv4323VoH92HS18XxT88J4KRgvJrYmgqjAAAlUyNpifLFIgVrSLQkJ4PaSyn4S
cfavmaKbXPUD/yVv3IlngeeysOwvJy+Zay2SozDlbgyjZG8kuidVPfHmulQ2hqhuTegwXjTAOtlZ
spVhPnhm2TebRbePDhVPU87LJ5cV9n3o4SOjoNOQQSsjkD31J2Vpb2Oi1ldKg7Pad0f2uxq8GF3z
7Sl9yhxhHbow+lHHONuQa/nPNBLM0ax773O+8tpn1ZPQWg7Jdh6CKG+rJzPDZRrnuJrdSh1t6ASr
PNT4sU7gGaJrJWSy61QnCRIICq6yAJ5qdM3j4rrlZlh7SW2+aUO2nRa796VV1zcunm3ZKM5ORV1y
7Y0kxkXL3NNIr6pZ3FGccF5p3ySQ/38r8YuECw5fR2ZeTmnjl2nzalhztosQOblLHyADcAuQd/3Q
vGnmZ4Jg9xrNinaNh30UVr4FRg14bq58CeZwd7syoFIBKD6o7dq6dF76fZFLBrF7HV/KsKvc1Z6H
a1pqYqNW2b4NV+VsxMOySVL7z2DjZ6P2emsYiTFmf7jQ4US5GtZw+KC1VzdLzCed6xMBAxDpQv5P
/ATZMX6kzinXURrzIRVV4z7g+Wi/NhILZdkitDErfZPFvBBg+hxK3CWnUGEoOzR7sGJ7RRXnKcIe
o1Vubc+eTF4peqU3tnLXtIgXDaPfpCsNMWPXdwVe4TnuYsPVC8vwOmLY3Kwbty1nbpaqtRvqNiJW
un2t2LU9Q5HaZF/xkYFccI2mMo5l1Q1+mAz6rtSdmIkBZVfVd92Z69Jw7XHhHkzr31g0/lwh+IAt
EbMoWdPAlENHpxcL46BkbCZCg3RwrJz/ZERyalOeZhAP+2zIPtolUo7jYLYHaAeoRaJ6lypY4Idw
hX1VoLhlZwEkY+jUH1vJkYjK4ZQ/vnYBXYU+ujmMSd5v1GXZjFLju2z/OmqI+RFZewgXcTpNNg95
EloH1jRtUGAE9zV4EYdC7f4NudW9pKH5g1rcHyP9MDBBnuJSBOMQcyNFzuQNKTsst+wVFX5Z0f1t
bOMrw/7tZc6ovdT29MJjcBsKM/FrLfqh+pGn2ukP2oTPZzbEMRrTAgoMI2AHnPKm1OqIkiPcKHmm
+CogkHgQ0z6qtRJNMQ1kVWjnLJ1v0lKvZhS9iwFuUaEXW2OFitik8lBESem2DbVAXsQnmU4HYNBw
SCRMApvS1mXSCQsmBcCVGw8Y3SHrJsfV0nM8IITZEfVaZue+bq+0qT4r+CBcLJO738wDqyEODEdL
CfjMbdpK+gXdLzPDwK7bs67E11FXnwbBPDNus03fgmRC73llyzy76zTP6AB/hO0aBQ9+pVTCq2Cc
4+ftdprS33AG3I2+iPbGMF3Vtjm0U7V4ulwuQ8baqFG+QzPhpE8SAyoYrL2Uv+FqQedyMxO6Fc5p
3jNt8XPrU2mVX0rtHVmKpQ8KNBCLfXea9FQuybUPh+9ST7QTIBHHhRBY4/QypusiomO70MHV1vre
R6g/ENxycV8KkT85Ue8yKvSwIx6EtuzKXk/91em25uwcJoesXL7+xFOn0u2a5WmEplJz503KKx5t
yrvYS4tpC8fN9g3ybYq2u/Oz4lpkkQRysXbhCcHIe7zADiezyhsHHvKqV+txWKRPst0pihiIlSu3
hhXG3zKOzqA7HFfCaamXvNpHhvNucW26RMsQ/knMdnQzH/N5VbwPRmKi10uvkMhW3wYD5A5ptV4T
QprdSatCPxssY89M5cNpqqcKyT7EKmdfki40RMCV8TDHs9gWhvNH448ceKYnLWPnOXyPMfczfsvW
CHLz4jhFEJlxgOD3TAKgh/QryOkaa9i2ufoHgTSGbfPvFIefEXebWeMhLzdAnl+W9myW4qzPw+ER
eYH7ejeM1jVJwmMV2g1XcZpSAiZegeJg0zJru5swl7Z6JW0/bhrGbyatcq6sd4fF7kvTzcYdR3Lq
CS1SX7RqSmNWiFEIncJQqiPN8gGaMnQqJyy8CFziYdFBbZDk8JTSfzCh1jtfNr1w1VXsgV9EAOrs
H6fkaFRZ3rqlXPNHtDgX97hMbtq0npkVqif1xR3r1PbKRxNUD4C9myL1nXG4ZgmhV6qyAOfKcwz1
lXjKhvYg8uipxRRf2voVP1d2aEFaiwwpJ/jSo5R2fHB0MQWzHb1ndXxd2myvRmCx6ny2NozvLBdn
6uBBsMFDrcxHwuys17RqfhWFkepi0XemK/8CMTl3ixPQB8HCkAuT1VYAkDgKCdZHz/1qXJ8LKV30
u8XT2OnpU4zHfnQdwWeCs9dfpCNOddwFGEiuayMxeqTUOCvhD//6sIEo+lxW4W4oRs8oQHRQSF/s
vArI/NjqS/lsw06TGO2d7BstbEBZvwMmyMnC0bVP0jQoh3GrODYxQrHbRA1bbrB7qUaVgWW7VgjH
OaXq6FnVsS+BLegvZtZdQRGdori5JBLoANRvS5twqa9C/+NoyGlQkelej2nqTfRmBIIQPpY7TeGD
4jPw6QCyBIn5EkdAkNs3PV+C0MguKKWDqN2no5/PJwPzsx79c2jDh8WAP8BFsnSsaqRr5L+yfty2
M5/K2RhZ8mH2c6D1/2I9ULT6A9/6V7iImzI9tAWaT9qKt8ZMgLJi0/anPJOeQoR4nHs17WbKMdz0
QYo2p4dnCtbfzc0/xNpwXIyJT0HvUQMeLJzvNW4JvzGS8KVusP9DY1zp4lTLM4dc2a82rbYb1qby
nOZWdG+jrrmV6LK9em3GfdcKZ4uUQ3pSa5O/ihPq23Lgicb8pSF96CZ1w6a+ypDQYGHn4FVs0s2h
ZqIl4KMCmDzX9dAdQq2EtDca9aYqSv2NkC6at7njqIdQ1flOi41tjuurnpbqH8PiDTbqpWdwm0e/
nW5FeyXjiE51pXof1H5cqFfjedOmdv0856HprVC58wgrSAadkndNJ3SECDmMGrK7ZZQDLzNFPYxC
KHFqxyLP+GiccEf4yJ20zlerB7PCKPUPYV8gQAl1snIO0UoOTx2xiVxWbyzMq2214M8PpxJfAW0C
GBwPoB/sQh7nA2JzCAhh/k+m5o1l3ZscIYHE8e9kZLQYD5xHmzMWpJMfsJHY9sEJmevWs3F1LGa5
SqhdiVVn0uRAPqzZfNXhB6d84mfVwEwY3z/9ywi1lqxqUE4A7bb6FO9qthi6rCZXaP3TMsE8savi
1k79bnW0S5Tr18awPoU0nrVJHFKtP615u02NqWVGMGX8lKvYRVl6yyvToi6M7rOSHgqt/9C5Xd2l
hTnX67Gxq3MRMB+dgHzG92bWboUS+7ZgKl1pCOhn9o0Daxo1O4dhpTAlHP4a2W+rDgLM0sITpXYo
SRjxahm2AjrR3z5mngVSBa0L1E9LrX1I8oBGZorTfDSIq44vujY82T1+/HAF0j9nn4OTpW4d1T9D
GP/VlIrymljbdpblVivFDiRb//Dx72CUAfVvAmuNDo7J2ic0Kjba0TENnTcKw4umipQKIbnNEJFz
yNGEVblLaMw434pTqnGdVprN29fCWbIeZ7Ja+GYY++G0LCB/mJBUDR80C7OPerW2djweVH1+LBRD
ty4dX4FLtK0NWpaw/1zq4pqGHXe/Hd+VGIx609jsJcPnAS6uksvPUl/2QMeufZkGEbOKMK5/sTwp
QSQdAFRoJwjj6oW1aRUJnm1otnZpaztrKZegL2Zts6bS8WJd57rO9ctMpdgX2m0sur2ZFq1HM/ml
xixnFFN8qnDYGDOqv6m6OF6Z/r/1ZohsD7d4Vq+hM1+kEl3FFPpm138Ao4bn2AbCWp4t5y/5r0mu
XFgX1p4FMQIlNUYnx/HzyfDgmGwyZdzlafJjsA5VK7dReSeVMfLkSKmhnnMW1HrHiKWQ+5Th2qzm
z8twt639ksidXRZPc3GXmYDobT6kAEbEmsxoPZpU2rYw20fOfGwWC7PRJA13jh9QozI5Witw90YN
ryl6NvZ8TK3WtWKNRGfLRJniFqzqHNSNtU0tp/WajM4dUJGnpKCBosL8FmtxQvpxN4ZkI1YVbg2k
PRf4ylP/SIYV6RLEM3PzkTvNU6P+I6+XQ27p31HbH0xHfWa15lupfWbGcaBdXdiHsdekv3QrE49l
NBbWVmsWWIfg62pjC/3UZhfUAsPtB7ktVQhUiRhrHjk2kJRhudtU42mwlW8dnLata69NXfwNreK4
OOPPkDffgrQoZQDiaiIj8OTQ/uvt9EkYOrOooX2GrcWtYO6TekJpFZ0cYK1qkcM7S9no/cK0GaEz
/nSZ/drO2aUjOZmJVyEvbd6c+r6/xtOqeECMUTA4hedUnKPDWh0rYKouwDrmT2n+QZG7h03xlQ/x
x9SFGnsI6zhP6tsyNr+kb6iuZIDH+Fu8KLzaKgOo7br8rEY3uFnFKRlJ2xts84vxMbTjRB82Sdzc
uIsP0l5ucCs9CoztQ5VhPRxWSTH5ehEvfMRshbhubY1FntKyuDKyswhkjyvcIPVJFCiX4kxUXqwu
v8nA3gp8FLtVe/Bzhc1s3tV+JKJT29UWhFrq/U72uF+75IEdY4JXLWJvN6PiYuNfeZTnQxIVFUQi
JrdoU9SgNp2rajjKiSSYBwyqKF478L6VFH/XvkcQFb8MwgLWO/InjmmMV9uOj0m88PXVbMUAfVY8
j+qxZPHgtQ04wr6tmXfzrnI9iG2NtmfbmrD1Qpn8GqlzX0DZ+HkqmdsVWycaP3sT9qp+woHGoLbl
i45Rwltj+1m280mnT4iDWl9CV6+RZJjGG4QTnyWpwZSjGzfLSBTYUsZfok1fjRnkYzmT2pPJ3PgL
zOvXLFvOVPVrmuizirr+I5P0lCzACucHpmwQf/tO/qmUxjPYnKa94QneBdREWInHjxUGrD/lFFGa
LE4hYJcmTfYYdYHkFUfhIEVjpXRLc92vFZ4mQnzgruCUDGt3gXbbnYFHzz0G6VT3e9Pcp7I+RGu7
a5rx2YaWvFdqXi1DDV+M3kQcMSCCWVREjWDRTW3+MNLGvCiztHw2uPe1BiDqFEd1Hi99Yr00kq9Q
kwHkmEBnIuZOhSm2ZDD7kBT+hNVTK9C61c4aCA2WejOwzyri54bZNCM5V49R56Nr7EG+Q3X+bNZY
2/ZTeu8EKHQEh6H1o1E2dCx5J0Nj/2EcSA0R07bO9otRo1Zg65rl58drkVZBHq9elL4O7PWc4Tlh
HgAMXveXlr5WYclRp3DKlEBbkBouzIz6IpGH0hiUgz1lp9hCEmYrm9fY8dSr8diwI0aLsqcmNuMX
eHHhc6vwQZGkKge59MkP/Md1RwSz+Mks8tpy4izvK/LHXy22uWFkH6iI23+LKYkvSWFMiy/xO7Nq
Xfr3DJHWBRVtsS1tZUFRMKRH0irt/bI2WkCsVndaKIFOBcyrv2EJmgfOGsuTsDVpnWYlKEKl3QnS
OtyJnejHZEZfoYOWxUi/rIZdkuwBOGptz6JHWHKDHLA+jfHanvM0zi6WVih7tRvfMNEPFFBMQTea
KHHjZrBqJflrBzW3Ixaa2XdLUgNnLt4hEayq7s+DSZq5eq26+H2xR0Rs5luXoDAlxA20NI2xVUrp
C9BF+Ivz+qVJTfEE1fufqX1VFBbkdj1gpco5rbNbAwY6GnDwMYDYMUcCBmW1xabRV22XjP2tSazn
NraT58kkXKBiBt7JEmIQQml/zrsYVthwgQvykSRYgOQ/+PNeMtKBsJkBujT17OPTbJstIHjZURE+
9WEr5wnA8DidVDMKLHYukXmrrHHHUtxtKOws9UdM7BZjgReBXGCt+dTSv6vjMEN+4731mAc7iIXW
T5GMSzAIpn1RByNbQpwEDr9+aVZ47BUkp4ZZmfCepppq0TqQt7BhUnKJ0nqPFwgJU4RgUCbvpCj0
j+6l4VSJ/BVrnA6/SgXeL1txqyAzEvt1lImvy31VFLfG0sfAToaNlivhByT9ItAqCmuB2JFsCn9e
q/e43I51cqyS5Sl9DJPmtAyxwdndfukcOtxZYeI83vPBOUFZhzjVO6W/2sm8lyspz1FK3B/xvcyk
0M3eQkXYb0wG40BbHep+rC+eMynBWD72AOjWshqO1Yj/1ncse6Nmj5qlTUyvISzXy4EVg7YDtGrE
Z/B/wTir72vfHrsebW5pbJMlQqycOt+O5IhkvCL+wPtTvSUG8J+a8KNssR5FNW3HfNlmgrhzAVHY
TUhvps7CrV+uc4g0LPyOJRvAHp0rCUtncvZOVv+TdArCHJ0SSTeW1Rvm/Os/5s5kOW4k27ZfhDS4
o58GomHfiiKpCYyUSPSAo2++/i0o676rCLIYptkdlWWlJRGIANyPn7P32my5vDoD6rdyfCrmclMW
SFxdtnRG5QDzvFKt+orCLBc/neRnrQDj0+q7BMYMu4R/sJCMriyK7EzVrQ9Kio4rMHEWksHdxKTP
XqGkg8nMvgi7k85oV25CL/w2tdANAVQ5bwDAirVOv20dCnXG+P+yjvXvTLgjH9/PgOLaglaeZk3O
p2BM+9tZ8Fceiy/dE3uui//qxvg/6LFYSCT/3WOxfkNbUKd/eiyW/+A/HgvrH2EtXnFbeA6+GgeT
1L8eC/cfbLLQl7CSegJ41WKk+B+PhfMP6W/8O8jPcHX4n//vsbDMf/hzEqM7+BDc7piq/sJjsW+w
sL3FdQ02SxoSI53piMUZ/od1vixSYobiefCHEia5V3kxGmpEclNclSd/fCf/sXf8aefYd+3+vhST
QLAuCOgWD+SBiS6NnWA2OwRxSKGotmq2+Xhq0ovR6VEG6KHaDcRAPiSqdncq7qMjXrTfiVL/yy34
9/rOwgzCMLjgbA59b0M0BRA9Wx/WaBjdCBm5Gzm6sbtNjL6oePtz+IweY5/ER7VZUbjC2L13jN75
GSZOcEPzpXbWSIopjBKEkh6Jreg3tkEKFXbLEpcXO0ckw3sFcomEBfThKFZcvlIyAXJayn3JqhLV
VfE+oqJA8iypNFfhUEXfeH7c0K9Rqr6GztQ/9r0lH3RGsJdezy6+gWYcPXz9e4Bc4cf98I0AYIEC
s/wihy70Sels/lPS+kMMGnjV6aZ8oSSiA85pCNaultjmI8dh8ZItlNA1pm/I0qpU0MNxsgJFzwea
j0kUWFstyhBeNnGofjZgVYEf9wi/fIvjLOt0GFrJLqOy+SlGSpZdaKXtt6CVwBRBemaveBsWiWyP
0O3EJVPjaexcmloxDfE7a0legpcajYxCbC3J1p5bt2zL0/gNu2mTbwi0QBgnpi666semkogWVWRd
RwGqnC1TKE7deoW9kRsCcU5zSVGhj7Zs6006eFSpdW1G9TpCMe34Xlq0L3qm07oqbHJWTtE8Ofbl
7JaOtm4aw/0RwNNMT0onQuQWURjM27geHQpayiWOLXPX3ttMN8IbOImj9ANgeS+4EaR9IgFHjcgH
SVbz7dppaDA1xQx2oQ0wGSkMO+1ahxZc+RHrdrpOLECcq9mcLaiLwLy6DtmL15l4XEd94XsNUHN7
LfCc8waVf4W+3c7uYtuL9Y0zaoVYE7I0dGsTpb1zEgsOEj+5YeZZ4H3hrDq08+LbNHCd4TIgsjMA
VewqhsBJLzJUah7jDnwJMjslzy9jhtenjdy0ivnUdQKvIEULneD4sKIhw+eSiPpaYi0o10bmDB5S
k6awUV4goXrtZjOKkXMaBETxIzGUIM3MrhYxLYWek3rGtAIVQs4YPaVabcwuG7YayWnxVp9cvV9/
/fB/thiRXuTipoToB5Fuf91rEmtKe71rSbt0yGuJqEIbu6nAW0nUFN2A2G/uEbL3OnYfN+uC96+v
v++0/L0YeSZ+NpvcRtN2lk3hz3W3FVoYZy7df5WQCNHWpXkOKz4+k2a+RL17yRFn5wE5598LYs1z
pEtsCl66A7c0cx1RKmF2cNFxiABCbbGMFPX5Yqx74ZBWnwSoHdatNSbriRP2KdRg47UkenfibMNB
IU8C5gOWZpwbaDadI/7WA6rM8vlMEvqwIyw8B6AqBwZXmeveWFVZ61dagN3Tm2jHGJw6Bh1+0QpF
u/CTcMSPStPGo9WBNtpozXlb5lq7a9BnHdmt9g23y+dhr9bxN1oe+7ZxGJqNuRAGmUHpz8S2YloA
W5wkJ7r9RyzfnyzCFvUBKVtLfi2GymWH/mMHFpyPcNNMuh+VQ38TZUmTbFjOjATfQuO8aWOJGGxM
LPRJBMFxDEERzlZNOgdyeoELZlqTIDQ8VdZsiC0TeGZ7jmZmu1xrghxOcY4N8G8fXqzBaHJgRPDN
UITsf2QX07VDGAAfuZ/VqzDKZseQPmcGVET3MWOcIz7rD7w0pB+QNhiNWhIyAy/s/gVBCJddqEnd
7+F7fq8CbKsEI9kDTblwRjleDUW0y0UWXidemn4fhho7zVA1x9in+w8FdQuVC3QD0kcR5xLeffDW
giRWQgkw96arDbeZi7ZNB7347euv9zd67X/35X8vA1TLwtFhu5g4DooyMQzKTPoY6C4Lf7ESUeHd
Q9iy72JCN352hKCRu1PPDxye+osg5GyMS7BIdLJt7IUBK9xSnJRj9UJvEIXF159uf+VcPhy4HspG
kzGmSyV1sJAolzEOip0l5SsnOMRytc2YiWjH8PQh7NJkgzBDrMnbi871qW/u//7qAu6KDjZOx+R/
UETCp0eF2tm0uudWhAQnMWwp0xj1+xSFzZp8eQ2Fsxzwpigd15EzD0cIHvtF07/3L6UkLxlP8sIh
238WYY1GFHk8A32RML8jUlEMqzapxptScf4Okoyuw0Qj7+sbP1ggl+taC5uJBFpWSWSkB8+egbcI
I9WgkLobZbwJpK4/ZGFFadQbYXpJreZstKak0ZSTbExDIRrGbWzFIP1KK4NNA2QmGtdff6r9bez3
h4IrtJxdELNBgztYtXlGdCMzsNKQG9kTdBe2p7j4O2ay5uJYqd3Hr6+3PPn7bwYLAYyWBfqxPIMH
K48xznLWUnYxURhkNGqatUkFYVpa7bb3uVraBGXEOLj07CPf/8dXf7nyv7gR6FCH0bizIF/ERY1D
v5RSMSTgcRMABTmysh5s07+/0IV8ySIHwsKxfq+Ef+wGA8iozKrq3gc2mp9gJA4ujdrAoNeJ4hsq
p3rZ615RUTko9ZcGEZaGB490tUtzwnrU5AjdwK4XLxbTySPvnqkve9HB1y+gLrEA2EAG9UP0c1d2
EtI0cbMNXuiwMtxbguwa/NB61q0ov2tmtdjp5LyMMborq4PGluL+TTQmculIbh4Bb+dl7Vg1Y0bD
xaZi1GxvxkwE90pkrf0TRS0GgAazU7kmAofmD0an6MmOLC/ZZA3lswoY5fHgzzdm6D0moR5eOGwZ
wSbVXAIwOj122EYtAkApe7t3CwX4k6mNDA2LNornjW4Rs+fnjV4X22JUEwLggOwOphDydOgs7J5z
3mL8ClIZEAMIWJ3eyqSezWrQrzUFcwaxt91XSEy5+Hnau6QQgVjonbXeBvG1xCiIckUJecrU0WtO
qZkVtlkwPSj5U2XdD+RUEeA2VIlY1SYQQ7+YaPtjQ7HRQnM6MJhTxgg/z6ZpxCEYlyJbUz6773Po
Yt8bh9Z7IIvNw33HwW1ch80yxrXaqn4j8Qrvt2FhKkZtosXQBRqq6RD/0zrru/bbaBnlUwaG5c0N
jYp0OQReFq6ROnmLSKsMTnk2GbPDTKcHPtXj8ErZBjtgpiL6ppthPm5tIO/1CS8+ZtZED9KQqD0Z
oLspxXRddJl469xxfMUHEmFu0FDXcTPedxh9KUeAuDEvO1JTORYTT4HQPS5L2nijJJY11zrM9kGb
p6kvR51xJnFP+G1UyBq2GtTMJ2NnqNyrTBnxU57ZHj1wMfGDtnpEdiBqsRoZo4xwRtpOAapXKW9N
BCg9ugC0z2lRZw4GSAzq/D3Ocb8mZlbfzYD1lP6tFZyOVYOcWxsmxLmpmrCoEV4AcU9mTfKdENbu
BcaLRyZHouvPkrr0F8cIlK2dyOd3m37sE/MujD6pPgoG0NnEnCHSCuNbraXVc9kN+m0phXerZQNq
EH0yGPCXCZObdOHU+9IbgDrA0hqv2n4uG19TxuSccl/OT8H4EClO7mBskqVpnBFgYAc7zixL47U0
unojlRX22H57joea3bg4P0ctDLc9JyFSN4ltD9Y9OXn9arLikoNnOo6niRspa5VNmsFtMN2Mz7AE
1uma2NKOZzOozJYFPuJYKuyyerHREjW+hWdq8OkIyMVKXurC70mIfcd6Er24pUHkiDXO5EMRBuD2
mxz7GdO1nhYU32SH4DBtws49m2ob2kWVptppz3gCw3GUoVDCotK8BuRzkimMF0adcefqt5QnFLs0
mii8OuiUdGPUmOCXCQTJ3j3cqaLFxkQNvWO4RgIKlbfScRoQJbUmZ3sqdvRtEYBhzAyNLbY1jwe7
LeUTB/Yh8d04MK5SHtZxVeutnZ9Iu9fbdd0mNrhL7AdyjQTN+OahzkfXF6beVclv5K45R+s0d3m5
Fb9g3F5ggk6J9rALJtYMT1z+IDnAT2GMFggGhKcqzlKJ/X1oMkm7mZk0Le0iSJ5MI0PpgRKy005T
y3N+qLIFmgElUfwcCWi61XrETH6nIfTcabHm8ZuTKXdez4QpbWi/OHcMt2NCXF2k5ausNbxniQvj
vfU87I1WMX8r86xbvtdxee0MUgGnaUY8IGe4sUQTLbEOVhyywzQOTXNhhZRbrZHilAkiy7ghd4rg
R7ZBqz2R4Kkv29BU7sae+WqwqmUEWqi+oomgevPOsxD541t3m3lNRVpFuB264Z5cRk9flb1opo05
MWFhQmQhNQuxWl7EsbAUT2wbKeCupX5u6NV80+M7udf1ATCKIrElW6XtYokfsygsT7wEHI/fQbiB
foJd7sRoC3rezWiLK1UmxrilCxQiVV+e/KJJwl/MzULm7umon8U8Ed46z1CQ43gmGBKLFLkuSHt6
Tdu6rU2h1WQmp9C0mW+1QRZv+mwkj/wFE8pLAAgjGavi2c1rxLnZnMbxOg5iZjWhAdALYINZrpGZ
hMXKiHTUGSCwrLvBtCLjfOx1nJ+GNIprV6oWZG9l0CrUa8++G4Nq+p6QMOb4HOvHx54ATHU2NTws
J2bTQYrEm2gRFtZy8F83qEqzk5HkIvoxpom+jHPE/M7KKa68JOAEXzWkia/IBsV0OiM+YugAUvC0
G0aHgqrGMowmA6hDtyWrLYXaaIUqldfdYHYDAF27uSGEubHXsyjt3m8Spgh+XY8VEqBC5T+KeXYG
nji8ew66oVlLEMbW5rSLqxAltKgKPGQiIV5uHcamo20MOffjMo9BA+/2KiAYV+/61jeZmrFuEDF+
xptjI7by7P42La2O8Wdsf6/kBLmhFHN7OpPETOxqw04YyQjZemJ0XbfD20ZKdqldDB2ewxMzSBnm
N/VdHNioeOEZoj+umsscdtdbztD6UVTDTd1z1qKmOQO8UMbHCruPxyZb6KQRkKFnCDJDlkr6j8Iu
K3k9Y6IxfXB4QEEKpqehP0y4ZHzLqtOfsZVAOJRJMl8nckTsMjpLYaCiCX90riHE9yfURRqBEAPJ
jmSrdD9qlSmC1yqN6EM0DzFOeETDMWnkWdYdqfQ/OX9wAF8+Ol1euOHGwRkcu5PKGbqNvkeE2spw
jWSnphydUadE+0uHAYJWh6FgJNL6lKaS/lOhevkWGyPd4l4vjGN8Q676oRylC2HSHDBcUy618/53
SrLdEoeYdr7nsSqf9RiaeAOG0nhBCkjn1cNsqNaZ1OLvju6Gsa/qFNcHBPsES4/Rxf7giv7WK0qK
qiHU6ZfyItsoPVIar0AnRPTGUDXK114GyI4IbxcRUZDIflouOVHualr0a2htohKDCEQAih/J+xAa
KnutGMEKPBweURex5SCP1vm9Vj2QDJgh/RTcd8T6lExepvBbwOP+Akt5NNZt2BnvdGn1ZwJvTIgs
XtWRwFtgBPd1UuDGdTSbbeSTMkt2WDDwxJ3MgyPicxvV1APe4i7yo8ConyOmR/eGSHML4UFf1fSm
4wIsBvKeldG2TrUxaa5r50aZEApJ5A8aLdvGQp9haX6PCbsiVS5e8ABkXlXW2jTMPEP6rtsXOoOu
H25fzy99MpFWVQNlhWIE/UZbS0z7tH2p7fINKAQwrJ2qKd+ofcqtVeQE3uZ6GQAi6arHziN5DmSQ
A9EUy1uv+wXAoR+h1uGQQSaYbZBL9mLnOk36blOnmSekaZnblqKRpQjUKx4xro3Wn+zoAJjF1F57
swP3g7YQOkiX+bRf6Uo12D7gYa84xqpL6lNL+Oi5U43BbFR6R7okHw/GNvwz8IMmXz+U7IMuAZGU
bqc3ACLH2i23YsphEyFjXDOZXpZLNBdfH4w/nszoRdA9lQwSpQQfsf8q5JQ5qEhdlmVZWOcebt9H
wrLzrTBL1vyvr/VxKbMYonENupXS+dCq7UrNi7OgJEFOIPHjTkf6HzMVuHK0c3ra+APaTF/D3dGv
cL3J7deX//jVWgY3y7dqMh8FG7h/q2KSKBRobvp15E1XcxSonTbV5truOh0cTpwc6QR/bPjAaiXs
yNAdwwDIe7DKqHFGzNNQXhBTFT65CgZaIbpx61KwPHh1MlAZBtnt1zf52XcM3p4WoNS9Bf69f5OM
heo+6e3Gb7xYXWTeqD0mDZBJEk9bgiy17lQjc/wh7ZXcIFYVf3/P2PSJBmJgALBJP+izaEUMLzaI
uHyZaLTAW3vjDYhse8QOvhMJ5etTqp9+fc/GJzfNMyx/N5Ncl+7H/k2nZu+AHiekh+jf/hdAV8v0
RV+zxwyxKloEt22KPYSRRbCDDkX+aOBF00vUYvikL9PGqE2UJBxmbOcQoLYFwgHrZXfpyQIRoHRq
TiXm4A44kZXQnnWjoS6WKvs2T4oQzigx/W6GfJmWngHPry/FumgdfHQ5sSPwh5ue8BGjcEfEcDlh
0nMhyfR0GVmPGPOmwF6HTA6bHUEpDWM4HbPqoMdYxMrWwZP69df1SUfKIeyL7BfQ0LyHB13iJEcz
yHECY1tdBI/s+6lFiNGi9f/6Op/03ByarQ5JD4gD6Xvu/yoaV8YqHnR+3AqDPivRgE+5sAXErfI2
QJgOmK2Z6ngl6+HYPX58120qCWAK+F5cXK4HTwRxwdKyx4hpqYzEzsO6vsHR7PrKw1SgJRi3v77X
T65noruAhU9FoSMy379XHaAOLGvCMYMQNCLbONhIMObBdcsbj5WJWYx25Ov9+DMyAITObhuMvmxb
Li/FH4Wh05X8/6plCG+TBx5BTqygTRj/I87Z45/+d/nFUh3RtnGWggnAteDl3r+O6MqmqU1WbWdq
4hve+WTbhRz4QlFrT11Oh8OiED+lL9lvjFxLbr7+Zj/ZoCyySbg/i+KLc+H+5XU9iAh/Q33Rj627
7TrDuxGdwlym6+XT15f65Ee06EkzQGGXomd7sHbqboPlORm4U2ee7jHEyWBVhg4SKdAXKytKm+9/
f0GXqSo3x5QKdc7+vWWtpmt1KVqMPlZC1uGQQ3qz828VVMeLyh6SI9eTy5az34eFM21LxlGMh3j/
Dl7JspjsxtZ5ZuqcQ5WPExcATA7nZV1JF3UzTm5oR0M3fVO2pTWwmjzzu5YmE+45vH8JvrckUrim
+u6qgSECmigJiR8ldrq7S1qAIWsoUPTVp9JbPFwkXhybZ3xc67mFZfbNSuHQUD/4zvIuQtwOA84P
6QCf1d2YXud5TB+gsjDYOlYY4vPVDDKZEuM0k+NsHXnvPm7rLGom6hdrGSgwXdn/0UJaaV1hBjwl
TRAhhsyN3ahP6r0lS5P2QTiStoEc4+sn5ZOXnZUUuPfCi7YIQNq/qPKcqWtqr/VHyUM5M7k6M6Jk
PpLt99lVUFoxpOVdX2YJ+1dB0tAKSZ6Ub5fOfFtTIflIRNSRGCfxyfGL2DnHYUhpsEzLg1ea98qh
qZIDpZPGD1rJ9blqKprgnDUwOLSVj6vHuaH/S8O8reBJx5G86ot82qa6jckLQAXUi6+/4A+jYpY5
V+DH8DjRoWuy5P6993PtVXE6dn4bagAhzUKdgLUov7dCYf6w9cHeuCrIsSgncfLMQ4CilqCxY8f9
5TIHbyhzHMZ17M3oaQ7J1sCajAiPAUfTrsIEpBinPjRpLu+rKWyQbtYNctQ0dmFPleP45ta9N91k
cSR+UjsTmlmmrhtuvv5uPnniETUwumaAKPmKDr6apm/c3DGwnQ5a8PIbP2Q0Nnzifpw3XszJcEDz
cOSL+Fg8LFoTRkX07xjamQfFuptpbjaGUQc2a04WKXK2FiY2aHrDFQaMscUp1esXUd83P//6bj3B
BgA6wUWroB8sMOHImkxABWG5ZarfYK9geCOnHLmdHZ5MVt2+ZkVSvnx9UfnxOya10xHcqbvsc4ev
XhmTME2PjFfPLmsC1K1OtlfUNbFaN+yvwapJW3wvUeUxsEE6PnYbqGizuKhk0T46o0x6RhYmbtNJ
jyQmiNB0TfRbXTYuSLchoZ2pxBWyM+DjqWu+RS1AIt60gKZMaI2gXSoz1wDxFLa9i4ZYjux9zXSZ
z0FzZJ/9uKUjcGBTx79t8Koftl+IOMNx79I71Lre2mEbhYooXeyEQVyefv29frjU7+MmAZckUKN4
XZSyfxZJaZDkILbdGeBO+22ugK4FNfY2BZPnbx9YdnGKpWVyzdiEYMv9K8VuPuVioM1FRx/TvKiC
04Jej68TSr8eGwFqylDNnSFhr359jx9lHzysLgkTzH0N62MiH/0BwwqCcPY9O9PvC4HdzJjoh9eu
XZ7M02zfZAUKQG1mlMcgxQAC2pS3IqpM1Omhc5omVXPVlMvy8fUn+7Cf2Hwyeue8w4vw2D7YT3Qv
xwrQCOxaox1cRi6MHeKjjbOvrwIn+HDRXDg2qJ3RIzv0/82DssZKO5lXpRz9sUTzt42FB/KtdVQm
Nw7j2afWyconfbQWVZY1YqcPimRgVGqUUCUmWn7TamBMmcH5pDWzgmZf//DG1H0tk3IUm6gYCvdS
clovIAfr+r2mVf117jZttbViPQkhV03VvAYFDGEh43xQ+qLS7OjUHCrZrejhglfRkDEvhLbZiAjf
zKt6K/rOvfSSKihoy9LlxqIY0VCczFiHEDzUHE7TuaFZGKfdcyMEsk+Z16iZSLrsaizC0/zWVR3O
hjLKIv28jkjxOwP/TD9+qLum55irg04cUoh5KzySyXSqPC1gZMdar63VYHTNScdY1LnL3Qka2hzy
QLwb1WA9eNXY/7Lcci5O4EslHqQaQ6EzrIloW7H+KGPLwZWBWY0muVjnoEdhTAXyB5MkkGi9FmJ6
ybuRvrzV55gA8zZgcCDzALGzo4VvlhNiKG4wHTAwsCvzZ1xhgQboU3XPaRmY7wyc5TlYOtSiWp0q
b2OXHun1+ZQVlwyARHI2J2kBFxjtFQoeI2yBt85WRAnqubTEpwyjaY++BVsRsEAcoEXD6ciJbRt6
wGAAX21MVd8XVljrO1UiPF6DEkTGOrTF/L2AyQTuxnSTlTcuYoOZhwH4lM00EHtaBsGvawZ1HZrj
8NPFCaTD0aqnH+0cwJupMHg+aF1lg3JPWxcvn50a1SrlSJdDopAQyaJ+gKY9oPCNTpyZEO4dkMTi
REeAVJ/QPHCzbVopgU040StYwxoFNwCMCEFClU7jYsRp5bsZtzV8ao7yHUcklrjViJ6BIF1dAFIo
MG1hoQSziSgvh3lJcSOo+NMh9KO8WMYFeamp06pVKsRd6w6wWJKuM9dBVOgLaD90jF2UDeOrYtpr
XEQy8LZ6ZzcmMd41qJVSs3sHN5JZP9WscjclkGtAnlHVXSI4Kh6TqJLfOqbz5abJxgAypbZ0igdZ
e3deLqNviTd6NhxMFbzqjBNfm7kfJH1oz36CsOvaqwnINMJ5xKULZWvA71S5lQVXnpFjtBqbQFvX
grYvSlNNPpAvoTZ1PVc/OQB0p3lqGKQI5VMPxirqvJ90VPFJNj3ohcKcCyb/lskX0zctMvF6cNxq
S3AUrRtz0srML2gnokl3F/5MkfJKQlurvF9WaVdP2Uy7ewWs0kTJIoU6F1PrvU1DDyg8sCM8OXpj
w3wsYUZ1qz4uIsbL4Bq1tYEiqli3rtWDRQpRa59nFJ9XlP+Yr2qtRJhHbziUR/aoj+vxcpyXCFRt
xDiOd1B4x5Ags3ig2WuGFXg7nu2d0tR8bD/6ULvRdsGC4tF5QeSJ5mx/K2xBB3hMLRkSd+BNmYh3
9o9MwBeLYCme8Sw1NzJz+3NlqmmXRWX1jNaAZ6bMXBBfiyhsltXJOCGYkchvdkySn1WpaQ8lP0N9
ZI/6bPd0HCmws7hMhD4cwhv6bj3TXR3qqAnrNITF+VBgh8xWCWO2cwZ/sJ4dexzvWHiCu4rx8ikU
xvh2KMK0O190T2Rnd6J+ZAyCu/vrze2TAoZDru5YfDoiqo2DAoYaNCswhQy+zBPjtWU075dm0TyD
wz1Sgn48AfGzUfCiW3Y5ATJ03P/ZUFGUMAybwQdnCXw9QLRP1ekmb3RF7Otu9Kpd2U2uz7QovIzi
ETg1E94jh8OPW7lD+4zOxFLKEOF28IiSOWiwaTLuzHOp7YYJ3KBbjc+G1ZpXfafEkaPNp5dj/MEw
QvDEHt7z2NOFBJZJQkrUA9rQ8/x1NOf0FDMC1iYvDo68Gx+6F3zHzFqWcBrbwfdzMBNI2WU0PaZ9
JRcAnJsSiAHIrJguCz0KSf0NnJMhmN27hknUpnYD9r6vn6cP54zlA9DfQokqvSUib/9HLt1wGuYR
M5VeOiX0yhyIcz07L1aSvIEpG57GyLQev77mx2eYa1KW0a8h7IoD0/41dS2LctmUox/EacIELQbF
jywEKWroHFnhrE9+UCHAtKDz5AAnl4yjPwv+wJvIsGXo6jPUimM/RrwyrrratJ+HwXO6cyfqm2f6
Dlm4MxOLLi3RqPHFHARs7bzZ5p0ijvgx1hJ532ohqiAcJ3O36y0lHsBaB1DLY+sK+1NwS+pUAFvC
yvEvGWVNQ0Cblf46FwZERxuN4S6j1fZQKC96CXQJVbTgnHw+9IV3Oce9G22l2VsIqtokv3GDZOpX
9tgUzlqJat6Nlgc8Gaxv6G6qOileJkdE8SbXDPUKc5adLxsHkwObiUIGGjZ2k1jLdekPuhZZOwIR
+nd6z0DKZTNDP2kHrw4vexQ81S1YchciXdM6HoOvPmZHxUx4rG3w2U/BU2ZzrCUiloDU/Z+C0UNL
9m7FiWjM4BrZ8mLMuTutH5BiofAojjzan1yPNYPGJgc9hlC/p0R/NMRdw4tntEkUMJ6ANTOZgYYw
y1E5NPUyW/Ng68eWzE+ebANbDD0s/joOmYPVCt+WpQneJ1S38wythUIAjF95hVKmeYG8lW6jshFr
xxbTlpZYjcoYsTlw3ifl6dMJujV30yc67FotJ5b0r187gxaSLTj98r0cBrhq1eB6hcmpqBJj/GhE
DP2TtnfoYNmgDr6+1ifLCqpb3m1kHsxWD50HbUcuiEbYoV95CQipqqouVDfr56hMK/6xjHaENU1H
blB+9otz0jaY+VFnEOm6/4R1ZRLFmsUd9pGHJYpYEjsAzG/D41JEyNgU6GBWt86Qyceo0rBPeoGC
A98ihFxHcdxPF7yRbHNTQkNrVYd5+lO5gZExCEyqRyRa7b1FC26GkmUSMjUTqQHKIjCdDX25btNb
SVrtlErKd6TBzAihIhLj9/VX+1FAw8EeMJ6L7cu0SRo9eI96XtwxoMPnu3ZXf4/pSG1p4BIbpEAY
b8KghkhiErkS9ijXosxAKJASUoa1xm4u6so7lgP5SRXJ5yFQkKhyk1j1g/KuFiogkjxEt1moNKaK
ZT6zYnQUHjnX/0553OuFcpYnOQtDM4sH/3vwdtX4Tz3VDAPszIm4bKGX7WZCKHs7OQW0NIAmbKSD
nUQvMx2gdi3scYC81uXhSzIiYAA+YkSncR1YisACO7/TqS2cM/i0ErkdL2bld8403tI5Gh/jTNNJ
lYgHMF5mE5FbiBAlCP2AIeN5CiiAUIbCLn9x8hVvqRwdDuO6Vdxh4U0unMmLbtIMKTGI6bYJtq6u
o9FOhqB6FLNCt5U66Nh8ZET2exZURClMEdS7VSwT69hg8Hf/fO97Q9XHKJI9nkkWCBZj/7UIW8dN
glhZPmpmUa5tDV8sQSEkaWoo51AeOuKR5py8czXLQ/SXkh9zhp44h4Tq2HdpbxbhLaVHY24Dpmzd
BSDB/IXgHFy3KnVoVACFq7qN01Reee84SeVs2FHj+l/v4V9hAf6r2X8PCfAlPOD/IBZg6UP+dyzA
7q2sw/3oxeU/+BcLYNr/LM5+iaYE4z2jWV7Pf7EApv4PpzvDc13OdiZHL/7Nf7AApvGPhegGCSFj
RrYCyZ/7n+hFQSojzwnTJUH0KW3Zv8EC8FF4uP54+PjzlF10pBmn8AQiydh/+PIq8Zx+UZTPblul
O0TZer8dHGV/j0mYaLeoT4jNIa/EsLe2WY8Pss/cFz7xeBq4ZSJRY9tRtErpZWkrac8STKjuJNl5
kxrek0WQXLZqkdmm7O1eau04hEHBsOa+vwYO1FREo0jCD/OwcX+Q3wEGF23ZRHvbq4LLwvUaDthD
C2EpckoOnXmKgAxc+TCCyRJA31zRwcZyRJ9eD32QQH7RvYvWzqarUFbliwmH6L1UBdJdLdJf5nmC
N18jp3imOUWPyZky2LAO7birmHHSc1v1zoNXQN7ZRUEElhh2FB0gewpjZGoDsTCA3vLZJAwnb16g
bYtfUZELk1qShAqJAN1Z6bBZBswNM3kco+hpPLlRk0fsY3X6BDlvPi/iFKSSJkW1i0V2LYnVZm1j
4ziTkZmnO+LRNFBgFg5er0ySX1GSatMKIRoTVJtSBDdi69iA2KalCZpaQrD6tUPmm7XW92sGNU2M
RQJONzFlzGQ31KVGsAmKThVbG6DxZali2JFK60jUagqMEKWd1beO7oTodRtG9UkL0natpwCJqTZb
97pODQB6WejCSqryZiSAkQwRudE0s34krsp7zcYeVFVlpKFOB2cQL70mRO0jiHUB2UZDe7Y4xewT
9PkDjiBF9I0vGIfQca1MwHx0SQkLIQ3JWhXDNDDQS8yEaQe0JHOrDYU86ZGyyzXDPToP6ILdB5jF
IMO0IMFt7pkp9BW3FVO8LrCEaDvOwIy8TVNzqrMK3TQXssDKAc4sq9znbMeMrA86JU/aKgNAZHrl
uEIZg48BM1ELjCAmXWDlJbW8R0zk3BXj0kzgwndjMEYwZGRhEGZg8IyR8DMRw9k0/cOY1jMkVASR
/OZYCOwzqKIJFFjdMV+ycAIow7rtnAP+C4ght2FHksYRNBl9VYvwOyvH8+JHs+YSglmSJ8Uu6HIu
wIEoAMVoCFfBIczzSUJHl90vri3rpHRrEKpTgWqJllfK0WMyxfijaEfvWWlSw8vakq6wgq7c2DSa
abDhdx+mLXw/77WeFxpnRd8PcKyqL2ejEJYfi0Q/afMeRNWQlLy2Bju2XHlL5tLG08bpPR1F/Ox0
c0UoSN+2S0pQbU2nEWQCy/d0VojVrFf1O8j6zPCTUiPHQlgpSlAYGdwNnkKaduSvWI9wQQmDMqAX
YQvxzGrJNDVrMFNx9p71g/Yjp39PBGmtgje6nzYJT3kzXFk9QI51hv6BLIWmBPNLpkuFjtar8aoF
sYgeCSEiwWMwKltwtoFA4rdtxCgYA8j/Y+9Mlhw31iz9LrXHNczDliTAOYKMKSNyA4shE/PkmBz+
9P1Rt7tMqayW7O5ro4WkTEYQgMP9/Od8B4ITMnuZbHrF8XJdGmyOcKTXjVoVt5sHIHnee4faHoCE
Ysa1GcEVEwy21p55Tp1AUxdfQgknPITsvtH9gZEzzyh6P47UGoJ82nv6noTOnG/B0OcxdatsHSPy
JOYcAbdmaXJz5Vq7JSiQ1ptlYDm0cGlgtlWitsGYtBW9ke2siYh+SW+K4o6W8oiNsP3aOKIDyswh
/QVQV/DVxPr4StuwrW1wpIGPJw2a0Jg0DsNTIBf31jwzYXwY28GsQziJvRHFWu7NUb0YoFmIy1n5
Jz+OHPeZCygj0tGOv8vAHucVv/j4kHpQVUJU2WneiWZU1jahi2B4sEXKHaJpi+NeRklhxJ6vUXsn
XW8X0TwjvUN8gJyoZzh2+Pg4yiu32nRtdrW7UrIId2NukI73IHL4FZmTBOnYiXVnLRRUgILJFZfP
CVLmn5SquU61RdSyT6qpz/ls2quOnDI+55Wf1UeGLVTaWGGQLKsuI7lrVONdkZAh5zGu2une7vTP
ns/W2U4BWjcOBYV01pjCxYkJGbj8AFMBddqvj26bsQZU+coK1H3fdjCakvbYC+cVZexr6etHWUBu
n8myGOa7kVymoTtXxVKusmVn9fRTDPm+TQKQfxWPQw3DklLPbAmrLn0VE5Odwem6nSfmp7GODXz9
mdxZLl0Sdf1AaxxLW8cMKPbPdWqZ67JzQp1CHm/89CuyANPUbOaATyv1ZAt9HTRxDOiW4IqzWGmE
RXfisSxRCKtIU+TlC8umMKXc9NZyyFRbHOze0g50AT4lBXWnDhmqtpmb3VwAMql4UhexLxIwaGnt
7zh0RYjBD70x7ic3OARGy9pD1YUtPxQhqnU9e4ytmvlbLJJvfU7NT1zbjyUOmMlLj0RrT8WEdKL7
Cr1dX7ZTR8WWpvPXtol9TUv56Wh5HeJ6pKRodgymFY7oX2rSBcCoN70YQs02oxSGTyHVMW/1Q1kb
xxnGKe53IoSOfU92gruGFUcvaswIvQvbw+9eUeo3VV78aKiN6ehQHXPaqBb/pe09XEAqZQpTARFW
Oixlt73vzSw06M6iX6I6sxZZ6D0VHa8yB2kHkmUNy+7Fa5g9DMZtI1MOn1ljPoiugqrJw4jH9IZo
KKOu6Z4mM39lOaXKLEj3Wk3HxYz/aRigiGmkt1c29hErYuvz2MHQhpDxbpbpNxkPPl3nhvHkmfhz
OcSu0JzBgqU0vWi+PPcz4OQ8APvlNJLeDP7OlgcobMaOjI6mmfaR2eOnb8PdBVRnnGcDSOMgX206
E7mr3R983IaetruUEhJvM0wOESnKjekDMM65YYcWqdkt/X/uxmy1L6U5m/oGhy8V+OVWtI+97bE1
MRXTLO2gFRc7B1FaWw85Qbke7xVVj6a70HU62W+jmNRJFcmmICvhl0xZinq5mnTZMfbfGLXJCMzn
Gua1falqOiYFNY9Tsndt665WxbrVhj1FPRB36+xDZemZBO9Kxbw2ZHKnuc5+WNyLN+RrNhi3lhZ9
U1fWo+nUyzqd543pJiFDgzFMWwXSsdWS1QIWdMW4jsAfhVEUZ1e74ZZS04rzIpJjUbgX06geag9H
B+hbhxU10YOLyXvGIVNYMOVdjzElPx03G4p7slBOWqys8ntamBH2n2c2Ga9ZzS4i/axb/2SX12y5
0ygIXtXN47hYBzfm8jvTO5tADQGUzA1kAStR82VMXso/KqZFFAs604IvrRlOi5uHI0Obcymcoz7k
EdCpau0DGh3NH7NhkS+kJ7NLQbr26c3BrLGu9wTqV7RZ7QzqlPJ60jfIiD0dkvX3OGgudpvoBmWb
gPotHXdz4QbRNBf3JDJgDLtUBTD/bEz1WXSAQonNqI1h2mTBBZsRXQ1fdZ9GDXnATa7g5821vQvc
6g4wEFRTQUi2ZDnps1dkJ0L1in0txBmqAR1Spksy7YLmXZpaSy8BDP5sRXFE+t0buED7ROnel1UO
9waH85RjwTD4FGDqtA/J3qdLuQHUv+wEYdXvgV4E/jp36fON6EmSYdZzxN+kjYsoQbJWg46f8y7o
2zG7s6eZXBsF4jZpMLeyPwFgVu+GzegxNAO6cIgkx64A1F5VSOEO/RD0X9fZrRG7NHaOO+nuGjY3
b8QBYRvKa9wfW78CvUxW3jpwgBl/8N0WdP26sZdt3Cwmeipb371SDV39LB3cm3iDRPsgNEECVvfp
IlpJmdQveonwfdIk26t7N86GixdMacpEdrIf6YsFuk7inF6AVFY2YK5Ftl88WpgRcEsIEJ+TR1Z9
rMkOrqTPL7Zpwa2XIIjn+DrPZg+NeBgW2lHbaQgrQ0BhlPCs5x2vHt2nZp3IzmqmWhWKVs0GiXJ7
l8KC1CfsEy5BabqHG43j26wa7Y6NydIdCzo66BJcvC9jcHnNtO04MK7WcvXxx+H6f2WG/7opAH8n
M4ibavNn+uDtD/w3fRDHPuNbXPQmjrSbGfrfMoPzL4YrLncsCB9mOsBF/ltmcJx/AXiwGDGhzAG5
vnnn/p/M4P2LYYyHSYTBHiNR0/mPZIZfRYbbEBu3JuQjHJsIGxY/wp+nPIrBS2sNinMPBxaPumO3
5k4f7JgWrMyWDhUjeP5hxtX9/k9f0eXfQsaf3fC3Ieif5I3bJ/OtmHBkHOa6qLy/frI390WuJSmk
ib6qoHymuv7RuUPshYnFgZAWaTeAZeIPxY++Gom2/f3H/z6k1YlQ2RCYgz+sTn/FXQ123/atmzdr
IENw6xVQTwthuKfXAEP287AY5Q/bXGqot4UyiF60RrMdev2f0Eq/TT64O9CkiXbyw3B73L6nPw1b
Jr0pOwq/ge/nireGVcDKsMb5MFIf80/koN9kfmQrdr6oXjcjKLLmr58Fu4Yub63PKVuO7enJjxfa
dbD2aefBMvnOp4aa9b//nn+bZ9x+PbQsZhkMhknj/fqRVBRKXtsUnA+qZN/T9tIp9owVkW4G0CWY
njK9vQNVr/97Mfr/pi3+p+8V/y/3GRu3AOPeXz64dr3FbI0CsZkh450r8zg/WFIrOQpB6/iH2+n3
uxkBHxvVTTNkQPvbVVwyHFoFlRZFWTpHwAdfuT0OY6Q4PlmTARJqoSItR9Kq/+E5+h++YFYQnlwD
qZLExV/uH9Zyy6cHCUyghCo45bIIkwmvU5nkX5UwAkyJ3Fd/f1FvF+3XZxf0WMD0HY8tZ/2/BvKk
0ke3tG5KDTPqD8douFNzVqp/+JjfLyGzCtZOfMv84d+yR9A4kOdbED+zw/Kw0or0dmQZ1ZcCof+P
9pXbzf/rL8XXx8eg3LL2Ejb89YbxNKOoO9OEZY+49eJNFapNZejjlqqEsaec2EUiobHk1l40Wqh+
88COZ72AeQw7+rdhweNv/L9E3//gNsYCxCqJ5oK8hbL8609V+HrS0NsHbyLtrOVI7nJZ10NQzOcs
A7Hy99f19y+cFw7zXtaiGwvvrx+mFt1OZVKyJrazcxw6Pds62Ohh6XCGfvv7z/r9Hrq93AwSXqwM
6OW84f687rmsQDnPCOnrbAy2Vj5zDwHTT9p/mPr9/mR6UGUsCPsGV1X/69APMIls2OVj8pvr6UxN
d7lV8+xsStWRlScik3ySEqyeqlib8n/47N/XW8/g9rUhZbG244n69Xcc6j4ZZMvvmJJI+cBgqhAL
FX2Wa9fMzeKMwMmr5z/+Xj3TZqzBqoAD/q+zvs7wYZ7ELkWmppIXTZXlCyuvv/n7T/lt1SG5w6yY
NwnLHqOx23//01tr9CjHUvzGnFwM7eLbVJBDWbUPRTbGa2n77SMmW//+7z/097wLa+st7YLB6I/s
zu37/tOnNmjomjURLaGeOg2OMZaOXVlxkir6VPk7rVRLsp0K1NOwbkZuqIXK+q+sruod0V0V7BF6
C2tXIGepf7jUfzwbvywfXOhbipC0JEG03/YzVlMEAwipZQ2isNniRMunbe46CUqzOSGh115+HGSd
XkAgB+slV/W+z6eEx1gVPzIvQDciPNCRkQOL8E/P9W8PAf5OJqX4x29rHNOuX784yC3Kz60KWJ6R
+9/EMFXfVUCKJ8TOm11VXmv6mbktNyb7RLaBhoIGFQKl8ZB2Wuub4831zhw9CFv0a9DlQunSHNpi
9NB9SiGXDed2luQCw9StiWoEzjUGHFOI9tiu3CxtXXw1gptpPZnFxNBW+sMczXUF9qYFdX/r4lj6
fqWTGjlj/vd/TJVRyx1FwlScyQYjW9SaPv+fuZBQCE29KA/IkGMWJbdnS2AeRzfg1AUkYhwepDCy
i27FVK5XGc5dxlLlp2eUCwCHmboXX1YpyhjfSXwrmAEdWChtpLLP8o9mYlM4PbUTOyJGRUykcjeX
d5luEZb5+zv6r9eFVZ19PIaLmyeRUMVf3jmyLGRKY1i91u7KKapqctehvWkwWv/959zeFlziP92f
NrwQxpWEyQFG3gJIf3mR5HIUQ0Drwsq0M5duExNw0cqQC4ArU88mxgGC5oWpNrJQgdwdaOCxLnGG
GhLr8INX/SCskysTB6JAAuM+QS67qF5FZZGeLDSCFYP0G6hiJsPNOy1+oPpZdRuLBy8N04rgqaor
ir/nyqSQMVYCd3j2XdHZqq3IxrTrfqZzsWnnMsQaoL/P/XJDaOavuigwq/o0Ljxm9oRgw4YHjxnf
Zr9OW0qU+sVg0uB23fW2JGaoejAq6KprL50y/QmcEaH11ofKtM0HCB+rwU9Z+6mosA6sB3jBa+an
VJN44CTLrJj1MJ597zq3wjkXFCJRvqS70Yi4ITZxoHXwDoqWcE+6yAhQpGjAwBrqm0UjH84lS71z
0Y014xzH3HQplRZ0BoJSXPW8eaiNKqvpScfjR4sXUJkeJwDxkSW/GhPtOKuBn2IJjc7V3F2gfO2g
V/Ccc6fsr8zn2gfkyOLRNNPqBwiivkK+6sizGaXTG+ukzQnmjMn9CN/K2orSB+mk933wU7QUVPOo
ac5rPNF18ceULlllFsDtweqZ7gpPjhc9i7ur4UzlHrdWdqq72DlogxW5goZBYUnYw5By7+qFrGqL
dLnN/LG31prhgPJO6s4esN07P9J4+a7lKcr0wPD0VXBHPdBh22LvHelabTJ0phJF7G3QO2M3Bz4S
WBm/OPVsXoRuUBOozC/jBmbOM98H2qdwh62bhWYOpkeMWRPbM88LnM1jVTnOQxsYjDjUmLiAXXJ6
Nvkw8VMuXsM4kuCCuZ380SjuKNH59FL3McvpmRqFOaNyAyQH5otsWq58y3hp56JOtnFimlGLhH01
c2pSc92RFOAw4E4y9SlmoDGjg7TeT5mCVWONDzfsYlhCitnGQaWKDce3hqZNkvJITDxNrFq9sy5G
vsFc09ywh0FzMAKmUmEdF3G8zjLhPRlJ/kQwYEgOHFrKfSF0iCVVnfVbkClgENWwlN964Ap8k4VT
smIkCa8RYMNrSbX0pVKavsXOqAPDs9U5GV154Jjt8nBnb5OV1qsmF4/4sobVQBN4N1oRQZkXkTsv
OSdHzEcmqR2t3i+MUcOZ9/gKug3AOEjr2F+qIkIaNhzI3IHzZSJCdSTyB9iIvVXL+7bpJzK1tEIS
nWBQmjizCrNSditVSBFOROmukzS0e1OkF5pICcWaibWenPS5dhxj7wXJY9sN3XVcuuyLlq5qXzfl
KR/6J6aWNHpVqOzCeQcI8l54dKev4BlO39ntfAU2LzepTR/QsOzXfFEe97Nt78GVFsxhqgdJx7a2
NPVR72xIHrG6d6Q3r4skezPUl6izZz8JvtKZtlUF2WDRkzOLFIi5cSL61NPoatAi73agLXr7LUmI
NZaOeW9oFIwMwNIg0T5b3nCL08tj4spzndxkPbd5TjTD2gI7/0kN5qb1zbfAaT/0NHsOnNlZkVJ0
19UIFKlP5DtMH2pfi3b5ZH/3IC315FP7HGlQRVemoREeb1tqjeuqW+V9cmq5xyCCrUDgP3Rx4q9T
XrwnWo9XeMsgFE7SXQvQhpvUNe5Le+EKqUnShpWc2H5CkysbZJ7WNTcgkLS7akBJxIAI1dr2mRj3
unOQbqpvTB+uRFU1FCzXVPUlGDNrCOkMBpnIDVZLx95g7TSqLJgv5E8EPLdsdRQbBKcLJc8JXhN9
VbbJo2nxDPl1c18Arw6GuWInnP3w09Tes3ujIE90JoOp3HC+sHSD5M8rTX4NpTO8OoNRH2KesxMl
v0B46yIy2owfHV7eDrn0vugNKtU0Uz7aGu0tRlU/wz8+Kk/QPx/cDhlJNq5NB+dxq/bsJs6KwAJ9
E8h1imxhCQg/LM3qOBn9a13Eh16UMZNMasQ1CtgoMAb/RPoBXBiQqERkadhOfn9XeuUzFH+8Arah
c2EqWrSUoom8H5/zwYg0J7nS4EX6ybIkRof5SonrZ+Iu05o1NjlpHW3jrZZ+9iZcuMlkRaxrRjce
E701GHRnQ2V7QrNS+2mm4sD8gCHiQPOxLOufVE6mt07m7CfHQ5BUZayH/tKkX0OsYBKWThURRi4f
sfWVzyruuCiY2djdaHBYocaxQBvpBltepAp9y655284mgD/X/EHMSXHXIWqM/ZKds6r296JdHlKD
utJ5emQOdBrG9oGSm/xV4obOErwFWurB0Gz9T2Oht5k8nbVXkzDRsxaw6llcrIxOhHGJTSUdsjsg
dS6DuelBd5pbwEpuXRfjcSPP1o1V6LT2c1NwuPAD6oK65JIX6aHTnJOS09VMIa2P43Rn2sUd9qMn
qs7ZcaJa7Ip5+tnAlUSNX06UiLBu1PVpMsdbtxZleDRJ/nT7gPKzAA/7MbNq6BvmfCwaPBgNhb5r
s5wpvKbKGffDil2Gt497ebVq7v7I4IvE98gFr4Y3L5lwIkt7C6fFpsSkpotLT2aKsnR3ZRK0gw5c
fXKySVc2HbG0m5nNuBEIf9yLilFN4i13Xb8cBhGo0BqDNxZwkrWZ+h4zBAGhmfASt9ycfQrNfOA+
QQ1LOGZm6axJ5I7XGSD/GumiYmhWLhCJ44ZiNWqbMY9oDFmoMARsGU1BxnC12Ka0B1o2gz/cCA+F
SfNjCwB/LdrqfdYCj6hkjRcARBpqQBD540DPYp0Cw08FcS/rvmYfvaYM+Mmtu5ML6nMVm5g+KPV4
T2bjOFFHeU8N6LhzEhueG83yG23Rvk2tm53LavHwGMR3TVPFoYHAAD9wr5dPsZfsYurUlglWbmcc
Mz09e2ke6r7gbVzXZOZjDQ9T0TXARq1wwrBARc2n62X0X/Ld4t56AlxRrxZle/sZoh/UJOgGXYUM
J8zSwOhEZWyn3G2bZjTOlXnkCPMCI3fl6I+dY8eR7Ognt7SXmFPbjC+ISdqFnUakBwpjbtFuUDS+
zHI69FlzVLq2pXyUgq6RgVnvaFFSLNHk+RdU5We9ir8YlkbO4IQoR6FNhWbTeI+zU92rHhabqoo3
TyjCzDNxLFxFI2/YvjFCe7KBq5miiCy/vKCflpEcpyY0K2ted1aJR6jOYnacXI7AMTZUd/d3eY6P
bnCp2E5Z36143gWkSVdZTebQmaj4m8Vj1/Wh0LQ28tHTmGveNjxa86IPRAM9qZ/w7T4QJLlj0EYr
otSORjNAfNYLujwXC2LiZINFKJOjZoMqaBzFFzRo5EapN/yeofaEcbFQwDVYzKyC5bIs+VH59alw
6Rac6ubTWxxt7c05WUf/hpHSxTefQKvnz/X9iFlx55iQqOmdFR4lMQJq4M5aYu0541TylPjBhzu2
yEXeHhbeg+9qTw7BhKFHIJSu/TPzfEo58UetJs/7ruMNW2VuS4DX64wVtbLnjGzp2uQlwBZ7ekNe
fx8HqnFi4TFRrP0ndzZo5zbw5NQlsREl8wNMkqci8R/TVPOQNborNtGrl8jmjnAgJudGfbfpERYU
spBLHdNNaXl0ME/sG6iDCaukvWgFKNg+xpmUu96eTdp2yZ2e7mDhMPSgkxrR/D6LQYz2RCEjxi3X
pss/ML0Q2NTSe2pz2W8NEvyA30P3Ncpr1TPKlOhIxHHbl143Kxz77VdjzVeD4eO+9RfrWTMY8pkz
7ZNlTE33aPTyMM3qfvAweGtmMkVOcmuH7pbKW/lp906h3Mks23PGC+zQKZC3lF26G95XQGHQAmky
rjN1lNn0NtSlSwH5wjrHdoRmZfPkkUuNN1Cp6l2cNp9wwuRhGCCgeGl23w3xPU1sh3kiPd+SgSYk
TJt6scAg1Wz8GoagjtXwU3PdFFgedVOJMLcgJeeCCkosPi+d6neeL1nOWFnwBXjhUmn1qXTIFKJ7
bNRYPzeVRoVq51/0pE/PDG2XQ+N1ZlRlXGbZGFpYunNytqYu0ot4T1vuFqOv9jbVfLBbalvAzjxB
/gzcrNQuuV9Hfr+8JNPw0gRZDyw02XsA4FnNAI0zDe+ldWqG/gqVvcQF2J3AqIeBswDmAzPIy4tN
TkE75hh4T00u7bWjxKXTndelDu6D0aL1XTf2AioSsGBfbspxDvOkf7aV9mxknY4RsbnOfkK9ZvNQ
jUSnC5W96VNHuTPPnXLs0w1Ju2568yCc4EBqJ/S79ix1wbGEEwyv6igd/igRBFc/iu0sZYiOsS8p
b+DF0td3voPfb+369XIyhTOF3RTssyq+GnjX15MHMl6f433Q0kZYzS9VWfmbpDRCaXCoJdnPSdn4
ObTy9uy2BFMhbIUw5FpyAZQINCsRmzpn1mayfM6oZtFsunyeXVyjQmD0c+bgmQPj8IglkTr3Tteg
1WsS9D5VUTmc+RVAQHXnlGygH1yMMLdce1D2O8xh6bmjVfQqk6b72Teg+m5QF7aMnZVZd2YpGtSs
bLC1QyzRfOgZcswvlBznBR6O3Gl6Ot8NNNsPW0N68qWN8/a+zXzy5LqR4Q2CpWpe4ha6MKnoKXb3
DQVM4QA91t/wSNFvrvfzGLaj8dRM6WicRmfwntx2SC9QHCBqJsu9MuMnQGlXcl36h5TS3nT+O+td
u86XD+KC97OHeYme8/zgJkvJuz7FEBYBgRveJF8Qd1hPKVxM33Vip9PVMasx8tCztJ7DQp6eYy15
kjaVNDU/t5TlQ8zhGYDwxUyCK0IwFBNBSUsVOPcyLZE+liY/m5JapzXuq/jDwcB8n+Y00edegQ1U
X8cqx2bQ2R+d8L2wMuN5XzIkZm1vZps/pBxIHNy7a0fwlhFzcoDEnITQAJv7hjqjaZy+FVlPxWun
j0/CM99qv33xvAwRrgSgmrap95FT5MuZgwQ9Yyp1zAKKf3Mv/ZbiO0F9FPq0q1hLVmXvvJSLX9Is
kbyaFQ8s90bjrCBrreknoBANvPaKXV+HX6OpB6qolcHBM+lSawOiZd5UgAC8ftpDVqe8xbofVJNh
zjDjI+P1j6bImy3+YPmYtlpFsbQc63fOZclHVwv/UrYF5mNIjA9Ja6LsZnKdLcC5mCXM+P+MzZL4
h3R21UVOIME1kSwke/EFGzczy5in+UmvE+eRB/y9F/KSsZu/h22Ae93Hf4LdR5LFLgcU15jBzuMy
CLXntSggZ2j1U1txxiuVyi+eNy4HTwXfMCliCDS8S4KL0OY6HAkxY3rzAvWiufRKY5FL+7DHgPNc
NpzoR1j44ZwO1XMA7pwNeOU8GpTBrYVr4N1nkrmXA5WY0nHnS6vwQpERcz8d8pQvYwk5vxzsl87Q
/SMw2fI+T7BmASnLz6UfT2wlmKJT2Kmv8k5K0izmEZDSiJfGcVb+3Id6ajDE7+Vn7vVnLgsTtFm8
M9kuN8Jpr3PXzO9tivrEExNVJKPR2ihcZjxShwLyw37Chb73m7IiPxBjaGyd6dmS8DLWAq6BaQxm
2LGJXrOVMiI7qAysBATKigCrHVm3MEMawsK3mDuLLDpWuAVyNuHrjb6oRxKbKc3UVnFQek9paclc
OHMCelQcNjLC719xu/8EvhAtPi79kr3iuhxNkzJui7a1ZunzLY3ebvOYCL3SNpXpivPQgiulVmPS
n20HSrpptqBwkyB/QyRZEFRcXa4Z0Bt0v0p9S2gd/UwDjZUO42Wx2EmXVJDspyIGbACBgMpzIado
0tt+Ryugt5E4+DETmqW2b7Cc3YkKPH+W2BpFPOnSRI1r4Tf3k+TR0wvnjMGd3m+z2riWU76VQ5a+
wV935Mro54WRm6e/m2khIhobrR8gKA2GBJacVuB/xXsQ5Kl9yknqhczRS4rlRW98tjelmfNSl2+a
eGSjwrND16s005wbciGCf+ulX9guyqV1rahV44SA5HsDaPdeYvu/NsCyyT+NNjfkjjpnlAoN1Zrn
e3bGdTLkwTtpuMXlcKLSgB23n7TxgeCuaPZTPKQ1KjXa7sEYjMz+MQzzxNM7jAL7caVq8T3n75xf
rUDwLjCKwUo+ArPO5AlLnJvt52rsk1BnrPACWvWPqQQ9UOHY83itctNv9TUvCWaRC7t+Cg1GPHhd
F1sOFbue23AEcpPsUa9s94MMv3vpOPAnO++PcYLoij7fsz1dbDYUNVwYcur+tZzY5B3sYMJMGg99
Me8aSC7fSHdwUxG15F/ISVo5ncGSKT9CiKflh9SUC0zKZbQsYPqmtOVhFktZ3VmdLS/lMuYiskbd
2sHvcoM1Vbwx5yt0R/RsUS36B61V1NVXut/8GEytt++XichjmDuV7TAqc/Rk0yWzJiMhcabukOVp
RpQp5NSQ4SU8D95cGkrP1AbFwcpwvYY5qupGaOaG4/bWUNp1sTEK80L8qDxva5nzNpjbBzkX82uT
Iz8HxieFLAiFPVEVrNiid9GFW5abwOh2pHCcq0Ju3fh9ahy52m8pu9p0Gn/4g67CwpvVW0+CmzQW
lsme4EKh0O44caE3hMvMyWeQkKiXHMHldohPI7tpPY6a32/G9wTHsMbYCIJixCmeoPlkYVhNxFcW
+LtJm78byeBSNz3pRBNkhKu1u+eP2I9I5sWTFYzOCySZfDc6FKoMNq/uVHm7jt12yBEqvWVkTO/Q
8LPSSer5XGJkyrAXVo1eV0xBUG5tfWjcK6XvvocleGI1kMJdtr1Ndn1Vt4vkEXG7yjqNnl5/JPac
dOsizyabcMxcWWgNt3FrZMxmjhGwzzjQ204hfDIMA+eCxrM4nnBuHEfUnTLYNo2/2Kesy5cm7Frf
wZYr2oxUwdyRbiGAQ6KlgZxbRdwwfh9Z0yT1o0edkXMfj5N368nMNC+0NSwGca2c4mxMie4e51a3
mj2XN1M7YzJN8Cy4E62T590MknhGmMLi5kjmqOkGs7iyY5bJ01ACDToVUmcpcCeNf1K1ziSKSCSp
SavtcZCrOj4Jm8rsSNYBltXUsTEJN7Gf4KgURWOdKoOI2GNhzcIAr+305U7PSjXvfPrU227172Vi
8vOx+j5BYsoumOfz6lx0jHU2+jz2GIutNukJlriVrp0DtzWzHX9zjIAh0vJogJFBzRQdJCLBCcv0
iuXgNBWvRLvo77mH1RCJyRoIYmFUmF/GgNiwJeQthaCl/a7SOAYC/m/jS6G3YoePDEurml+6occY
Grd9sKGgAocb+847ldTZnlncz8BT33ilcshiA37shLXcs3gPx8x2j/Xkl7sqDdwtdoWb84PaohqG
x5aWJoXXPW3WvSaANHcBe6PanvdpD9FA3Ibvi2Suha19tL5GP9ciZubxa1ybvXGT1dLXqs/SOepn
TEmc8oXId0jQ7C0nMSwnIsEpm7qMe8Hpre5YehZCUErdz10lF7kzMx9U1BjkDscQSsjjplho3G0X
du6E5Pqn21gFYzQvaSkKoiE1gY3PToPtPArnlMRF8SETY7lqQLCvU5+R65v9glp6TSV7peuPo1nj
+XH0LMKe4SLklF6G5oXfeemCPtKS0TxkLBHdQXIg25pj+aNMqLwogrh7NIXJqQZBzuY3WdTM8Q8S
GRftMWV88r3ICPfoZdBvhprOgNJzSmOlE2NU9C7Db6oX5C0ldHuneosGJyOWFyod54vHfbcmvvIN
mqIJQcYdzY8SFYHBmXezqif28lwwaH1JC6u5Fob3as0IO7NR+WElp/gak2qTYeEvl0rEOisDKSvP
rOHhC+Eh1pPnK4JxjpHyuE76UkJbqnusyjBLy63vFsHHPJbDtgW4cjLmur+zCBatPBRKTt+OuXLT
22rXpS+GHltHrx0/RGGWIVa/vZfF8rTQr7DhjTHcBYMHezJpWiZMon0HjpbFG6MzoW+L+qaR0src
REwTrZBGtDjbOBTyfYwaXI+1FtSdEcLT5A4rZnd577win+m90EyO/Xl2CRjcvab2MrwSCeQ1YelX
yFLW2TIUCByLyRAbjFoddCbHwWZhZHY3sxWJKFyevmyn66+1SvuLJsZDbnjoRoY7ezsEBVQrR1gI
RUbuEPoqGmW9pZ2CJ7b4XWg1S33X24m+Ex4+AIJ0vJrXBjXE2yrXy9D9P9ydS3PiWJbHvwrRm+6O
GLKRQDwiuivCYPzG6TTOrKrcELJRCYGQQA9ATEzEbOZDzHpWvZjdLGeX32Q+yfyusLK4gsLYulGZ
UY6KijK4jq7u49zz+v8PhTo2imc9+jwa1Js0TfYrA6jIwKrHYNfQq01ABtPZijjxiL4f5QnMaSNi
hlAKQaAD/Qp4tZlBjwXqZGl4FDSbp4LDvV8VvSsSKirPSUi2SOqNBjp0Xzo+O0CTSsdeeuuzda0y
79nlRfDYSMbV2/FkYcUV2lPgK60v8WnsTsMfRM4p7M+VS2/qry7ndQxRY9IyriGwnJIwrhjntEGD
Axt2tNoHgLrLn2ch7YDpDDxPerBhGfeevcTyoDVJd7326NNl0CQMHriLhbG+wH9zzsJKPGnPKqt7
akLKDwkdAj4EZMUwXx1AL86M8ogW5NRz16n+GMLhjuc2oHGXbbATqYL3G/eA4r1TQMbuZQve1IvZ
OB6A2WkQoXNaYFYq/hVH9nLijdY/U01HVNsm9lgZ14MP5doghHuN1hFtOxxP+nF1qf20NHT71pg4
C+5mfUQcp66/11etT5O6iK9qsOadx4bmnFZok9GhHG8EtLY1xbcL9YuJA9BtMJrEd+tZ7GJmuAP2
/6hlVZeDcDideJY79mDQAkJJpwy9cTv3a/OwPYupQG2EMc8hp0eyWxD5UBXUXOojDBsK65NGeNZ0
NXpWa8ZZbV6+WA2g1TXqIBMBu13p+hJ+XbpcdFp+8nNI35guhSQfYYR7MiLKTPzytK0ls1rb8Co3
gHDnNcwF6gUHoCmIX8H/TGHQNDorT4V9Uy67p17izTrEVVY3E7zxsL1eje4JhXvXq4p7v8ByXoAq
q5/6Ie5EOSYdCYlL68pfwcfYNhJcZntaTkbA32j91Fos7GvqPCIWAp1ISzMu4CkxLHex7q8rSx+g
TyvsLtjEHXcZUkpVgQEjrj00KuPHKfViZ0YTLCgJQaANjvYx0iYXhNrplNZKPs9CLaQjH13myj73
kVNdOjWwtsnHdXO2BOflLCkZnIbrZNp2Vs3RVXk9bf04mA6mBCwbicP/oY3RlYtpOD5tDnAM4ENY
j9o0CC9fu9BAnPqgSh9W4Sy60uNlcg0zB1faKAbMQzSNIPwqfB/OmwSUGm7QIU0s0GuQEI4o1Lxt
unBb1Qg7J/AynxNTxAnB7erQn4bKvxb0ZIBQZw8O5LTtCUq167lTA4QMBUa1tT7uJuUpxEHEXnq2
VicWXKGJGa0AwWWEjdZ15AXcgoZt3FcGjeRmncTzj8YAJxbWmclP5Xr5MknKV/Soo6nUYuz7N0Sx
O5Uo+OzExvQujo3WdX08hf1RM7SLeVAOPw6aNe06mFeaN749nw8JHleunfLchg+NfumDqgOczB5X
3lPhVR500WdkHUiTkfSxvY4B49HFLKGIkOb12Iz+mk7FUEJ1YVhrnel62aAH48SI7uI6uHV4nPxr
G8f/YVaeNe8GVJx2XY1YmG6vV8DEEte/r+gzs1kNvZvQ5To8owehf9GY+fWuQ5ewTrRKosdWRJbf
paiaJvV11PNUv66vcL16CWHue3s5IjO8ntpzeE0I9V7B5EIIF5ORDJBPl565NjkdVBqrc2Im2hWU
MvTQHPAGXkAB1nhJZPNs4obhFURxrVk7SJImiBZoiEhy+58TNM3qglPd6gcwutmd8Yx2kSPQ3WDn
4rJ/kaw0dIDjQnBCudrFtJFEXWoTOG2OEQRAHzExiX00W6CFwOmGbSJ3letVUK5d2cRU9E41njc+
1my98suombQuogCbbJGMapWPM6MefljWauWPnhPrPUB5wdU6Wv84njenvRUu1ofq2AiupoO6f1+e
JvAK0MeqelkHPhsQRtcB/sBo2Dqtegs8+8oq6RHad7sGjiGdDwnj+5dunT5e7frC1ohf28GidlqO
7KBTr0eVuOMbM+8pqXqjuNvS14OPo3k0+aU6GbTIqZS5C5pNMg1RVGHbhK3FmC3v+JVWe+Y74wd9
lhhQIwQEIk8df25gA2vhdRSGk3MUGjabC/ED2VJQqpT8NrSzMFo3iCesKeSsE2GeJLF/Bx3WqPkw
XaL96PHD6wxoa/d+TkCPnj5rLdA+1aipwHga1+2rpufRYTOKwU/rkAa0K7OpQ+OUEW0kT2urhUGf
qsVMSzpaLbYtwHIL8qINyrRmo8kVzdi0x2q4nF9FrTX6waB1FRQ06xtIV/E0aXDT86HQ/lFfrx9H
K69JRp7c9wRM22AJCdlk0ljd0vVqctaYlZczUoPCS675w1pzeRlVZoM25Eo9vxH/7LDJiSauHL3j
+KMFhUkGJGGr2gTHZjYDvEfVlffeoGLK7lKEhtbD2r7QBmVBOOMQWYqr43mH9gb+uWZPwdrXEzpU
YKuUG5QgNWvtRb3xRBjPOQvm3nloGMvuKPbCnjumq2XgTuBKDIEoUJJdb1c0qlsA6bfORkkwvdRx
GjrVVfOp1bApcqCY8nw616Ifx2XNvmz5A+iv3GgeXBCOmnOAKITA2YXFbL6y75hv6oiox7uerMY0
GqTh/OJsDRDnjM6NBI/XLFJ5FM1O12QxynBLracPCx/f87Q+pSEXX3q9dU0DQd+aVYnKJ3Z5fYVe
JUfbIHuMBUXQi/xojWQQoOZyrdldOUCpQ9vDRue7SjdESZNAns4rRMwoUcEhsS8W9Wo1ODUqy0XX
prDkjPAfJJXesna/JM14BoSC/FCjRhHWyvi8qBow+mhYQZ0J1OYXeFjRT3TTXl5oNPfCcGh6MImG
5dlP1RgMIPu81vgpMMrUCjaCZNqLBsb4ellZMQ6MvgE5L/xlO64sIE4LP4yqhDRDNyEGGkMqcOkQ
gH2x6HKn5JIqnXqFLr0gfxvUgPP9drky2P4a/Uyey+nXzSCBZWlar49hXPIo6qlhIqCzhNdJd5rL
ZNmMTJL1DRLBURgAkGnhBUNjCBtwe77yKHBFG67uWmQkscbGK2/SXkfVWKfNbDQqW9MIkPTpJPan
y0398KuAfTSl5J+/SxxAP/xdIg86jmIIUp5bc2qFeVGS5PCH9Gvb8k/NyJR+6VKWEMGtbgXJvRXi
6xz+FkkbsIUQdEepf/Tg74g46o8OCypZ6bgekpn1jz89+bEXifFR9uNt4wJ3+IrSEaUvc0iAa/LO
8RDJNe0dDQ3oxKNTwOv6np19XntHvLPRpMgXBjd+KDUGsfi8xIfe/fBrZVN8aA4PjXwzK5fDf/yJ
HMFW0fLXEb3m3Y13NOSidBmypM2PNAWa8Q4WFkhBgUR+Z+/eZLEk/Oirl73+jhVvApgEabG17Pq7
Gvyc9J8SvH3pz/f26gLYU+jVq7V3IgcCdFEn78kPLGxbM1CtvtNotFKtaGha8QO53fe18QU8rtAM
GM13bGtW2Xh+RaBrWzOgcyyqNDkUjeK+zz0gyGMLzUCt9Q7mRcF8q20WWd4DnHx61dN45rvdA4LQ
tNAMgAgHuANW23g+BfIeaL5rgR9h/ZmY72z3o7AKvXm9+g6MEI3LoMJLf+Q3Z/eDV2yBhN98+/2d
/x3ygNcqfwNmwRZYgAZUhOmPfAdolXdVTAL6Az5P0Cs04BH2wVfbqDNy3GFqOjlWuGV/vfgHmYWx
K+DZchDmgV4lovSVyiD9U2FLbYT/alv9IJlWqX2z9aUw9bZ+lf52Y3BufZsZR9vPep6P3ZHufYfs
wwvHCszgCd7d1AZ8fith5f7jTx3TM4fmtg0o+JR/HcaOsfj1sBySeh5Yluea3jATJaZQHP6ignvW
ynnyMzmp3VYHLVhUbN/E8C7dMU+BVWLYpZ4zjy0usUx0ugUqCp5E8CWyhqV+ZEZWKEkXkLei79FB
QGC6pZOpFThP0rLqROBQTb/5BAZz1NJ2zMB5fLRMaWq49gQfKZbEC/L3beCvbsDutpbN+9d//zyc
dPXS98+OxPahOnAodw7w9vifz//2R11xwDL1Iz0r+yb78NDpaVuus7ayuUwHr2Jv+GFklu5z20IA
zn9zzY7cEl231DfdhQlENhMmBt04tN2OFH0ec06mpitt5ZYCDXXhe8M4MKUjiIWWjX+vn3zU+bhl
ggPTjqURaweP3pFzcYeqnspiWy9O8b7d+TsdOA3O4Gy7v/W8HTib3+jCPPnFHplAGiNZAyq4207W
VvBoOmNZML5J0fN5EkwtT+aZxkQrKrVterZrDq1wlMlKNZWCieglpjc1JV0i4gqFBzyK84umQPm1
g9iznGx0YgpEA+yiY+2Y00c45qXTXjt0vR6pQ/qBU7oxvYks+EUtsgmvHbqzOOCeLFTBxkVJ26Vr
8a/+yX02qWKKNUFGVnSOL72h71mhPMmapimRnJeq4FhcmTNZNWi6goW7Tij7XufVGQGr4tNw6wfR
iPULLGlnaKK3d9HF65Od2Ctbwca4NgFok67JzbaKc31j+rLJIai4is5Fz3wy/Z0jYiiY5R5nz3dz
e1mFydgzXfCPsgek1RWoDASb9KeXN1xdgUa+tWamm61VqoNEz+aiS3eHrfhkuaXLUHjL8tZIe0H8
dtbmKGv0zgTMkt/IohtZ4YETbXFmVOXKa6iL+FZR2X0Ir8wZaiMTlRoWmoLd8TAynXxYgl6y2XPe
bvU/mGPqD/MzDTOaCtHOUtZExNoViI2DiTALd8asQiN9XD9ae6ZDdIgsujk+OVaEH5QJSreGClX3
HoYgf1G6pBIonpX+VupGPuWs8fPJ3H6ciHEreJHnB14D2QrBhfDI7D+dfQ+FPlGBDdGfBSb17Pv0
TRUCOgWHt+cMh65V6pphtD1pNXqfHZKO6jtKoT3PWn/kTHz0GrP29T83OnT7oSQcGjSMzj56+/FO
bxWTBQoc9//+/T/DiZmYpfMgIXTKCC7MR39qZqsmKXGCTpCtKQgrPDhT+ONurDCStKJINZN7LP6G
fQunYJJt9/Bvpw61HPhLTulD7A1NKeTaahgQUyt46KkPrRoT+GDCkgtAT7q1IauDklDB4l2bsRM4
k2yONv4DsR66VGafvX1n3Jll1yk/jRyzHIZxJm/rGQrWvo+nvUeyAh10Y4L3zZk1UNIyNS9eXN8u
sLRRJUUjS9vjF8tPJmf7o66aSK45CkgtSIunYNk6tNKJJT2j4pyc4/aQmAicmTTeigIn8zKQLRjI
TrNnvP3oXYaBackmuaZgchnrPBtceo5F372iVsuVHwxzUyC6XBYVex0vTUe6Z2FlLy72xno0PTn5
RY1ncbnv4aHPpKRTW1eggT9QOBdIUlsKdkHfjIdO6SQwH2Vfkl6P2bPevnP7SZCTqiKS85xaFGMu
daegn/MZRlGTV3TH/YgFUiL0K12nuqAOLir5Zwt3JBMjdocuqlKKSr31S2y6P4elvNtnqNBr5z5i
S/34cYgfRcZVOoo19oqCQ0Pvpsd99rqoJ4KFU8EcnTzGpV4cmtlsb6yXVLoC3f+v991+9/5T9/Tf
SmLzWAETlt//DZ32EnBQU99PlRgllLUXJ27fZX3gCleYSW7U9D9iXsu1qRmQ9oACdXEi4oeS0BcX
9uVcQ9uPQkIiklhNhVzCIbIGetEKPmKwxBO8obN9tlREWDojc7gtUzRVLqor7y3gtq7zVPJ/KUUj
qwRTpy05fjUVPp819Z+4m3jMy89TsAPJpFmAGKR1fVm7vLyuHR+HXA7mGwriql8reH4RBTze1znK
VlfoZhW3bcecWaVPVjCUwgmGAsvpdOw8kpyRdnxdwT3StZOZdL+qiOp35xSY+Og9t3QeE8yWdEpd
gU7pBk6Uy3+JngdFj2o3Gjm02pWGqyIi88CxPyf3LEtuKvApzgmSSYdQNGUoOg3nlGJIcyDaUBcW
urMRKG8rLrbz5X8iqzT88+XCd+TUhqbi8rq2vESaClF+U3gubpzHvFWgYf4Ul2uFUChKl4umIkzK
eHOzUFNwh/eI89pmSGFX9uapiaziGumZiR/JMV36wWSPebuLKSLWS0kHU4KuRGxOqIJT3OMifcpV
9arwnHom8fqI7kfZe6erVldwljeSKQOTT5yKa67nr4X+pfxYHrWCbXzrYOJLUlVcGanU3EQIRI0a
NVxuO2Foxpm4dAVbCjby/Zd/xgDMpRsJDEP2nLcfvHs8E7mgnnZVxcX2reRpZLmuJW1mXYAWi070
ppTmJDU4M2linoGtZL++fTrIK1m2nGHQRfOXwoMWtfpm6caihCuTlg5adGUqLJx0Xq7qhW5yCuTG
uSCwruLmf/BlL02vKrig+1/+yy+BqP7yzxQPcRd8+W/vyZnJc11VMNeEt5xcvY4u+nwWXcMH01vn
FbSuIoj90d454CoqM+nnAq2XWTozQ8ks0msKdClYHydn09P0svgkd4nDRI4nmQS6igv2844Poqso
f/jsTB/Nx6W8i1UkITY6tL9zvhsKtEab4pAHjDkp1UWwtPjynTwmculyg4olSj9bdMyDYQVF/bI/
9e3isABuwS4fkwcml+uhT3bQPER5flUzP/hPoJpe+JvvAbK3e1OLiHROYT6/8pFVNSceObQnYnI5
e3YXafNKuXnNvscpfZ1E6Bd9+Raig+5u8PN1QjeFyvtAcynqs9jUxmSGdqwJ6oJ2jKvXjfnZatsF
+okOqTu64XWy34uTIJv0NI5s1pp6s2bUqnSpo2HpjuP3umfckba1/fxTRMlPDawt5D/NtDnpzlPi
X5lLMIWPqhljz5i5jSg6Wdf0Jm2f0XIg06sH07rHPqhtwk/9tAfcKfrWktdqaVXeT6/RB/nQpX7s
43oEUehEwd0uHVuSaQYUzDqQc3oYVA1Q+Xnt8IZJ7Jn2KLAeM0nC1m5Uq/Q/Zjs02A2thna4+PfY
t/oKMC3dWmQhgp3C6CZUC6KLKX07aF+LCX0wXrJ57Le7pep7tvQxd9bWEu3cSdtvI1yzw7VL23/d
5ZB+BagqzIlulHDR95Lv4+/irnWphJGP145u3VqpIxXSCcgjvNfts6TAjz8RN408VtEG2BJLnrzd
gweNTOM5ueD6kEI5cg7afsjEps7lhRWsLdtf5BBkgidJweDNXKmcirB4O3ZtcPDSClYVDPfUEsBH
qbZGRRHMZWDly1/qCjZcN4zyF7ggEyq6Zp21JeppM0HpTaNgbs+cHUaKxiHr4sh9fGYGvrWvPufg
rXuscOomn6ztmRBUXUUn+Nx5xCLNVc2pAAWdw3rnhVaSDVEs3csQ9Zdz7edWQBGXLFbFPMBSIs+u
igAwLOjERKTtm3LLFV21ixhUVCBNgqYiQnsJ/oyI1vaaQWOV/fr2e+MyMl15tJoCnXNlBbkNpunV
4oO9otSCVJxcgJgy9RVdthszWuR2g4pw4Y0TjeK8aaLtOsLxr+7SkTqn7/oLUIPyBlZR+XPjoNcj
y6MGUC6zgiCv+ArS/MoCMx8HdiZLaB9NBeSs57tD5kSSa+xEXF4/06BrzXzaU8ERIfUbyYNVETr9
DWdMUxHhJP6yNGVdoeJqpkl3XrGpKJe9A9Ye53Jamgpyq3vSTjlnAza9bNu9XROLE01po7QnoCFV
IDjVmoHjyRkLFV5Hf5bDzeDrKxjwwsShC6TLTtdVTPHSGsqXBw1cFIx36USwwuS3sa7iyqPRC1Ms
GZdEw4qP+eOG4ewaEPfQl93G3TD165XmJ1E6yr7r4NRmgxWaXj8YBTry7kMjc0FZdiBvaBVeTR9y
n9wRVFEICOjVEvW6vRyyxtBU4Is2gXH4JSyoUuTR01FGhT137dP7VJptmEJrNDjI1vbtau/Lf4hz
s881g6xVa1YhodaqTXAg1drLj9sXRPt94AYEjv+QPFp7U07GyxRs324l9gXWi4Y8t99GbPXvIZT7
zOX4+77aJgrQ2SZxzQZwiHfqJIgfJcNGwQ1GNtSBwC+NTbbN4JGsfqaN0psm++XtqglYTOy4MjBG
Bb+JGC00jOQ8Nm5r6gIpcClEWXjbHEE/KIlWgVrsmAlW7z4trcJ16+R2h4oa2FN/SsmLnCpX4WFl
cveDPlSQI0HLm2f7VeEQQdI5hCw3lvPyu0no1xt7F6CbHWkzq+C6uGIf59ZPU4GN7ZmBKIbKl+6q
gAUJwzQUFY+RNBsH08hH2rx3BG0jXxDDSmaYrgIfu+FVvnaiKEy16a21cGQNooJJZ/OUm/hJtlB1
FfbpA96tMzSH6fAf/EdqFrZXQFeRpHqg9G8zPx32pR/uU4a6irTVZqI+OeQUoLsWxrGA+W20wg6T
lwrgRFvU34ej0icnsJ29Sh7gbzafb79OP/YPPkFBpIN+w2YOtaOr4DfuUJoCeV82Bal5oaIov2/K
VpHeUJAvgZctKtFlHO7yHKhCV1Hwv9mdmDDR6Ms/XWsqufeGipRE+gI9kyfIsRoqHlWACTcvsLkF
Sn85S3N3f91e2ir1Ki+WD2x7BN3nco3fx9MUFPF/SFdzXwmeivgn4ZFffHfyrK+3V7pO/AVC/Fa9
TjSj2aSM8MXo5bdb903FYOZtpS7Ysyt6oCBnpyjpwN9+K6ruwBZukIwQPchCd6TJ1IYTNZfUUxFt
awfmWq7yVoHkEOspRXlV4Cw7vuvnUcIqWBi7T/gSchsBFf09znB8nkYC4p3DC6vIXp2Z7uQ3I40K
4pjnMXzoUgRCU8KyCjgSIk1pa2gqilYEpy3hE+n61kR3SXEYi1Si3VlBnEnZRDZeVKov15Z8DOL8
YOnnlD3m7TbpJ/IIa3rISAtH0epLkr/dNbCvxPsPeClsKuYhITKnvrQ4KizMNpVK+XChAgenL9St
v9eBUkHU3vGF1/mXa4vGM579133+pwpvMM0mCf4nTGShiPc9R0VdRcf3M5tMCjYYCiKhZ87YyY6w
0EEqSMDPyB0LtrasLVSaz3Oegt3uBAc7LB1pvDzfhRRHJDvdD1S0qXmWn+JTxGKLMMNXfJFoPjGU
FkXFxUAAUko072JT4leXQV1Y1Ak879D0HXpPpwQB3Owz6SUof882xdtvjGtYah9xrTNJ6RWnAmLb
GQXQ0xG73+OoaCrKlm+tZaljunuSxCoy57dOjgtBRd78k+nB/CObEypiJLdwTshSVZxZMcGfLSg9
cnWazWq2Wd6+7e6c6InY1t7LBWSUggeYM5Jp4hV2KZY0NRzMbp4hQsFx5JIK4Ube35thFxj5eg2z
CRddWC5JmX8pnYQEZUMYKTaRZnFiSYvBL96JvZFkpwBYK74oD/4E21TaqTQxViGXKuVMTBrOVNHt
5SGmcCs3WAU780eW19lE3s/iCCJ+aeAqcoU7RqaugtimI1pviKxNdmi3x20QZGxA4F01qKSpgD5T
UUr5XNTVT9tW0h3T84PS+5hOAtiLe804GuLWjAqknk2iYGBGX+ZS+4aOzx4waFHHZ/ttnoNp2x91
nwO7aZ9a6VnZN9mHh4ofzi2fvIq0a1U0jbmPwxxcVleRdn348r9QXCTW9mYF6pv9+ls32L5p+33i
4ftQu9myvDVKuv02L++L7b/ONka6ZRRCN/eheP94b7kPNPydveULi/1cGfbk4pj88P8AAAD//w==
</cx:binary>
              </cx:geoCache>
            </cx:geography>
          </cx:layoutPr>
          <cx:valueColors>
            <cx:minColor>
              <a:schemeClr val="accent4">
                <a:lumMod val="20000"/>
                <a:lumOff val="80000"/>
              </a:schemeClr>
            </cx:minColor>
            <cx:maxColor>
              <a:schemeClr val="accent1">
                <a:lumMod val="50000"/>
              </a:schemeClr>
            </cx:maxColor>
          </cx:valueColors>
        </cx:series>
      </cx:plotAreaRegion>
    </cx:plotArea>
    <cx:legend pos="t" align="ctr" overlay="0">
      <cx:txPr>
        <a:bodyPr spcFirstLastPara="1" vertOverflow="ellipsis" horzOverflow="overflow" wrap="square" lIns="0" tIns="0" rIns="0" bIns="0" anchor="ctr" anchorCtr="1"/>
        <a:lstStyle/>
        <a:p>
          <a:pPr algn="ctr" rtl="0">
            <a:defRPr>
              <a:solidFill>
                <a:schemeClr val="bg1">
                  <a:lumMod val="75000"/>
                </a:schemeClr>
              </a:solidFill>
            </a:defRPr>
          </a:pPr>
          <a:endParaRPr lang="en-US" sz="900" b="0" i="0" u="none" strike="noStrike" baseline="0">
            <a:solidFill>
              <a:schemeClr val="bg1">
                <a:lumMod val="75000"/>
              </a:schemeClr>
            </a:solidFill>
            <a:latin typeface="Corbel" panose="020B0503020204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10.png"/><Relationship Id="rId3" Type="http://schemas.openxmlformats.org/officeDocument/2006/relationships/chart" Target="../charts/chart3.xml"/><Relationship Id="rId7" Type="http://schemas.openxmlformats.org/officeDocument/2006/relationships/image" Target="../media/image4.png"/><Relationship Id="rId12" Type="http://schemas.openxmlformats.org/officeDocument/2006/relationships/image" Target="../media/image9.svg"/><Relationship Id="rId17" Type="http://schemas.microsoft.com/office/2014/relationships/chartEx" Target="../charts/chartEx1.xml"/><Relationship Id="rId2" Type="http://schemas.openxmlformats.org/officeDocument/2006/relationships/chart" Target="../charts/chart2.xml"/><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3.svg"/><Relationship Id="rId11" Type="http://schemas.openxmlformats.org/officeDocument/2006/relationships/image" Target="../media/image8.png"/><Relationship Id="rId5" Type="http://schemas.openxmlformats.org/officeDocument/2006/relationships/image" Target="../media/image2.png"/><Relationship Id="rId15" Type="http://schemas.openxmlformats.org/officeDocument/2006/relationships/chart" Target="../charts/chart5.xml"/><Relationship Id="rId10" Type="http://schemas.openxmlformats.org/officeDocument/2006/relationships/image" Target="../media/image7.svg"/><Relationship Id="rId4" Type="http://schemas.openxmlformats.org/officeDocument/2006/relationships/chart" Target="../charts/chart4.xml"/><Relationship Id="rId9" Type="http://schemas.openxmlformats.org/officeDocument/2006/relationships/image" Target="../media/image6.png"/><Relationship Id="rId14" Type="http://schemas.openxmlformats.org/officeDocument/2006/relationships/image" Target="../media/image11.svg"/></Relationships>
</file>

<file path=xl/drawings/drawing1.xml><?xml version="1.0" encoding="utf-8"?>
<xdr:wsDr xmlns:xdr="http://schemas.openxmlformats.org/drawingml/2006/spreadsheetDrawing" xmlns:a="http://schemas.openxmlformats.org/drawingml/2006/main">
  <xdr:twoCellAnchor>
    <xdr:from>
      <xdr:col>4</xdr:col>
      <xdr:colOff>330610</xdr:colOff>
      <xdr:row>16</xdr:row>
      <xdr:rowOff>98322</xdr:rowOff>
    </xdr:from>
    <xdr:to>
      <xdr:col>44</xdr:col>
      <xdr:colOff>0</xdr:colOff>
      <xdr:row>88</xdr:row>
      <xdr:rowOff>86839</xdr:rowOff>
    </xdr:to>
    <xdr:sp macro="" textlink="">
      <xdr:nvSpPr>
        <xdr:cNvPr id="51" name="Rectangle: Rounded Corners 50">
          <a:extLst>
            <a:ext uri="{FF2B5EF4-FFF2-40B4-BE49-F238E27FC236}">
              <a16:creationId xmlns:a16="http://schemas.microsoft.com/office/drawing/2014/main" id="{A177C626-ABF3-F445-878F-75DE56BB4B4F}"/>
            </a:ext>
          </a:extLst>
        </xdr:cNvPr>
        <xdr:cNvSpPr/>
      </xdr:nvSpPr>
      <xdr:spPr>
        <a:xfrm>
          <a:off x="2801961" y="3063944"/>
          <a:ext cx="24382904" cy="13333814"/>
        </a:xfrm>
        <a:prstGeom prst="roundRect">
          <a:avLst/>
        </a:prstGeom>
        <a:gradFill flip="none" rotWithShape="1">
          <a:gsLst>
            <a:gs pos="67000">
              <a:srgbClr val="000B22"/>
            </a:gs>
            <a:gs pos="40000">
              <a:schemeClr val="accent1">
                <a:lumMod val="75000"/>
              </a:schemeClr>
            </a:gs>
            <a:gs pos="14000">
              <a:schemeClr val="accent2">
                <a:lumMod val="20000"/>
                <a:lumOff val="80000"/>
              </a:scheme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i="0">
            <a:noFill/>
          </a:endParaRPr>
        </a:p>
      </xdr:txBody>
    </xdr:sp>
    <xdr:clientData/>
  </xdr:twoCellAnchor>
  <xdr:twoCellAnchor>
    <xdr:from>
      <xdr:col>7</xdr:col>
      <xdr:colOff>292208</xdr:colOff>
      <xdr:row>20</xdr:row>
      <xdr:rowOff>20574</xdr:rowOff>
    </xdr:from>
    <xdr:to>
      <xdr:col>15</xdr:col>
      <xdr:colOff>292208</xdr:colOff>
      <xdr:row>39</xdr:row>
      <xdr:rowOff>24093</xdr:rowOff>
    </xdr:to>
    <xdr:sp macro="" textlink="">
      <xdr:nvSpPr>
        <xdr:cNvPr id="53" name="Rectangle: Rounded Corners 52">
          <a:extLst>
            <a:ext uri="{FF2B5EF4-FFF2-40B4-BE49-F238E27FC236}">
              <a16:creationId xmlns:a16="http://schemas.microsoft.com/office/drawing/2014/main" id="{BE4B5FF7-77D9-6586-90E4-A193CC963D91}"/>
            </a:ext>
          </a:extLst>
        </xdr:cNvPr>
        <xdr:cNvSpPr/>
      </xdr:nvSpPr>
      <xdr:spPr>
        <a:xfrm>
          <a:off x="4617073" y="3727601"/>
          <a:ext cx="4942703" cy="3525195"/>
        </a:xfrm>
        <a:prstGeom prst="roundRect">
          <a:avLst/>
        </a:prstGeom>
        <a:solidFill>
          <a:srgbClr val="021020"/>
        </a:solidFill>
        <a:ln>
          <a:solidFill>
            <a:schemeClr val="bg1"/>
          </a:solidFill>
        </a:ln>
        <a:effectLst>
          <a:outerShdw blurRad="431800" dist="673100" sx="91000" sy="91000" algn="l"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467929</xdr:colOff>
      <xdr:row>20</xdr:row>
      <xdr:rowOff>0</xdr:rowOff>
    </xdr:from>
    <xdr:to>
      <xdr:col>15</xdr:col>
      <xdr:colOff>116487</xdr:colOff>
      <xdr:row>35</xdr:row>
      <xdr:rowOff>24093</xdr:rowOff>
    </xdr:to>
    <xdr:graphicFrame macro="">
      <xdr:nvGraphicFramePr>
        <xdr:cNvPr id="26" name="Chart 25">
          <a:extLst>
            <a:ext uri="{FF2B5EF4-FFF2-40B4-BE49-F238E27FC236}">
              <a16:creationId xmlns:a16="http://schemas.microsoft.com/office/drawing/2014/main" id="{4AE18289-A3B5-4ADA-877C-A5533AC3B8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248513</xdr:colOff>
      <xdr:row>43</xdr:row>
      <xdr:rowOff>12110</xdr:rowOff>
    </xdr:from>
    <xdr:to>
      <xdr:col>25</xdr:col>
      <xdr:colOff>248512</xdr:colOff>
      <xdr:row>62</xdr:row>
      <xdr:rowOff>22636</xdr:rowOff>
    </xdr:to>
    <xdr:sp macro="" textlink="">
      <xdr:nvSpPr>
        <xdr:cNvPr id="54" name="Rectangle: Rounded Corners 53">
          <a:extLst>
            <a:ext uri="{FF2B5EF4-FFF2-40B4-BE49-F238E27FC236}">
              <a16:creationId xmlns:a16="http://schemas.microsoft.com/office/drawing/2014/main" id="{DB18A592-499E-42F0-8708-9B1F0FF7FC4A}"/>
            </a:ext>
          </a:extLst>
        </xdr:cNvPr>
        <xdr:cNvSpPr/>
      </xdr:nvSpPr>
      <xdr:spPr>
        <a:xfrm>
          <a:off x="10751756" y="7982218"/>
          <a:ext cx="4942702" cy="3532202"/>
        </a:xfrm>
        <a:prstGeom prst="roundRect">
          <a:avLst/>
        </a:prstGeom>
        <a:solidFill>
          <a:srgbClr val="021020"/>
        </a:solidFill>
        <a:ln>
          <a:solidFill>
            <a:schemeClr val="bg1"/>
          </a:solidFill>
        </a:ln>
        <a:effectLst>
          <a:outerShdw blurRad="431800" dist="673100" sx="91000" sy="91000" algn="l"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292208</xdr:colOff>
      <xdr:row>43</xdr:row>
      <xdr:rowOff>5574</xdr:rowOff>
    </xdr:from>
    <xdr:to>
      <xdr:col>15</xdr:col>
      <xdr:colOff>292207</xdr:colOff>
      <xdr:row>62</xdr:row>
      <xdr:rowOff>29173</xdr:rowOff>
    </xdr:to>
    <xdr:sp macro="" textlink="">
      <xdr:nvSpPr>
        <xdr:cNvPr id="55" name="Rectangle: Rounded Corners 54">
          <a:extLst>
            <a:ext uri="{FF2B5EF4-FFF2-40B4-BE49-F238E27FC236}">
              <a16:creationId xmlns:a16="http://schemas.microsoft.com/office/drawing/2014/main" id="{82CEC774-3836-4E81-93BB-F304ADEF2745}"/>
            </a:ext>
          </a:extLst>
        </xdr:cNvPr>
        <xdr:cNvSpPr/>
      </xdr:nvSpPr>
      <xdr:spPr>
        <a:xfrm>
          <a:off x="4617073" y="7975682"/>
          <a:ext cx="4942702" cy="3545275"/>
        </a:xfrm>
        <a:prstGeom prst="roundRect">
          <a:avLst/>
        </a:prstGeom>
        <a:solidFill>
          <a:srgbClr val="021020"/>
        </a:solidFill>
        <a:ln>
          <a:solidFill>
            <a:schemeClr val="bg1"/>
          </a:solidFill>
        </a:ln>
        <a:effectLst>
          <a:outerShdw blurRad="431800" dist="673100" sx="91000" sy="91000" algn="l"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476168</xdr:colOff>
      <xdr:row>44</xdr:row>
      <xdr:rowOff>175311</xdr:rowOff>
    </xdr:from>
    <xdr:to>
      <xdr:col>15</xdr:col>
      <xdr:colOff>108247</xdr:colOff>
      <xdr:row>60</xdr:row>
      <xdr:rowOff>44788</xdr:rowOff>
    </xdr:to>
    <xdr:graphicFrame macro="">
      <xdr:nvGraphicFramePr>
        <xdr:cNvPr id="27" name="Chart 26">
          <a:extLst>
            <a:ext uri="{FF2B5EF4-FFF2-40B4-BE49-F238E27FC236}">
              <a16:creationId xmlns:a16="http://schemas.microsoft.com/office/drawing/2014/main" id="{4A0731A5-6031-4F62-8234-5C535C8B1F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0</xdr:colOff>
      <xdr:row>43</xdr:row>
      <xdr:rowOff>11840</xdr:rowOff>
    </xdr:from>
    <xdr:to>
      <xdr:col>36</xdr:col>
      <xdr:colOff>0</xdr:colOff>
      <xdr:row>62</xdr:row>
      <xdr:rowOff>22907</xdr:rowOff>
    </xdr:to>
    <xdr:sp macro="" textlink="">
      <xdr:nvSpPr>
        <xdr:cNvPr id="56" name="Rectangle: Rounded Corners 55">
          <a:extLst>
            <a:ext uri="{FF2B5EF4-FFF2-40B4-BE49-F238E27FC236}">
              <a16:creationId xmlns:a16="http://schemas.microsoft.com/office/drawing/2014/main" id="{740FFD82-B786-4B98-B959-30D93C4A6460}"/>
            </a:ext>
          </a:extLst>
        </xdr:cNvPr>
        <xdr:cNvSpPr/>
      </xdr:nvSpPr>
      <xdr:spPr>
        <a:xfrm>
          <a:off x="17068800" y="7756531"/>
          <a:ext cx="4876800" cy="3433140"/>
        </a:xfrm>
        <a:prstGeom prst="roundRect">
          <a:avLst/>
        </a:prstGeom>
        <a:solidFill>
          <a:srgbClr val="021020"/>
        </a:solidFill>
        <a:ln>
          <a:solidFill>
            <a:schemeClr val="bg1"/>
          </a:solidFill>
        </a:ln>
        <a:effectLst>
          <a:outerShdw blurRad="431800" dist="673100" sx="91000" sy="91000" algn="l"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149735</xdr:colOff>
      <xdr:row>45</xdr:row>
      <xdr:rowOff>43505</xdr:rowOff>
    </xdr:from>
    <xdr:to>
      <xdr:col>35</xdr:col>
      <xdr:colOff>459865</xdr:colOff>
      <xdr:row>59</xdr:row>
      <xdr:rowOff>176593</xdr:rowOff>
    </xdr:to>
    <xdr:graphicFrame macro="">
      <xdr:nvGraphicFramePr>
        <xdr:cNvPr id="21" name="Chart 20">
          <a:extLst>
            <a:ext uri="{FF2B5EF4-FFF2-40B4-BE49-F238E27FC236}">
              <a16:creationId xmlns:a16="http://schemas.microsoft.com/office/drawing/2014/main" id="{82EEBF2A-D777-4AEC-8C43-BA3B3F6F93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292208</xdr:colOff>
      <xdr:row>63</xdr:row>
      <xdr:rowOff>174285</xdr:rowOff>
    </xdr:from>
    <xdr:to>
      <xdr:col>15</xdr:col>
      <xdr:colOff>292208</xdr:colOff>
      <xdr:row>83</xdr:row>
      <xdr:rowOff>0</xdr:rowOff>
    </xdr:to>
    <xdr:sp macro="" textlink="">
      <xdr:nvSpPr>
        <xdr:cNvPr id="57" name="Rectangle: Rounded Corners 56">
          <a:extLst>
            <a:ext uri="{FF2B5EF4-FFF2-40B4-BE49-F238E27FC236}">
              <a16:creationId xmlns:a16="http://schemas.microsoft.com/office/drawing/2014/main" id="{BA0DD726-9A74-4368-AEE9-B2BB2E5B444F}"/>
            </a:ext>
          </a:extLst>
        </xdr:cNvPr>
        <xdr:cNvSpPr/>
      </xdr:nvSpPr>
      <xdr:spPr>
        <a:xfrm>
          <a:off x="4617073" y="11851420"/>
          <a:ext cx="4942703" cy="3532742"/>
        </a:xfrm>
        <a:prstGeom prst="roundRect">
          <a:avLst/>
        </a:prstGeom>
        <a:solidFill>
          <a:srgbClr val="021020"/>
        </a:solidFill>
        <a:ln>
          <a:solidFill>
            <a:schemeClr val="bg1"/>
          </a:solidFill>
        </a:ln>
        <a:effectLst>
          <a:outerShdw blurRad="431800" dist="673100" sx="91000" sy="91000" algn="l"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386082</xdr:colOff>
      <xdr:row>65</xdr:row>
      <xdr:rowOff>143409</xdr:rowOff>
    </xdr:from>
    <xdr:to>
      <xdr:col>15</xdr:col>
      <xdr:colOff>198334</xdr:colOff>
      <xdr:row>81</xdr:row>
      <xdr:rowOff>30876</xdr:rowOff>
    </xdr:to>
    <xdr:graphicFrame macro="">
      <xdr:nvGraphicFramePr>
        <xdr:cNvPr id="19" name="Chart 18">
          <a:extLst>
            <a:ext uri="{FF2B5EF4-FFF2-40B4-BE49-F238E27FC236}">
              <a16:creationId xmlns:a16="http://schemas.microsoft.com/office/drawing/2014/main" id="{A4F16A3A-CE3F-436E-9EBD-74A0E56F15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403843</xdr:colOff>
      <xdr:row>64</xdr:row>
      <xdr:rowOff>0</xdr:rowOff>
    </xdr:from>
    <xdr:to>
      <xdr:col>25</xdr:col>
      <xdr:colOff>403842</xdr:colOff>
      <xdr:row>83</xdr:row>
      <xdr:rowOff>11067</xdr:rowOff>
    </xdr:to>
    <xdr:sp macro="" textlink="">
      <xdr:nvSpPr>
        <xdr:cNvPr id="58" name="Rectangle: Rounded Corners 57">
          <a:extLst>
            <a:ext uri="{FF2B5EF4-FFF2-40B4-BE49-F238E27FC236}">
              <a16:creationId xmlns:a16="http://schemas.microsoft.com/office/drawing/2014/main" id="{D1AD68A9-F981-45E7-A926-BEF94B0426B0}"/>
            </a:ext>
          </a:extLst>
        </xdr:cNvPr>
        <xdr:cNvSpPr/>
      </xdr:nvSpPr>
      <xdr:spPr>
        <a:xfrm>
          <a:off x="10669277" y="11041811"/>
          <a:ext cx="4830791" cy="3289105"/>
        </a:xfrm>
        <a:prstGeom prst="roundRect">
          <a:avLst/>
        </a:prstGeom>
        <a:solidFill>
          <a:srgbClr val="021020"/>
        </a:solidFill>
        <a:ln>
          <a:solidFill>
            <a:schemeClr val="bg1"/>
          </a:solidFill>
        </a:ln>
        <a:effectLst>
          <a:outerShdw blurRad="431800" dist="673100" sx="91000" sy="91000" algn="l"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308</xdr:colOff>
      <xdr:row>63</xdr:row>
      <xdr:rowOff>174285</xdr:rowOff>
    </xdr:from>
    <xdr:to>
      <xdr:col>35</xdr:col>
      <xdr:colOff>609292</xdr:colOff>
      <xdr:row>83</xdr:row>
      <xdr:rowOff>0</xdr:rowOff>
    </xdr:to>
    <xdr:sp macro="" textlink="">
      <xdr:nvSpPr>
        <xdr:cNvPr id="59" name="Rectangle: Rounded Corners 58">
          <a:extLst>
            <a:ext uri="{FF2B5EF4-FFF2-40B4-BE49-F238E27FC236}">
              <a16:creationId xmlns:a16="http://schemas.microsoft.com/office/drawing/2014/main" id="{8764C49F-322D-43E9-BD9C-7548CDC4401A}"/>
            </a:ext>
          </a:extLst>
        </xdr:cNvPr>
        <xdr:cNvSpPr/>
      </xdr:nvSpPr>
      <xdr:spPr>
        <a:xfrm>
          <a:off x="17069108" y="11521158"/>
          <a:ext cx="4876184" cy="3427897"/>
        </a:xfrm>
        <a:prstGeom prst="roundRect">
          <a:avLst/>
        </a:prstGeom>
        <a:solidFill>
          <a:srgbClr val="021020"/>
        </a:solidFill>
        <a:ln>
          <a:solidFill>
            <a:schemeClr val="bg1"/>
          </a:solidFill>
        </a:ln>
        <a:effectLst>
          <a:outerShdw blurRad="431800" dist="673100" sx="91000" sy="91000" algn="l"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36</xdr:col>
      <xdr:colOff>609477</xdr:colOff>
      <xdr:row>34</xdr:row>
      <xdr:rowOff>28593</xdr:rowOff>
    </xdr:from>
    <xdr:to>
      <xdr:col>43</xdr:col>
      <xdr:colOff>0</xdr:colOff>
      <xdr:row>74</xdr:row>
      <xdr:rowOff>0</xdr:rowOff>
    </xdr:to>
    <xdr:grpSp>
      <xdr:nvGrpSpPr>
        <xdr:cNvPr id="142" name="Group 141">
          <a:extLst>
            <a:ext uri="{FF2B5EF4-FFF2-40B4-BE49-F238E27FC236}">
              <a16:creationId xmlns:a16="http://schemas.microsoft.com/office/drawing/2014/main" id="{2338D55D-61EE-56E4-B230-ACAF04CE6FC0}"/>
            </a:ext>
          </a:extLst>
        </xdr:cNvPr>
        <xdr:cNvGrpSpPr/>
      </xdr:nvGrpSpPr>
      <xdr:grpSpPr>
        <a:xfrm>
          <a:off x="22816334" y="6197164"/>
          <a:ext cx="3708523" cy="7228550"/>
          <a:chOff x="22707477" y="6145760"/>
          <a:chExt cx="3687356" cy="7168073"/>
        </a:xfrm>
      </xdr:grpSpPr>
      <xdr:sp macro="" textlink="">
        <xdr:nvSpPr>
          <xdr:cNvPr id="61" name="Rectangle: Rounded Corners 60">
            <a:extLst>
              <a:ext uri="{FF2B5EF4-FFF2-40B4-BE49-F238E27FC236}">
                <a16:creationId xmlns:a16="http://schemas.microsoft.com/office/drawing/2014/main" id="{4FD88881-1871-42E4-BB0D-69FB17A85270}"/>
              </a:ext>
            </a:extLst>
          </xdr:cNvPr>
          <xdr:cNvSpPr/>
        </xdr:nvSpPr>
        <xdr:spPr>
          <a:xfrm>
            <a:off x="22707477" y="6145760"/>
            <a:ext cx="3687356" cy="7168073"/>
          </a:xfrm>
          <a:prstGeom prst="roundRect">
            <a:avLst/>
          </a:prstGeom>
          <a:solidFill>
            <a:srgbClr val="021020"/>
          </a:solidFill>
          <a:ln>
            <a:solidFill>
              <a:schemeClr val="bg1"/>
            </a:solidFill>
          </a:ln>
          <a:effectLst>
            <a:glow rad="139700">
              <a:schemeClr val="accent2">
                <a:satMod val="175000"/>
                <a:alpha val="40000"/>
              </a:schemeClr>
            </a:glow>
            <a:outerShdw blurRad="431800" dist="673100" sx="91000" sy="91000" algn="l"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52" name="Country">
                <a:extLst>
                  <a:ext uri="{FF2B5EF4-FFF2-40B4-BE49-F238E27FC236}">
                    <a16:creationId xmlns:a16="http://schemas.microsoft.com/office/drawing/2014/main" id="{4BB81D9C-ECF1-AE38-1EFA-45B28C7EE2D7}"/>
                  </a:ext>
                </a:extLst>
              </xdr:cNvPr>
              <xdr:cNvGraphicFramePr/>
            </xdr:nvGraphicFramePr>
            <xdr:xfrm>
              <a:off x="22878750" y="6413385"/>
              <a:ext cx="3344810" cy="6632823"/>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2988590" y="6467047"/>
                <a:ext cx="3364011" cy="66887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19</xdr:col>
      <xdr:colOff>325672</xdr:colOff>
      <xdr:row>29</xdr:row>
      <xdr:rowOff>136179</xdr:rowOff>
    </xdr:from>
    <xdr:to>
      <xdr:col>23</xdr:col>
      <xdr:colOff>490934</xdr:colOff>
      <xdr:row>38</xdr:row>
      <xdr:rowOff>136180</xdr:rowOff>
    </xdr:to>
    <xdr:sp macro="" textlink="'Pivot Tables'!F4">
      <xdr:nvSpPr>
        <xdr:cNvPr id="66" name="Rectangle: Rounded Corners 65">
          <a:extLst>
            <a:ext uri="{FF2B5EF4-FFF2-40B4-BE49-F238E27FC236}">
              <a16:creationId xmlns:a16="http://schemas.microsoft.com/office/drawing/2014/main" id="{5E09B9F2-BE86-48A4-B1A5-5E6449386AD0}"/>
            </a:ext>
          </a:extLst>
        </xdr:cNvPr>
        <xdr:cNvSpPr/>
      </xdr:nvSpPr>
      <xdr:spPr>
        <a:xfrm>
          <a:off x="12045958" y="5397608"/>
          <a:ext cx="2632690" cy="1632858"/>
        </a:xfrm>
        <a:prstGeom prst="roundRect">
          <a:avLst/>
        </a:prstGeom>
        <a:solidFill>
          <a:srgbClr val="010F21"/>
        </a:solidFill>
        <a:ln>
          <a:solidFill>
            <a:schemeClr val="bg1"/>
          </a:solidFill>
        </a:ln>
        <a:effectLst>
          <a:glow rad="1397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B051D52F-B0B1-4942-915F-AE0DE5E3635C}" type="TxLink">
            <a:rPr lang="en-US" sz="2400" b="0" i="0" u="none" strike="noStrike" cap="none" spc="0">
              <a:ln w="0"/>
              <a:solidFill>
                <a:schemeClr val="accent1">
                  <a:lumMod val="20000"/>
                  <a:lumOff val="80000"/>
                </a:schemeClr>
              </a:solidFill>
              <a:effectLst>
                <a:outerShdw blurRad="38100" dist="19050" dir="2700000" algn="tl" rotWithShape="0">
                  <a:schemeClr val="bg1">
                    <a:lumMod val="95000"/>
                    <a:alpha val="40000"/>
                  </a:schemeClr>
                </a:outerShdw>
              </a:effectLst>
              <a:latin typeface="Aptos Display" panose="020B0004020202020204" pitchFamily="34" charset="0"/>
            </a:rPr>
            <a:pPr algn="r"/>
            <a:t>8.1 M</a:t>
          </a:fld>
          <a:endParaRPr lang="en-US" sz="2400" b="0" cap="none" spc="0">
            <a:ln w="0"/>
            <a:solidFill>
              <a:schemeClr val="accent1">
                <a:lumMod val="20000"/>
                <a:lumOff val="80000"/>
              </a:schemeClr>
            </a:solidFill>
            <a:effectLst>
              <a:outerShdw blurRad="38100" dist="19050" dir="2700000" algn="tl" rotWithShape="0">
                <a:schemeClr val="bg1">
                  <a:lumMod val="95000"/>
                  <a:alpha val="40000"/>
                </a:schemeClr>
              </a:outerShdw>
            </a:effectLst>
            <a:latin typeface="Aptos Display" panose="020B0004020202020204" pitchFamily="34" charset="0"/>
          </a:endParaRPr>
        </a:p>
      </xdr:txBody>
    </xdr:sp>
    <xdr:clientData/>
  </xdr:twoCellAnchor>
  <xdr:twoCellAnchor>
    <xdr:from>
      <xdr:col>29</xdr:col>
      <xdr:colOff>524476</xdr:colOff>
      <xdr:row>18</xdr:row>
      <xdr:rowOff>176308</xdr:rowOff>
    </xdr:from>
    <xdr:to>
      <xdr:col>34</xdr:col>
      <xdr:colOff>85125</xdr:colOff>
      <xdr:row>28</xdr:row>
      <xdr:rowOff>0</xdr:rowOff>
    </xdr:to>
    <xdr:sp macro="" textlink="'Pivot Tables'!F6">
      <xdr:nvSpPr>
        <xdr:cNvPr id="71" name="Rectangle: Rounded Corners 70">
          <a:extLst>
            <a:ext uri="{FF2B5EF4-FFF2-40B4-BE49-F238E27FC236}">
              <a16:creationId xmlns:a16="http://schemas.microsoft.com/office/drawing/2014/main" id="{571A3875-5EED-4FBC-A256-0CE75E5994D5}"/>
            </a:ext>
          </a:extLst>
        </xdr:cNvPr>
        <xdr:cNvSpPr/>
      </xdr:nvSpPr>
      <xdr:spPr>
        <a:xfrm>
          <a:off x="18202876" y="3418272"/>
          <a:ext cx="2608649" cy="1624783"/>
        </a:xfrm>
        <a:prstGeom prst="roundRect">
          <a:avLst/>
        </a:prstGeom>
        <a:solidFill>
          <a:srgbClr val="010F21"/>
        </a:solidFill>
        <a:ln>
          <a:solidFill>
            <a:schemeClr val="bg1"/>
          </a:solidFill>
        </a:ln>
        <a:effectLst>
          <a:glow rad="1397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775E2A11-63F9-494D-A67C-BE5688019821}" type="TxLink">
            <a:rPr lang="en-US" sz="2400" b="0" i="0" u="none" strike="noStrike" cap="none" spc="0">
              <a:ln w="0"/>
              <a:solidFill>
                <a:schemeClr val="accent1">
                  <a:lumMod val="20000"/>
                  <a:lumOff val="80000"/>
                </a:schemeClr>
              </a:solidFill>
              <a:effectLst>
                <a:outerShdw blurRad="38100" dist="19050" dir="2700000" algn="tl" rotWithShape="0">
                  <a:schemeClr val="bg1">
                    <a:lumMod val="95000"/>
                    <a:alpha val="40000"/>
                  </a:schemeClr>
                </a:outerShdw>
              </a:effectLst>
              <a:latin typeface="Aptos Display" panose="020B0004020202020204" pitchFamily="34" charset="0"/>
            </a:rPr>
            <a:pPr algn="r"/>
            <a:t>24.2 M</a:t>
          </a:fld>
          <a:endParaRPr lang="en-US" sz="2400" b="0" cap="none" spc="0">
            <a:ln w="0"/>
            <a:solidFill>
              <a:schemeClr val="accent1">
                <a:lumMod val="20000"/>
                <a:lumOff val="80000"/>
              </a:schemeClr>
            </a:solidFill>
            <a:effectLst>
              <a:outerShdw blurRad="38100" dist="19050" dir="2700000" algn="tl" rotWithShape="0">
                <a:schemeClr val="bg1">
                  <a:lumMod val="95000"/>
                  <a:alpha val="40000"/>
                </a:schemeClr>
              </a:outerShdw>
            </a:effectLst>
            <a:latin typeface="Aptos Display" panose="020B0004020202020204" pitchFamily="34" charset="0"/>
          </a:endParaRPr>
        </a:p>
      </xdr:txBody>
    </xdr:sp>
    <xdr:clientData/>
  </xdr:twoCellAnchor>
  <xdr:twoCellAnchor>
    <xdr:from>
      <xdr:col>24</xdr:col>
      <xdr:colOff>455064</xdr:colOff>
      <xdr:row>29</xdr:row>
      <xdr:rowOff>174746</xdr:rowOff>
    </xdr:from>
    <xdr:to>
      <xdr:col>29</xdr:col>
      <xdr:colOff>0</xdr:colOff>
      <xdr:row>39</xdr:row>
      <xdr:rowOff>0</xdr:rowOff>
    </xdr:to>
    <xdr:sp macro="" textlink="'Pivot Tables'!F9">
      <xdr:nvSpPr>
        <xdr:cNvPr id="72" name="Rectangle: Rounded Corners 71">
          <a:extLst>
            <a:ext uri="{FF2B5EF4-FFF2-40B4-BE49-F238E27FC236}">
              <a16:creationId xmlns:a16="http://schemas.microsoft.com/office/drawing/2014/main" id="{715E5D2B-ADB7-440D-98DA-23D2CD833EE3}"/>
            </a:ext>
          </a:extLst>
        </xdr:cNvPr>
        <xdr:cNvSpPr/>
      </xdr:nvSpPr>
      <xdr:spPr>
        <a:xfrm>
          <a:off x="15259635" y="5436175"/>
          <a:ext cx="2629222" cy="1639539"/>
        </a:xfrm>
        <a:prstGeom prst="roundRect">
          <a:avLst/>
        </a:prstGeom>
        <a:solidFill>
          <a:srgbClr val="010F21"/>
        </a:solidFill>
        <a:ln>
          <a:solidFill>
            <a:schemeClr val="bg1"/>
          </a:solidFill>
        </a:ln>
        <a:effectLst>
          <a:glow rad="1397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573F6736-50E0-41E4-BA20-D3B8FDF03019}" type="TxLink">
            <a:rPr lang="en-US" sz="2400" b="0" i="0" u="none" strike="noStrike" cap="none" spc="0">
              <a:ln w="0"/>
              <a:solidFill>
                <a:schemeClr val="accent1">
                  <a:lumMod val="20000"/>
                  <a:lumOff val="80000"/>
                </a:schemeClr>
              </a:solidFill>
              <a:effectLst>
                <a:outerShdw blurRad="38100" dist="19050" dir="2700000" algn="tl" rotWithShape="0">
                  <a:schemeClr val="bg1">
                    <a:lumMod val="95000"/>
                    <a:alpha val="40000"/>
                  </a:schemeClr>
                </a:outerShdw>
              </a:effectLst>
              <a:latin typeface="Aptos Display" panose="020B0004020202020204" pitchFamily="34" charset="0"/>
            </a:rPr>
            <a:pPr algn="r"/>
            <a:t>16.1 M</a:t>
          </a:fld>
          <a:endParaRPr lang="en-US" sz="2400" b="0" cap="none" spc="0">
            <a:ln w="0"/>
            <a:solidFill>
              <a:schemeClr val="accent1">
                <a:lumMod val="20000"/>
                <a:lumOff val="80000"/>
              </a:schemeClr>
            </a:solidFill>
            <a:effectLst>
              <a:outerShdw blurRad="38100" dist="19050" dir="2700000" algn="tl" rotWithShape="0">
                <a:schemeClr val="bg1">
                  <a:lumMod val="95000"/>
                  <a:alpha val="40000"/>
                </a:schemeClr>
              </a:outerShdw>
            </a:effectLst>
            <a:latin typeface="Aptos Display" panose="020B0004020202020204" pitchFamily="34" charset="0"/>
          </a:endParaRPr>
        </a:p>
      </xdr:txBody>
    </xdr:sp>
    <xdr:clientData/>
  </xdr:twoCellAnchor>
  <xdr:twoCellAnchor>
    <xdr:from>
      <xdr:col>29</xdr:col>
      <xdr:colOff>524476</xdr:colOff>
      <xdr:row>29</xdr:row>
      <xdr:rowOff>156285</xdr:rowOff>
    </xdr:from>
    <xdr:to>
      <xdr:col>34</xdr:col>
      <xdr:colOff>85125</xdr:colOff>
      <xdr:row>38</xdr:row>
      <xdr:rowOff>159271</xdr:rowOff>
    </xdr:to>
    <xdr:sp macro="" textlink="'Pivot Tables'!F12">
      <xdr:nvSpPr>
        <xdr:cNvPr id="74" name="Rectangle: Rounded Corners 73">
          <a:extLst>
            <a:ext uri="{FF2B5EF4-FFF2-40B4-BE49-F238E27FC236}">
              <a16:creationId xmlns:a16="http://schemas.microsoft.com/office/drawing/2014/main" id="{BB3F3A5F-C35B-4399-BCD1-8E9D9BC360C6}"/>
            </a:ext>
          </a:extLst>
        </xdr:cNvPr>
        <xdr:cNvSpPr/>
      </xdr:nvSpPr>
      <xdr:spPr>
        <a:xfrm>
          <a:off x="18202876" y="5379449"/>
          <a:ext cx="2608649" cy="1623967"/>
        </a:xfrm>
        <a:prstGeom prst="roundRect">
          <a:avLst/>
        </a:prstGeom>
        <a:solidFill>
          <a:srgbClr val="010F21"/>
        </a:solidFill>
        <a:ln>
          <a:solidFill>
            <a:schemeClr val="bg1"/>
          </a:solidFill>
        </a:ln>
        <a:effectLst>
          <a:glow rad="1397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F5D5F194-8D82-43DF-A180-C3352E533295}" type="TxLink">
            <a:rPr lang="en-US" sz="2400" b="0" i="0" u="none" strike="noStrike" cap="none" spc="0">
              <a:ln w="0"/>
              <a:solidFill>
                <a:schemeClr val="accent1">
                  <a:lumMod val="20000"/>
                  <a:lumOff val="80000"/>
                </a:schemeClr>
              </a:solidFill>
              <a:effectLst>
                <a:outerShdw blurRad="38100" dist="19050" dir="2700000" algn="tl" rotWithShape="0">
                  <a:schemeClr val="bg1">
                    <a:lumMod val="95000"/>
                    <a:alpha val="40000"/>
                  </a:schemeClr>
                </a:outerShdw>
              </a:effectLst>
              <a:latin typeface="Aptos Display" panose="020B0004020202020204" pitchFamily="34" charset="0"/>
            </a:rPr>
            <a:pPr algn="r"/>
            <a:t>126.5 K</a:t>
          </a:fld>
          <a:endParaRPr lang="en-US" sz="2400" b="0" cap="none" spc="0">
            <a:ln w="0"/>
            <a:solidFill>
              <a:schemeClr val="accent1">
                <a:lumMod val="20000"/>
                <a:lumOff val="80000"/>
              </a:schemeClr>
            </a:solidFill>
            <a:effectLst>
              <a:outerShdw blurRad="38100" dist="19050" dir="2700000" algn="tl" rotWithShape="0">
                <a:schemeClr val="bg1">
                  <a:lumMod val="95000"/>
                  <a:alpha val="40000"/>
                </a:schemeClr>
              </a:outerShdw>
            </a:effectLst>
            <a:latin typeface="Aptos Display" panose="020B0004020202020204" pitchFamily="34" charset="0"/>
          </a:endParaRPr>
        </a:p>
      </xdr:txBody>
    </xdr:sp>
    <xdr:clientData/>
  </xdr:twoCellAnchor>
  <xdr:twoCellAnchor editAs="oneCell">
    <xdr:from>
      <xdr:col>38</xdr:col>
      <xdr:colOff>375284</xdr:colOff>
      <xdr:row>23</xdr:row>
      <xdr:rowOff>0</xdr:rowOff>
    </xdr:from>
    <xdr:to>
      <xdr:col>41</xdr:col>
      <xdr:colOff>225555</xdr:colOff>
      <xdr:row>32</xdr:row>
      <xdr:rowOff>63331</xdr:rowOff>
    </xdr:to>
    <xdr:pic>
      <xdr:nvPicPr>
        <xdr:cNvPr id="76" name="Graphic 75" descr="Map with pin with solid fill">
          <a:extLst>
            <a:ext uri="{FF2B5EF4-FFF2-40B4-BE49-F238E27FC236}">
              <a16:creationId xmlns:a16="http://schemas.microsoft.com/office/drawing/2014/main" id="{D8EAB564-7815-91DB-4862-95A1DD3DAFA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3853122" y="4263081"/>
          <a:ext cx="1703784" cy="1731493"/>
        </a:xfrm>
        <a:prstGeom prst="rect">
          <a:avLst/>
        </a:prstGeom>
        <a:effectLst>
          <a:glow rad="228600">
            <a:schemeClr val="accent2">
              <a:satMod val="175000"/>
              <a:alpha val="40000"/>
            </a:schemeClr>
          </a:glow>
          <a:outerShdw blurRad="50800" dist="50800" dir="5400000" algn="ctr" rotWithShape="0">
            <a:schemeClr val="accent3">
              <a:lumMod val="40000"/>
              <a:lumOff val="60000"/>
            </a:schemeClr>
          </a:outerShdw>
        </a:effectLst>
      </xdr:spPr>
    </xdr:pic>
    <xdr:clientData/>
  </xdr:twoCellAnchor>
  <xdr:twoCellAnchor editAs="oneCell">
    <xdr:from>
      <xdr:col>19</xdr:col>
      <xdr:colOff>417526</xdr:colOff>
      <xdr:row>33</xdr:row>
      <xdr:rowOff>137654</xdr:rowOff>
    </xdr:from>
    <xdr:to>
      <xdr:col>21</xdr:col>
      <xdr:colOff>108578</xdr:colOff>
      <xdr:row>38</xdr:row>
      <xdr:rowOff>127806</xdr:rowOff>
    </xdr:to>
    <xdr:pic>
      <xdr:nvPicPr>
        <xdr:cNvPr id="80" name="Graphic 79" descr="Upward trend outline">
          <a:extLst>
            <a:ext uri="{FF2B5EF4-FFF2-40B4-BE49-F238E27FC236}">
              <a16:creationId xmlns:a16="http://schemas.microsoft.com/office/drawing/2014/main" id="{942BFE66-3237-B244-A655-B8EBBC901A7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137812" y="6124797"/>
          <a:ext cx="924766" cy="897295"/>
        </a:xfrm>
        <a:prstGeom prst="rect">
          <a:avLst/>
        </a:prstGeom>
      </xdr:spPr>
    </xdr:pic>
    <xdr:clientData/>
  </xdr:twoCellAnchor>
  <xdr:twoCellAnchor editAs="oneCell">
    <xdr:from>
      <xdr:col>30</xdr:col>
      <xdr:colOff>0</xdr:colOff>
      <xdr:row>22</xdr:row>
      <xdr:rowOff>156064</xdr:rowOff>
    </xdr:from>
    <xdr:to>
      <xdr:col>31</xdr:col>
      <xdr:colOff>307909</xdr:colOff>
      <xdr:row>27</xdr:row>
      <xdr:rowOff>133516</xdr:rowOff>
    </xdr:to>
    <xdr:pic>
      <xdr:nvPicPr>
        <xdr:cNvPr id="82" name="Graphic 81" descr="Money outline">
          <a:extLst>
            <a:ext uri="{FF2B5EF4-FFF2-40B4-BE49-F238E27FC236}">
              <a16:creationId xmlns:a16="http://schemas.microsoft.com/office/drawing/2014/main" id="{10EFB43D-EF1B-8E61-343E-0A47BE8F00E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8288000" y="4118464"/>
          <a:ext cx="917509" cy="877997"/>
        </a:xfrm>
        <a:prstGeom prst="rect">
          <a:avLst/>
        </a:prstGeom>
      </xdr:spPr>
    </xdr:pic>
    <xdr:clientData/>
  </xdr:twoCellAnchor>
  <xdr:twoCellAnchor editAs="oneCell">
    <xdr:from>
      <xdr:col>24</xdr:col>
      <xdr:colOff>599251</xdr:colOff>
      <xdr:row>33</xdr:row>
      <xdr:rowOff>177932</xdr:rowOff>
    </xdr:from>
    <xdr:to>
      <xdr:col>26</xdr:col>
      <xdr:colOff>289948</xdr:colOff>
      <xdr:row>38</xdr:row>
      <xdr:rowOff>159271</xdr:rowOff>
    </xdr:to>
    <xdr:pic>
      <xdr:nvPicPr>
        <xdr:cNvPr id="84" name="Graphic 83" descr="Coins outline">
          <a:extLst>
            <a:ext uri="{FF2B5EF4-FFF2-40B4-BE49-F238E27FC236}">
              <a16:creationId xmlns:a16="http://schemas.microsoft.com/office/drawing/2014/main" id="{6A73F0D1-03A0-E3DD-1A50-2FE977CC7D6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5403822" y="6165075"/>
          <a:ext cx="924412" cy="888482"/>
        </a:xfrm>
        <a:prstGeom prst="rect">
          <a:avLst/>
        </a:prstGeom>
      </xdr:spPr>
    </xdr:pic>
    <xdr:clientData/>
  </xdr:twoCellAnchor>
  <xdr:oneCellAnchor>
    <xdr:from>
      <xdr:col>19</xdr:col>
      <xdr:colOff>411884</xdr:colOff>
      <xdr:row>30</xdr:row>
      <xdr:rowOff>48934</xdr:rowOff>
    </xdr:from>
    <xdr:ext cx="1718547" cy="469680"/>
    <xdr:sp macro="" textlink="">
      <xdr:nvSpPr>
        <xdr:cNvPr id="85" name="TextBox 84">
          <a:extLst>
            <a:ext uri="{FF2B5EF4-FFF2-40B4-BE49-F238E27FC236}">
              <a16:creationId xmlns:a16="http://schemas.microsoft.com/office/drawing/2014/main" id="{0A8E9572-7801-5E5A-6BFC-39662D766D33}"/>
            </a:ext>
          </a:extLst>
        </xdr:cNvPr>
        <xdr:cNvSpPr txBox="1"/>
      </xdr:nvSpPr>
      <xdr:spPr>
        <a:xfrm>
          <a:off x="12132170" y="5491791"/>
          <a:ext cx="1718547" cy="469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a:solidFill>
                <a:schemeClr val="accent1">
                  <a:lumMod val="20000"/>
                  <a:lumOff val="80000"/>
                </a:schemeClr>
              </a:solidFill>
              <a:latin typeface="Century Gothic" panose="020B0502020202020204" pitchFamily="34" charset="0"/>
            </a:rPr>
            <a:t>total profit</a:t>
          </a:r>
        </a:p>
      </xdr:txBody>
    </xdr:sp>
    <xdr:clientData/>
  </xdr:oneCellAnchor>
  <xdr:oneCellAnchor>
    <xdr:from>
      <xdr:col>30</xdr:col>
      <xdr:colOff>124189</xdr:colOff>
      <xdr:row>19</xdr:row>
      <xdr:rowOff>77519</xdr:rowOff>
    </xdr:from>
    <xdr:ext cx="2190023" cy="469680"/>
    <xdr:sp macro="" textlink="">
      <xdr:nvSpPr>
        <xdr:cNvPr id="86" name="TextBox 85">
          <a:extLst>
            <a:ext uri="{FF2B5EF4-FFF2-40B4-BE49-F238E27FC236}">
              <a16:creationId xmlns:a16="http://schemas.microsoft.com/office/drawing/2014/main" id="{58066CE4-C7E9-1CDA-821B-8BC2BEDA11FE}"/>
            </a:ext>
          </a:extLst>
        </xdr:cNvPr>
        <xdr:cNvSpPr txBox="1"/>
      </xdr:nvSpPr>
      <xdr:spPr>
        <a:xfrm>
          <a:off x="18412189" y="3499592"/>
          <a:ext cx="2190023" cy="469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lang="en-US" sz="2400">
              <a:solidFill>
                <a:schemeClr val="accent1">
                  <a:lumMod val="20000"/>
                  <a:lumOff val="80000"/>
                </a:schemeClr>
              </a:solidFill>
              <a:latin typeface="Century Gothic" panose="020B0502020202020204" pitchFamily="34" charset="0"/>
            </a:rPr>
            <a:t>total revenue</a:t>
          </a:r>
        </a:p>
      </xdr:txBody>
    </xdr:sp>
    <xdr:clientData/>
  </xdr:oneCellAnchor>
  <xdr:oneCellAnchor>
    <xdr:from>
      <xdr:col>24</xdr:col>
      <xdr:colOff>599251</xdr:colOff>
      <xdr:row>30</xdr:row>
      <xdr:rowOff>126551</xdr:rowOff>
    </xdr:from>
    <xdr:ext cx="1576329" cy="469680"/>
    <xdr:sp macro="" textlink="">
      <xdr:nvSpPr>
        <xdr:cNvPr id="87" name="TextBox 86">
          <a:extLst>
            <a:ext uri="{FF2B5EF4-FFF2-40B4-BE49-F238E27FC236}">
              <a16:creationId xmlns:a16="http://schemas.microsoft.com/office/drawing/2014/main" id="{95663A74-5194-0047-AB23-2803A9F6A204}"/>
            </a:ext>
          </a:extLst>
        </xdr:cNvPr>
        <xdr:cNvSpPr txBox="1"/>
      </xdr:nvSpPr>
      <xdr:spPr>
        <a:xfrm>
          <a:off x="15403822" y="5569408"/>
          <a:ext cx="1576329" cy="469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lang="en-US" sz="2400">
              <a:solidFill>
                <a:schemeClr val="accent1">
                  <a:lumMod val="20000"/>
                  <a:lumOff val="80000"/>
                </a:schemeClr>
              </a:solidFill>
              <a:latin typeface="Century Gothic" panose="020B0502020202020204" pitchFamily="34" charset="0"/>
            </a:rPr>
            <a:t>total cost</a:t>
          </a:r>
        </a:p>
      </xdr:txBody>
    </xdr:sp>
    <xdr:clientData/>
  </xdr:oneCellAnchor>
  <xdr:oneCellAnchor>
    <xdr:from>
      <xdr:col>30</xdr:col>
      <xdr:colOff>457453</xdr:colOff>
      <xdr:row>30</xdr:row>
      <xdr:rowOff>62509</xdr:rowOff>
    </xdr:from>
    <xdr:ext cx="1523494" cy="469680"/>
    <xdr:sp macro="" textlink="">
      <xdr:nvSpPr>
        <xdr:cNvPr id="88" name="TextBox 87">
          <a:extLst>
            <a:ext uri="{FF2B5EF4-FFF2-40B4-BE49-F238E27FC236}">
              <a16:creationId xmlns:a16="http://schemas.microsoft.com/office/drawing/2014/main" id="{20097DE0-0067-64A6-9F47-3C44F5E6493D}"/>
            </a:ext>
          </a:extLst>
        </xdr:cNvPr>
        <xdr:cNvSpPr txBox="1"/>
      </xdr:nvSpPr>
      <xdr:spPr>
        <a:xfrm>
          <a:off x="18745453" y="5465782"/>
          <a:ext cx="1523494" cy="469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a:solidFill>
                <a:schemeClr val="accent1">
                  <a:lumMod val="20000"/>
                  <a:lumOff val="80000"/>
                </a:schemeClr>
              </a:solidFill>
              <a:latin typeface="Century Gothic" panose="020B0502020202020204" pitchFamily="34" charset="0"/>
            </a:rPr>
            <a:t>sold units</a:t>
          </a:r>
        </a:p>
      </xdr:txBody>
    </xdr:sp>
    <xdr:clientData/>
  </xdr:oneCellAnchor>
  <xdr:twoCellAnchor editAs="oneCell">
    <xdr:from>
      <xdr:col>30</xdr:col>
      <xdr:colOff>0</xdr:colOff>
      <xdr:row>33</xdr:row>
      <xdr:rowOff>143926</xdr:rowOff>
    </xdr:from>
    <xdr:to>
      <xdr:col>31</xdr:col>
      <xdr:colOff>299884</xdr:colOff>
      <xdr:row>38</xdr:row>
      <xdr:rowOff>136180</xdr:rowOff>
    </xdr:to>
    <xdr:pic>
      <xdr:nvPicPr>
        <xdr:cNvPr id="93" name="Graphic 92" descr="Filing Box Archive outline">
          <a:extLst>
            <a:ext uri="{FF2B5EF4-FFF2-40B4-BE49-F238E27FC236}">
              <a16:creationId xmlns:a16="http://schemas.microsoft.com/office/drawing/2014/main" id="{CD8548FE-D2D6-F080-F06C-9720D1A8316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8288000" y="6087526"/>
          <a:ext cx="909484" cy="892799"/>
        </a:xfrm>
        <a:prstGeom prst="rect">
          <a:avLst/>
        </a:prstGeom>
      </xdr:spPr>
    </xdr:pic>
    <xdr:clientData/>
  </xdr:twoCellAnchor>
  <xdr:twoCellAnchor>
    <xdr:from>
      <xdr:col>17</xdr:col>
      <xdr:colOff>559174</xdr:colOff>
      <xdr:row>66</xdr:row>
      <xdr:rowOff>5010</xdr:rowOff>
    </xdr:from>
    <xdr:to>
      <xdr:col>25</xdr:col>
      <xdr:colOff>248512</xdr:colOff>
      <xdr:row>81</xdr:row>
      <xdr:rowOff>6056</xdr:rowOff>
    </xdr:to>
    <xdr:graphicFrame macro="">
      <xdr:nvGraphicFramePr>
        <xdr:cNvPr id="94" name="Chart 93">
          <a:extLst>
            <a:ext uri="{FF2B5EF4-FFF2-40B4-BE49-F238E27FC236}">
              <a16:creationId xmlns:a16="http://schemas.microsoft.com/office/drawing/2014/main" id="{B8A5F757-4545-45BD-BB13-DC8DEAFE33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420368</xdr:colOff>
      <xdr:row>44</xdr:row>
      <xdr:rowOff>168948</xdr:rowOff>
    </xdr:from>
    <xdr:to>
      <xdr:col>25</xdr:col>
      <xdr:colOff>61934</xdr:colOff>
      <xdr:row>60</xdr:row>
      <xdr:rowOff>51150</xdr:rowOff>
    </xdr:to>
    <xdr:graphicFrame macro="">
      <xdr:nvGraphicFramePr>
        <xdr:cNvPr id="95" name="Chart 94">
          <a:extLst>
            <a:ext uri="{FF2B5EF4-FFF2-40B4-BE49-F238E27FC236}">
              <a16:creationId xmlns:a16="http://schemas.microsoft.com/office/drawing/2014/main" id="{8C42A0F3-4844-412F-A693-4F318E0843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28</xdr:col>
      <xdr:colOff>167217</xdr:colOff>
      <xdr:row>66</xdr:row>
      <xdr:rowOff>48544</xdr:rowOff>
    </xdr:from>
    <xdr:to>
      <xdr:col>35</xdr:col>
      <xdr:colOff>442384</xdr:colOff>
      <xdr:row>80</xdr:row>
      <xdr:rowOff>125741</xdr:rowOff>
    </xdr:to>
    <mc:AlternateContent xmlns:mc="http://schemas.openxmlformats.org/markup-compatibility/2006">
      <mc:Choice xmlns:cx4="http://schemas.microsoft.com/office/drawing/2016/5/10/chartex" Requires="cx4">
        <xdr:graphicFrame macro="">
          <xdr:nvGraphicFramePr>
            <xdr:cNvPr id="96" name="Chart 95">
              <a:extLst>
                <a:ext uri="{FF2B5EF4-FFF2-40B4-BE49-F238E27FC236}">
                  <a16:creationId xmlns:a16="http://schemas.microsoft.com/office/drawing/2014/main" id="{A8D42E23-B948-4E9D-AEA0-3408F69CC8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7236017" y="11935744"/>
              <a:ext cx="4542367" cy="259872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1310</xdr:colOff>
      <xdr:row>23</xdr:row>
      <xdr:rowOff>0</xdr:rowOff>
    </xdr:from>
    <xdr:to>
      <xdr:col>29</xdr:col>
      <xdr:colOff>0</xdr:colOff>
      <xdr:row>29</xdr:row>
      <xdr:rowOff>0</xdr:rowOff>
    </xdr:to>
    <xdr:sp macro="" textlink="">
      <xdr:nvSpPr>
        <xdr:cNvPr id="116" name="Rectangle: Rounded Corners 115">
          <a:extLst>
            <a:ext uri="{FF2B5EF4-FFF2-40B4-BE49-F238E27FC236}">
              <a16:creationId xmlns:a16="http://schemas.microsoft.com/office/drawing/2014/main" id="{FF55DEBF-1AF1-4472-A2C9-87BA2E1A0E98}"/>
            </a:ext>
          </a:extLst>
        </xdr:cNvPr>
        <xdr:cNvSpPr/>
      </xdr:nvSpPr>
      <xdr:spPr>
        <a:xfrm>
          <a:off x="10256560" y="4016375"/>
          <a:ext cx="7237690" cy="1047750"/>
        </a:xfrm>
        <a:prstGeom prst="roundRect">
          <a:avLst/>
        </a:prstGeom>
        <a:solidFill>
          <a:srgbClr val="010F21"/>
        </a:solidFill>
        <a:ln>
          <a:solidFill>
            <a:schemeClr val="bg1"/>
          </a:solidFill>
        </a:ln>
        <a:effectLst>
          <a:glow rad="1397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endParaRPr lang="en-US" sz="2400" b="0" i="0" u="none" strike="noStrike" cap="none" spc="0">
            <a:ln w="0"/>
            <a:solidFill>
              <a:schemeClr val="accent1">
                <a:lumMod val="20000"/>
                <a:lumOff val="80000"/>
              </a:schemeClr>
            </a:solidFill>
            <a:effectLst>
              <a:outerShdw blurRad="38100" dist="19050" dir="2700000" algn="tl" rotWithShape="0">
                <a:schemeClr val="bg1">
                  <a:lumMod val="95000"/>
                  <a:alpha val="40000"/>
                </a:schemeClr>
              </a:outerShdw>
            </a:effectLst>
            <a:latin typeface="Aptos Display" panose="020B0004020202020204" pitchFamily="34" charset="0"/>
          </a:endParaRPr>
        </a:p>
      </xdr:txBody>
    </xdr:sp>
    <xdr:clientData/>
  </xdr:twoCellAnchor>
  <xdr:twoCellAnchor editAs="oneCell">
    <xdr:from>
      <xdr:col>17</xdr:col>
      <xdr:colOff>412218</xdr:colOff>
      <xdr:row>24</xdr:row>
      <xdr:rowOff>83820</xdr:rowOff>
    </xdr:from>
    <xdr:to>
      <xdr:col>28</xdr:col>
      <xdr:colOff>192343</xdr:colOff>
      <xdr:row>27</xdr:row>
      <xdr:rowOff>90805</xdr:rowOff>
    </xdr:to>
    <mc:AlternateContent xmlns:mc="http://schemas.openxmlformats.org/markup-compatibility/2006">
      <mc:Choice xmlns:a14="http://schemas.microsoft.com/office/drawing/2010/main" Requires="a14">
        <xdr:graphicFrame macro="">
          <xdr:nvGraphicFramePr>
            <xdr:cNvPr id="48" name="Order Date (Year)">
              <a:extLst>
                <a:ext uri="{FF2B5EF4-FFF2-40B4-BE49-F238E27FC236}">
                  <a16:creationId xmlns:a16="http://schemas.microsoft.com/office/drawing/2014/main" id="{395767D5-36A7-567B-F046-8D60F183FAC8}"/>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dr:sp macro="" textlink="">
          <xdr:nvSpPr>
            <xdr:cNvPr id="0" name=""/>
            <xdr:cNvSpPr>
              <a:spLocks noTextEdit="1"/>
            </xdr:cNvSpPr>
          </xdr:nvSpPr>
          <xdr:spPr>
            <a:xfrm>
              <a:off x="10898789" y="4438106"/>
              <a:ext cx="6565554" cy="5512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a&amp;Marina" refreshedDate="46145.996177546294" createdVersion="8" refreshedVersion="8" minRefreshableVersion="3" recordCount="1330" xr:uid="{CDA8E3F6-8659-4269-9CEB-2ACFB421E8D3}">
  <cacheSource type="worksheet">
    <worksheetSource name="Europe_Sales_Records"/>
  </cacheSource>
  <cacheFields count="16">
    <cacheField name="Region" numFmtId="0">
      <sharedItems/>
    </cacheField>
    <cacheField name="Country" numFmtId="0">
      <sharedItems count="48">
        <s v="Czech Republic"/>
        <s v="Bosnia and Herzegovina"/>
        <s v="Austria"/>
        <s v="Bulgaria"/>
        <s v="Estonia"/>
        <s v="Montenegro"/>
        <s v="Luxembourg"/>
        <s v="Switzerland"/>
        <s v="Finland"/>
        <s v="Belgium"/>
        <s v="San Marino"/>
        <s v="Netherlands"/>
        <s v="Russia"/>
        <s v="Ukraine"/>
        <s v="Latvia"/>
        <s v="Serbia"/>
        <s v="Portugal"/>
        <s v="Poland"/>
        <s v="Liechtenstein"/>
        <s v="United Kingdom"/>
        <s v="Slovenia"/>
        <s v="Malta"/>
        <s v="Cyprus"/>
        <s v="Monaco"/>
        <s v="Norway"/>
        <s v="Armenia"/>
        <s v="Denmark"/>
        <s v="Kosovo"/>
        <s v="Hungary"/>
        <s v="Lithuania"/>
        <s v="Albania"/>
        <s v="Moldova "/>
        <s v="France"/>
        <s v="Spain"/>
        <s v="Sweden"/>
        <s v="Macedonia"/>
        <s v="Greece"/>
        <s v="Italy"/>
        <s v="Germany"/>
        <s v="Andorra"/>
        <s v="Iceland"/>
        <s v="Croatia"/>
        <s v="Slovakia"/>
        <s v="Vatican City"/>
        <s v="Belarus"/>
        <s v="Ireland"/>
        <s v="Romania"/>
        <s v="Georgia"/>
      </sharedItems>
    </cacheField>
    <cacheField name="Item Type" numFmtId="0">
      <sharedItems count="12">
        <s v="Beverages"/>
        <s v="Clothes"/>
        <s v="Cereal"/>
        <s v="Office Supplies"/>
        <s v="Fruits"/>
        <s v="Vegetables"/>
        <s v="Meat"/>
        <s v="Snacks"/>
        <s v="Baby Food"/>
        <s v="Household"/>
        <s v="Cosmetics"/>
        <s v="Personal Care"/>
      </sharedItems>
    </cacheField>
    <cacheField name="Sales Channel" numFmtId="0">
      <sharedItems/>
    </cacheField>
    <cacheField name="Order Priority" numFmtId="0">
      <sharedItems count="4">
        <s v="C"/>
        <s v="M"/>
        <s v="L"/>
        <s v="H"/>
      </sharedItems>
    </cacheField>
    <cacheField name="Order Date" numFmtId="14">
      <sharedItems containsSemiMixedTypes="0" containsNonDate="0" containsDate="1" containsString="0" minDate="2010-01-01T00:00:00" maxDate="2017-07-24T00:00:00"/>
    </cacheField>
    <cacheField name="Order ID" numFmtId="0">
      <sharedItems/>
    </cacheField>
    <cacheField name="Ship Date" numFmtId="14">
      <sharedItems containsSemiMixedTypes="0" containsNonDate="0" containsDate="1" containsString="0" minDate="2010-01-10T00:00:00" maxDate="2017-09-01T00:00:00"/>
    </cacheField>
    <cacheField name="Shipping Time" numFmtId="0">
      <sharedItems containsSemiMixedTypes="0" containsString="0" containsNumber="1" containsInteger="1" minValue="0" maxValue="50"/>
    </cacheField>
    <cacheField name="Units Sold" numFmtId="0">
      <sharedItems containsSemiMixedTypes="0" containsString="0" containsNumber="1" containsInteger="1" minValue="2" maxValue="9999"/>
    </cacheField>
    <cacheField name="Unit Price" numFmtId="0">
      <sharedItems containsSemiMixedTypes="0" containsString="0" containsNumber="1" minValue="9.33" maxValue="668.27"/>
    </cacheField>
    <cacheField name="Unit Cost" numFmtId="0">
      <sharedItems containsSemiMixedTypes="0" containsString="0" containsNumber="1" minValue="6.92" maxValue="524.96"/>
    </cacheField>
    <cacheField name="Unit Profit " numFmtId="0">
      <sharedItems containsSemiMixedTypes="0" containsString="0" containsNumber="1" minValue="2.41" maxValue="173.87"/>
    </cacheField>
    <cacheField name="Total Revenue" numFmtId="0">
      <sharedItems containsSemiMixedTypes="0" containsString="0" containsNumber="1" minValue="503.82" maxValue="6672675.9500000002"/>
    </cacheField>
    <cacheField name="Total Cost" numFmtId="0">
      <sharedItems containsSemiMixedTypes="0" containsString="0" containsNumber="1" minValue="373.68" maxValue="5248025.12"/>
    </cacheField>
    <cacheField name="Total Profit" numFmtId="0">
      <sharedItems containsSemiMixedTypes="0" containsString="0" containsNumber="1" minValue="130.13999999999999" maxValue="1700448.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a&amp;Marina" refreshedDate="46146.139973726851" backgroundQuery="1" createdVersion="8" refreshedVersion="8" minRefreshableVersion="3" recordCount="0" supportSubquery="1" supportAdvancedDrill="1" xr:uid="{DABE78E1-1121-4769-9940-1E6CE10239A8}">
  <cacheSource type="external" connectionId="2"/>
  <cacheFields count="6">
    <cacheField name="[Europe_Sales_Records].[Order Date (Month)].[Order Date (Month)]" caption="Order Date (Month)" numFmtId="0" hierarchy="17" level="1">
      <sharedItems count="12">
        <s v="Jan"/>
        <s v="Feb"/>
        <s v="Mar"/>
        <s v="Apr"/>
        <s v="May"/>
        <s v="Jun"/>
        <s v="Jul"/>
        <s v="Aug"/>
        <s v="Sep"/>
        <s v="Oct"/>
        <s v="Nov"/>
        <s v="Dec"/>
      </sharedItems>
    </cacheField>
    <cacheField name="[Measures].[Sum of Total Profit]" caption="Sum of Total Profit" numFmtId="0" hierarchy="27" level="32767"/>
    <cacheField name="[Measures].[Sum of Total Revenue]" caption="Sum of Total Revenue" numFmtId="0" hierarchy="26" level="32767"/>
    <cacheField name="[Measures].[Sum of Total Cost]" caption="Sum of Total Cost" numFmtId="0" hierarchy="33" level="32767"/>
    <cacheField name="[Europe_Sales_Records].[Order Date (Year)].[Order Date (Year)]" caption="Order Date (Year)" numFmtId="0" hierarchy="16" level="1">
      <sharedItems containsSemiMixedTypes="0" containsNonDate="0" containsString="0"/>
    </cacheField>
    <cacheField name="[Europe_Sales_Records].[Country].[Country]" caption="Country" numFmtId="0" hierarchy="1" level="1">
      <sharedItems containsSemiMixedTypes="0" containsNonDate="0" containsString="0"/>
    </cacheField>
  </cacheFields>
  <cacheHierarchies count="36">
    <cacheHierarchy uniqueName="[Europe_Sales_Records].[Region]" caption="Region" attribute="1" defaultMemberUniqueName="[Europe_Sales_Records].[Region].[All]" allUniqueName="[Europe_Sales_Records].[Region].[All]" dimensionUniqueName="[Europe_Sales_Records]" displayFolder="" count="0" memberValueDatatype="130" unbalanced="0"/>
    <cacheHierarchy uniqueName="[Europe_Sales_Records].[Country]" caption="Country" attribute="1" defaultMemberUniqueName="[Europe_Sales_Records].[Country].[All]" allUniqueName="[Europe_Sales_Records].[Country].[All]" dimensionUniqueName="[Europe_Sales_Records]" displayFolder="" count="2" memberValueDatatype="130" unbalanced="0">
      <fieldsUsage count="2">
        <fieldUsage x="-1"/>
        <fieldUsage x="5"/>
      </fieldsUsage>
    </cacheHierarchy>
    <cacheHierarchy uniqueName="[Europe_Sales_Records].[Item Type]" caption="Item Type" attribute="1" defaultMemberUniqueName="[Europe_Sales_Records].[Item Type].[All]" allUniqueName="[Europe_Sales_Records].[Item Type].[All]" dimensionUniqueName="[Europe_Sales_Records]" displayFolder="" count="0" memberValueDatatype="130" unbalanced="0"/>
    <cacheHierarchy uniqueName="[Europe_Sales_Records].[Sales Channel]" caption="Sales Channel" attribute="1" defaultMemberUniqueName="[Europe_Sales_Records].[Sales Channel].[All]" allUniqueName="[Europe_Sales_Records].[Sales Channel].[All]" dimensionUniqueName="[Europe_Sales_Records]" displayFolder="" count="0" memberValueDatatype="130" unbalanced="0"/>
    <cacheHierarchy uniqueName="[Europe_Sales_Records].[Order Priority]" caption="Order Priority" attribute="1" defaultMemberUniqueName="[Europe_Sales_Records].[Order Priority].[All]" allUniqueName="[Europe_Sales_Records].[Order Priority].[All]" dimensionUniqueName="[Europe_Sales_Records]" displayFolder="" count="0" memberValueDatatype="130" unbalanced="0"/>
    <cacheHierarchy uniqueName="[Europe_Sales_Records].[Order Date]" caption="Order Date" attribute="1" time="1" defaultMemberUniqueName="[Europe_Sales_Records].[Order Date].[All]" allUniqueName="[Europe_Sales_Records].[Order Date].[All]" dimensionUniqueName="[Europe_Sales_Records]" displayFolder="" count="0" memberValueDatatype="7" unbalanced="0"/>
    <cacheHierarchy uniqueName="[Europe_Sales_Records].[Order ID]" caption="Order ID" attribute="1" defaultMemberUniqueName="[Europe_Sales_Records].[Order ID].[All]" allUniqueName="[Europe_Sales_Records].[Order ID].[All]" dimensionUniqueName="[Europe_Sales_Records]" displayFolder="" count="0" memberValueDatatype="130" unbalanced="0"/>
    <cacheHierarchy uniqueName="[Europe_Sales_Records].[Ship Date]" caption="Ship Date" attribute="1" time="1" defaultMemberUniqueName="[Europe_Sales_Records].[Ship Date].[All]" allUniqueName="[Europe_Sales_Records].[Ship Date].[All]" dimensionUniqueName="[Europe_Sales_Records]" displayFolder="" count="0" memberValueDatatype="7" unbalanced="0"/>
    <cacheHierarchy uniqueName="[Europe_Sales_Records].[Shipping Time]" caption="Shipping Time" attribute="1" defaultMemberUniqueName="[Europe_Sales_Records].[Shipping Time].[All]" allUniqueName="[Europe_Sales_Records].[Shipping Time].[All]" dimensionUniqueName="[Europe_Sales_Records]" displayFolder="" count="0" memberValueDatatype="20" unbalanced="0"/>
    <cacheHierarchy uniqueName="[Europe_Sales_Records].[Units Sold]" caption="Units Sold" attribute="1" defaultMemberUniqueName="[Europe_Sales_Records].[Units Sold].[All]" allUniqueName="[Europe_Sales_Records].[Units Sold].[All]" dimensionUniqueName="[Europe_Sales_Records]" displayFolder="" count="0" memberValueDatatype="20" unbalanced="0"/>
    <cacheHierarchy uniqueName="[Europe_Sales_Records].[Unit Price]" caption="Unit Price" attribute="1" defaultMemberUniqueName="[Europe_Sales_Records].[Unit Price].[All]" allUniqueName="[Europe_Sales_Records].[Unit Price].[All]" dimensionUniqueName="[Europe_Sales_Records]" displayFolder="" count="0" memberValueDatatype="5" unbalanced="0"/>
    <cacheHierarchy uniqueName="[Europe_Sales_Records].[Unit Cost]" caption="Unit Cost" attribute="1" defaultMemberUniqueName="[Europe_Sales_Records].[Unit Cost].[All]" allUniqueName="[Europe_Sales_Records].[Unit Cost].[All]" dimensionUniqueName="[Europe_Sales_Records]" displayFolder="" count="0" memberValueDatatype="5" unbalanced="0"/>
    <cacheHierarchy uniqueName="[Europe_Sales_Records].[Unit Profit]" caption="Unit Profit" attribute="1" defaultMemberUniqueName="[Europe_Sales_Records].[Unit Profit].[All]" allUniqueName="[Europe_Sales_Records].[Unit Profit].[All]" dimensionUniqueName="[Europe_Sales_Records]" displayFolder="" count="0" memberValueDatatype="5" unbalanced="0"/>
    <cacheHierarchy uniqueName="[Europe_Sales_Records].[Total Revenue]" caption="Total Revenue" attribute="1" defaultMemberUniqueName="[Europe_Sales_Records].[Total Revenue].[All]" allUniqueName="[Europe_Sales_Records].[Total Revenue].[All]" dimensionUniqueName="[Europe_Sales_Records]" displayFolder="" count="0" memberValueDatatype="5" unbalanced="0"/>
    <cacheHierarchy uniqueName="[Europe_Sales_Records].[Total Cost]" caption="Total Cost" attribute="1" defaultMemberUniqueName="[Europe_Sales_Records].[Total Cost].[All]" allUniqueName="[Europe_Sales_Records].[Total Cost].[All]" dimensionUniqueName="[Europe_Sales_Records]" displayFolder="" count="0" memberValueDatatype="5" unbalanced="0"/>
    <cacheHierarchy uniqueName="[Europe_Sales_Records].[Total Profit]" caption="Total Profit" attribute="1" defaultMemberUniqueName="[Europe_Sales_Records].[Total Profit].[All]" allUniqueName="[Europe_Sales_Records].[Total Profit].[All]" dimensionUniqueName="[Europe_Sales_Records]" displayFolder="" count="0" memberValueDatatype="5" unbalanced="0"/>
    <cacheHierarchy uniqueName="[Europe_Sales_Records].[Order Date (Year)]" caption="Order Date (Year)" attribute="1" defaultMemberUniqueName="[Europe_Sales_Records].[Order Date (Year)].[All]" allUniqueName="[Europe_Sales_Records].[Order Date (Year)].[All]" dimensionUniqueName="[Europe_Sales_Records]" displayFolder="" count="2" memberValueDatatype="130" unbalanced="0">
      <fieldsUsage count="2">
        <fieldUsage x="-1"/>
        <fieldUsage x="4"/>
      </fieldsUsage>
    </cacheHierarchy>
    <cacheHierarchy uniqueName="[Europe_Sales_Records].[Order Date (Month)]" caption="Order Date (Month)" attribute="1" defaultMemberUniqueName="[Europe_Sales_Records].[Order Date (Month)].[All]" allUniqueName="[Europe_Sales_Records].[Order Date (Month)].[All]" dimensionUniqueName="[Europe_Sales_Records]" displayFolder="" count="2" memberValueDatatype="130" unbalanced="0">
      <fieldsUsage count="2">
        <fieldUsage x="-1"/>
        <fieldUsage x="0"/>
      </fieldsUsage>
    </cacheHierarchy>
    <cacheHierarchy uniqueName="[Europe_Sales_Records].[Order Date (Month Index)]" caption="Order Date (Month Index)" attribute="1" defaultMemberUniqueName="[Europe_Sales_Records].[Order Date (Month Index)].[All]" allUniqueName="[Europe_Sales_Records].[Order Date (Month Index)].[All]" dimensionUniqueName="[Europe_Sales_Records]" displayFolder="" count="0" memberValueDatatype="20" unbalanced="0" hidden="1"/>
    <cacheHierarchy uniqueName="[Measures].[__XL_Count Europe_Sales_Records]" caption="__XL_Count Europe_Sales_Records" measure="1" displayFolder="" measureGroup="Europe_Sales_Records" count="0" hidden="1"/>
    <cacheHierarchy uniqueName="[Measures].[__No measures defined]" caption="__No measures defined" measure="1" displayFolder="" count="0" hidden="1"/>
    <cacheHierarchy uniqueName="[Measures].[Count of Total Profit]" caption="Count of Total Profit" measure="1" displayFolder="" measureGroup="Europe_Sales_Records" count="0" hidden="1">
      <extLst>
        <ext xmlns:x15="http://schemas.microsoft.com/office/spreadsheetml/2010/11/main" uri="{B97F6D7D-B522-45F9-BDA1-12C45D357490}">
          <x15:cacheHierarchy aggregatedColumn="15"/>
        </ext>
      </extLst>
    </cacheHierarchy>
    <cacheHierarchy uniqueName="[Measures].[Count of Total Revenue]" caption="Count of Total Revenue" measure="1" displayFolder="" measureGroup="Europe_Sales_Records" count="0" hidden="1">
      <extLst>
        <ext xmlns:x15="http://schemas.microsoft.com/office/spreadsheetml/2010/11/main" uri="{B97F6D7D-B522-45F9-BDA1-12C45D357490}">
          <x15:cacheHierarchy aggregatedColumn="13"/>
        </ext>
      </extLst>
    </cacheHierarchy>
    <cacheHierarchy uniqueName="[Measures].[Count of Total Cost]" caption="Count of Total Cost" measure="1" displayFolder="" measureGroup="Europe_Sales_Records" count="0" hidden="1">
      <extLst>
        <ext xmlns:x15="http://schemas.microsoft.com/office/spreadsheetml/2010/11/main" uri="{B97F6D7D-B522-45F9-BDA1-12C45D357490}">
          <x15:cacheHierarchy aggregatedColumn="14"/>
        </ext>
      </extLst>
    </cacheHierarchy>
    <cacheHierarchy uniqueName="[Measures].[Count of Order Priority]" caption="Count of Order Priority" measure="1" displayFolder="" measureGroup="Europe_Sales_Records" count="0" hidden="1">
      <extLst>
        <ext xmlns:x15="http://schemas.microsoft.com/office/spreadsheetml/2010/11/main" uri="{B97F6D7D-B522-45F9-BDA1-12C45D357490}">
          <x15:cacheHierarchy aggregatedColumn="4"/>
        </ext>
      </extLst>
    </cacheHierarchy>
    <cacheHierarchy uniqueName="[Measures].[Count of Units Sold]" caption="Count of Units Sold" measure="1" displayFolder="" measureGroup="Europe_Sales_Records" count="0" hidden="1">
      <extLst>
        <ext xmlns:x15="http://schemas.microsoft.com/office/spreadsheetml/2010/11/main" uri="{B97F6D7D-B522-45F9-BDA1-12C45D357490}">
          <x15:cacheHierarchy aggregatedColumn="9"/>
        </ext>
      </extLst>
    </cacheHierarchy>
    <cacheHierarchy uniqueName="[Measures].[Sum of Total Revenue]" caption="Sum of Total Revenue" measure="1" displayFolder="" measureGroup="Europe_Sales_Records"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Europe_Sales_Records"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Europe_Sales_Records" count="0" hidden="1">
      <extLst>
        <ext xmlns:x15="http://schemas.microsoft.com/office/spreadsheetml/2010/11/main" uri="{B97F6D7D-B522-45F9-BDA1-12C45D357490}">
          <x15:cacheHierarchy aggregatedColumn="9"/>
        </ext>
      </extLst>
    </cacheHierarchy>
    <cacheHierarchy uniqueName="[Measures].[Sum of Unit Profit]" caption="Sum of Unit Profit" measure="1" displayFolder="" measureGroup="Europe_Sales_Records" count="0" hidden="1">
      <extLst>
        <ext xmlns:x15="http://schemas.microsoft.com/office/spreadsheetml/2010/11/main" uri="{B97F6D7D-B522-45F9-BDA1-12C45D357490}">
          <x15:cacheHierarchy aggregatedColumn="12"/>
        </ext>
      </extLst>
    </cacheHierarchy>
    <cacheHierarchy uniqueName="[Measures].[Sum of Unit Cost]" caption="Sum of Unit Cost" measure="1" displayFolder="" measureGroup="Europe_Sales_Records" count="0" hidden="1">
      <extLst>
        <ext xmlns:x15="http://schemas.microsoft.com/office/spreadsheetml/2010/11/main" uri="{B97F6D7D-B522-45F9-BDA1-12C45D357490}">
          <x15:cacheHierarchy aggregatedColumn="11"/>
        </ext>
      </extLst>
    </cacheHierarchy>
    <cacheHierarchy uniqueName="[Measures].[Count of Unit Cost]" caption="Count of Unit Cost" measure="1" displayFolder="" measureGroup="Europe_Sales_Records" count="0" hidden="1">
      <extLst>
        <ext xmlns:x15="http://schemas.microsoft.com/office/spreadsheetml/2010/11/main" uri="{B97F6D7D-B522-45F9-BDA1-12C45D357490}">
          <x15:cacheHierarchy aggregatedColumn="11"/>
        </ext>
      </extLst>
    </cacheHierarchy>
    <cacheHierarchy uniqueName="[Measures].[Sum of Unit Price]" caption="Sum of Unit Price" measure="1" displayFolder="" measureGroup="Europe_Sales_Records" count="0" hidden="1">
      <extLst>
        <ext xmlns:x15="http://schemas.microsoft.com/office/spreadsheetml/2010/11/main" uri="{B97F6D7D-B522-45F9-BDA1-12C45D357490}">
          <x15:cacheHierarchy aggregatedColumn="10"/>
        </ext>
      </extLst>
    </cacheHierarchy>
    <cacheHierarchy uniqueName="[Measures].[Sum of Total Cost]" caption="Sum of Total Cost" measure="1" displayFolder="" measureGroup="Europe_Sales_Records" count="0" oneField="1" hidden="1">
      <fieldsUsage count="1">
        <fieldUsage x="3"/>
      </fieldsUsage>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Europe_Sales_Records" count="0" hidden="1">
      <extLst>
        <ext xmlns:x15="http://schemas.microsoft.com/office/spreadsheetml/2010/11/main" uri="{B97F6D7D-B522-45F9-BDA1-12C45D357490}">
          <x15:cacheHierarchy aggregatedColumn="1"/>
        </ext>
      </extLst>
    </cacheHierarchy>
    <cacheHierarchy uniqueName="[Measures].[Sum of Shipping Time]" caption="Sum of Shipping Time" measure="1" displayFolder="" measureGroup="Europe_Sales_Records" count="0" hidden="1">
      <extLst>
        <ext xmlns:x15="http://schemas.microsoft.com/office/spreadsheetml/2010/11/main" uri="{B97F6D7D-B522-45F9-BDA1-12C45D357490}">
          <x15:cacheHierarchy aggregatedColumn="8"/>
        </ext>
      </extLst>
    </cacheHierarchy>
  </cacheHierarchies>
  <kpis count="0"/>
  <dimensions count="2">
    <dimension name="Europe_Sales_Records" uniqueName="[Europe_Sales_Records]" caption="Europe_Sales_Records"/>
    <dimension measure="1" name="Measures" uniqueName="[Measures]" caption="Measures"/>
  </dimensions>
  <measureGroups count="1">
    <measureGroup name="Europe_Sales_Records" caption="Europe_Sales_Recor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a&amp;Marina" refreshedDate="46146.147623842589" backgroundQuery="1" createdVersion="8" refreshedVersion="8" minRefreshableVersion="3" recordCount="0" supportSubquery="1" supportAdvancedDrill="1" xr:uid="{97CCE07D-87F5-44F5-BAC2-06B0EF9990C6}">
  <cacheSource type="external" connectionId="2"/>
  <cacheFields count="4">
    <cacheField name="[Europe_Sales_Records].[Country].[Country]" caption="Country" numFmtId="0" hierarchy="1" level="1">
      <sharedItems count="47">
        <s v="Croatia"/>
        <s v="Cyprus"/>
        <s v="Czech Republic"/>
        <s v="Denmark"/>
        <s v="Estonia"/>
        <s v="Finland"/>
        <s v="France"/>
        <s v="Georgia"/>
        <s v="Germany"/>
        <s v="Greece" u="1"/>
        <s v="Hungary" u="1"/>
        <s v="Iceland" u="1"/>
        <s v="Ireland" u="1"/>
        <s v="Italy" u="1"/>
        <s v="Kosovo" u="1"/>
        <s v="Latvia" u="1"/>
        <s v="Liechtenstein" u="1"/>
        <s v="Lithuania" u="1"/>
        <s v="Luxembourg" u="1"/>
        <s v="Macedonia" u="1"/>
        <s v="Malta" u="1"/>
        <s v="Moldova" u="1"/>
        <s v="Monaco" u="1"/>
        <s v="Montenegro" u="1"/>
        <s v="Netherlands" u="1"/>
        <s v="Norway" u="1"/>
        <s v="Poland" u="1"/>
        <s v="Portugal" u="1"/>
        <s v="Spain" u="1"/>
        <s v="Romania" u="1"/>
        <s v="Russia" u="1"/>
        <s v="Andorra" u="1"/>
        <s v="Armenia" u="1"/>
        <s v="Austria" u="1"/>
        <s v="Belarus" u="1"/>
        <s v="Belgium" u="1"/>
        <s v="Bosnia and Herzegovina" u="1"/>
        <s v="Bulgaria" u="1"/>
        <s v="San Marino" u="1"/>
        <s v="Serbia" u="1"/>
        <s v="Slovakia" u="1"/>
        <s v="Slovenia" u="1"/>
        <s v="Sweden" u="1"/>
        <s v="Switzerland" u="1"/>
        <s v="Ukraine" u="1"/>
        <s v="United Kingdom" u="1"/>
        <s v="Vatican City" u="1"/>
      </sharedItems>
    </cacheField>
    <cacheField name="[Measures].[Sum of Units Sold]" caption="Sum of Units Sold" numFmtId="0" hierarchy="28" level="32767"/>
    <cacheField name="[Europe_Sales_Records].[Item Type].[Item Type]" caption="Item Type" numFmtId="0" hierarchy="2" level="1">
      <sharedItems count="11">
        <s v="Baby Food"/>
        <s v="Beverages"/>
        <s v="Cereal"/>
        <s v="Clothes"/>
        <s v="Cosmetics"/>
        <s v="Fruits"/>
        <s v="Household"/>
        <s v="Meat"/>
        <s v="Office Supplies"/>
        <s v="Personal Care"/>
        <s v="Snacks"/>
      </sharedItems>
    </cacheField>
    <cacheField name="[Europe_Sales_Records].[Order Date (Year)].[Order Date (Year)]" caption="Order Date (Year)" numFmtId="0" hierarchy="16" level="1">
      <sharedItems containsSemiMixedTypes="0" containsNonDate="0" containsString="0"/>
    </cacheField>
  </cacheFields>
  <cacheHierarchies count="36">
    <cacheHierarchy uniqueName="[Europe_Sales_Records].[Region]" caption="Region" attribute="1" defaultMemberUniqueName="[Europe_Sales_Records].[Region].[All]" allUniqueName="[Europe_Sales_Records].[Region].[All]" dimensionUniqueName="[Europe_Sales_Records]" displayFolder="" count="0" memberValueDatatype="130" unbalanced="0"/>
    <cacheHierarchy uniqueName="[Europe_Sales_Records].[Country]" caption="Country" attribute="1" defaultMemberUniqueName="[Europe_Sales_Records].[Country].[All]" allUniqueName="[Europe_Sales_Records].[Country].[All]" dimensionUniqueName="[Europe_Sales_Records]" displayFolder="" count="2" memberValueDatatype="130" unbalanced="0">
      <fieldsUsage count="2">
        <fieldUsage x="-1"/>
        <fieldUsage x="0"/>
      </fieldsUsage>
    </cacheHierarchy>
    <cacheHierarchy uniqueName="[Europe_Sales_Records].[Item Type]" caption="Item Type" attribute="1" defaultMemberUniqueName="[Europe_Sales_Records].[Item Type].[All]" allUniqueName="[Europe_Sales_Records].[Item Type].[All]" dimensionUniqueName="[Europe_Sales_Records]" displayFolder="" count="2" memberValueDatatype="130" unbalanced="0">
      <fieldsUsage count="2">
        <fieldUsage x="-1"/>
        <fieldUsage x="2"/>
      </fieldsUsage>
    </cacheHierarchy>
    <cacheHierarchy uniqueName="[Europe_Sales_Records].[Sales Channel]" caption="Sales Channel" attribute="1" defaultMemberUniqueName="[Europe_Sales_Records].[Sales Channel].[All]" allUniqueName="[Europe_Sales_Records].[Sales Channel].[All]" dimensionUniqueName="[Europe_Sales_Records]" displayFolder="" count="0" memberValueDatatype="130" unbalanced="0"/>
    <cacheHierarchy uniqueName="[Europe_Sales_Records].[Order Priority]" caption="Order Priority" attribute="1" defaultMemberUniqueName="[Europe_Sales_Records].[Order Priority].[All]" allUniqueName="[Europe_Sales_Records].[Order Priority].[All]" dimensionUniqueName="[Europe_Sales_Records]" displayFolder="" count="0" memberValueDatatype="130" unbalanced="0"/>
    <cacheHierarchy uniqueName="[Europe_Sales_Records].[Order Date]" caption="Order Date" attribute="1" time="1" defaultMemberUniqueName="[Europe_Sales_Records].[Order Date].[All]" allUniqueName="[Europe_Sales_Records].[Order Date].[All]" dimensionUniqueName="[Europe_Sales_Records]" displayFolder="" count="0" memberValueDatatype="7" unbalanced="0"/>
    <cacheHierarchy uniqueName="[Europe_Sales_Records].[Order ID]" caption="Order ID" attribute="1" defaultMemberUniqueName="[Europe_Sales_Records].[Order ID].[All]" allUniqueName="[Europe_Sales_Records].[Order ID].[All]" dimensionUniqueName="[Europe_Sales_Records]" displayFolder="" count="0" memberValueDatatype="130" unbalanced="0"/>
    <cacheHierarchy uniqueName="[Europe_Sales_Records].[Ship Date]" caption="Ship Date" attribute="1" time="1" defaultMemberUniqueName="[Europe_Sales_Records].[Ship Date].[All]" allUniqueName="[Europe_Sales_Records].[Ship Date].[All]" dimensionUniqueName="[Europe_Sales_Records]" displayFolder="" count="0" memberValueDatatype="7" unbalanced="0"/>
    <cacheHierarchy uniqueName="[Europe_Sales_Records].[Shipping Time]" caption="Shipping Time" attribute="1" defaultMemberUniqueName="[Europe_Sales_Records].[Shipping Time].[All]" allUniqueName="[Europe_Sales_Records].[Shipping Time].[All]" dimensionUniqueName="[Europe_Sales_Records]" displayFolder="" count="0" memberValueDatatype="20" unbalanced="0"/>
    <cacheHierarchy uniqueName="[Europe_Sales_Records].[Units Sold]" caption="Units Sold" attribute="1" defaultMemberUniqueName="[Europe_Sales_Records].[Units Sold].[All]" allUniqueName="[Europe_Sales_Records].[Units Sold].[All]" dimensionUniqueName="[Europe_Sales_Records]" displayFolder="" count="0" memberValueDatatype="20" unbalanced="0"/>
    <cacheHierarchy uniqueName="[Europe_Sales_Records].[Unit Price]" caption="Unit Price" attribute="1" defaultMemberUniqueName="[Europe_Sales_Records].[Unit Price].[All]" allUniqueName="[Europe_Sales_Records].[Unit Price].[All]" dimensionUniqueName="[Europe_Sales_Records]" displayFolder="" count="0" memberValueDatatype="5" unbalanced="0"/>
    <cacheHierarchy uniqueName="[Europe_Sales_Records].[Unit Cost]" caption="Unit Cost" attribute="1" defaultMemberUniqueName="[Europe_Sales_Records].[Unit Cost].[All]" allUniqueName="[Europe_Sales_Records].[Unit Cost].[All]" dimensionUniqueName="[Europe_Sales_Records]" displayFolder="" count="0" memberValueDatatype="5" unbalanced="0"/>
    <cacheHierarchy uniqueName="[Europe_Sales_Records].[Unit Profit]" caption="Unit Profit" attribute="1" defaultMemberUniqueName="[Europe_Sales_Records].[Unit Profit].[All]" allUniqueName="[Europe_Sales_Records].[Unit Profit].[All]" dimensionUniqueName="[Europe_Sales_Records]" displayFolder="" count="0" memberValueDatatype="5" unbalanced="0"/>
    <cacheHierarchy uniqueName="[Europe_Sales_Records].[Total Revenue]" caption="Total Revenue" attribute="1" defaultMemberUniqueName="[Europe_Sales_Records].[Total Revenue].[All]" allUniqueName="[Europe_Sales_Records].[Total Revenue].[All]" dimensionUniqueName="[Europe_Sales_Records]" displayFolder="" count="0" memberValueDatatype="5" unbalanced="0"/>
    <cacheHierarchy uniqueName="[Europe_Sales_Records].[Total Cost]" caption="Total Cost" attribute="1" defaultMemberUniqueName="[Europe_Sales_Records].[Total Cost].[All]" allUniqueName="[Europe_Sales_Records].[Total Cost].[All]" dimensionUniqueName="[Europe_Sales_Records]" displayFolder="" count="0" memberValueDatatype="5" unbalanced="0"/>
    <cacheHierarchy uniqueName="[Europe_Sales_Records].[Total Profit]" caption="Total Profit" attribute="1" defaultMemberUniqueName="[Europe_Sales_Records].[Total Profit].[All]" allUniqueName="[Europe_Sales_Records].[Total Profit].[All]" dimensionUniqueName="[Europe_Sales_Records]" displayFolder="" count="0" memberValueDatatype="5" unbalanced="0"/>
    <cacheHierarchy uniqueName="[Europe_Sales_Records].[Order Date (Year)]" caption="Order Date (Year)" attribute="1" defaultMemberUniqueName="[Europe_Sales_Records].[Order Date (Year)].[All]" allUniqueName="[Europe_Sales_Records].[Order Date (Year)].[All]" dimensionUniqueName="[Europe_Sales_Records]" displayFolder="" count="2" memberValueDatatype="130" unbalanced="0">
      <fieldsUsage count="2">
        <fieldUsage x="-1"/>
        <fieldUsage x="3"/>
      </fieldsUsage>
    </cacheHierarchy>
    <cacheHierarchy uniqueName="[Europe_Sales_Records].[Order Date (Month)]" caption="Order Date (Month)" attribute="1" defaultMemberUniqueName="[Europe_Sales_Records].[Order Date (Month)].[All]" allUniqueName="[Europe_Sales_Records].[Order Date (Month)].[All]" dimensionUniqueName="[Europe_Sales_Records]" displayFolder="" count="0" memberValueDatatype="130" unbalanced="0"/>
    <cacheHierarchy uniqueName="[Europe_Sales_Records].[Order Date (Month Index)]" caption="Order Date (Month Index)" attribute="1" defaultMemberUniqueName="[Europe_Sales_Records].[Order Date (Month Index)].[All]" allUniqueName="[Europe_Sales_Records].[Order Date (Month Index)].[All]" dimensionUniqueName="[Europe_Sales_Records]" displayFolder="" count="0" memberValueDatatype="20" unbalanced="0" hidden="1"/>
    <cacheHierarchy uniqueName="[Measures].[__XL_Count Europe_Sales_Records]" caption="__XL_Count Europe_Sales_Records" measure="1" displayFolder="" measureGroup="Europe_Sales_Records" count="0" hidden="1"/>
    <cacheHierarchy uniqueName="[Measures].[__No measures defined]" caption="__No measures defined" measure="1" displayFolder="" count="0" hidden="1"/>
    <cacheHierarchy uniqueName="[Measures].[Count of Total Profit]" caption="Count of Total Profit" measure="1" displayFolder="" measureGroup="Europe_Sales_Records" count="0" hidden="1">
      <extLst>
        <ext xmlns:x15="http://schemas.microsoft.com/office/spreadsheetml/2010/11/main" uri="{B97F6D7D-B522-45F9-BDA1-12C45D357490}">
          <x15:cacheHierarchy aggregatedColumn="15"/>
        </ext>
      </extLst>
    </cacheHierarchy>
    <cacheHierarchy uniqueName="[Measures].[Count of Total Revenue]" caption="Count of Total Revenue" measure="1" displayFolder="" measureGroup="Europe_Sales_Records" count="0" hidden="1">
      <extLst>
        <ext xmlns:x15="http://schemas.microsoft.com/office/spreadsheetml/2010/11/main" uri="{B97F6D7D-B522-45F9-BDA1-12C45D357490}">
          <x15:cacheHierarchy aggregatedColumn="13"/>
        </ext>
      </extLst>
    </cacheHierarchy>
    <cacheHierarchy uniqueName="[Measures].[Count of Total Cost]" caption="Count of Total Cost" measure="1" displayFolder="" measureGroup="Europe_Sales_Records" count="0" hidden="1">
      <extLst>
        <ext xmlns:x15="http://schemas.microsoft.com/office/spreadsheetml/2010/11/main" uri="{B97F6D7D-B522-45F9-BDA1-12C45D357490}">
          <x15:cacheHierarchy aggregatedColumn="14"/>
        </ext>
      </extLst>
    </cacheHierarchy>
    <cacheHierarchy uniqueName="[Measures].[Count of Order Priority]" caption="Count of Order Priority" measure="1" displayFolder="" measureGroup="Europe_Sales_Records" count="0" hidden="1">
      <extLst>
        <ext xmlns:x15="http://schemas.microsoft.com/office/spreadsheetml/2010/11/main" uri="{B97F6D7D-B522-45F9-BDA1-12C45D357490}">
          <x15:cacheHierarchy aggregatedColumn="4"/>
        </ext>
      </extLst>
    </cacheHierarchy>
    <cacheHierarchy uniqueName="[Measures].[Count of Units Sold]" caption="Count of Units Sold" measure="1" displayFolder="" measureGroup="Europe_Sales_Records" count="0" hidden="1">
      <extLst>
        <ext xmlns:x15="http://schemas.microsoft.com/office/spreadsheetml/2010/11/main" uri="{B97F6D7D-B522-45F9-BDA1-12C45D357490}">
          <x15:cacheHierarchy aggregatedColumn="9"/>
        </ext>
      </extLst>
    </cacheHierarchy>
    <cacheHierarchy uniqueName="[Measures].[Sum of Total Revenue]" caption="Sum of Total Revenue" measure="1" displayFolder="" measureGroup="Europe_Sales_Records" count="0" hidden="1">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Europe_Sales_Records" count="0" hidden="1">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Europe_Sales_Record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Unit Profit]" caption="Sum of Unit Profit" measure="1" displayFolder="" measureGroup="Europe_Sales_Records" count="0" hidden="1">
      <extLst>
        <ext xmlns:x15="http://schemas.microsoft.com/office/spreadsheetml/2010/11/main" uri="{B97F6D7D-B522-45F9-BDA1-12C45D357490}">
          <x15:cacheHierarchy aggregatedColumn="12"/>
        </ext>
      </extLst>
    </cacheHierarchy>
    <cacheHierarchy uniqueName="[Measures].[Sum of Unit Cost]" caption="Sum of Unit Cost" measure="1" displayFolder="" measureGroup="Europe_Sales_Records" count="0" hidden="1">
      <extLst>
        <ext xmlns:x15="http://schemas.microsoft.com/office/spreadsheetml/2010/11/main" uri="{B97F6D7D-B522-45F9-BDA1-12C45D357490}">
          <x15:cacheHierarchy aggregatedColumn="11"/>
        </ext>
      </extLst>
    </cacheHierarchy>
    <cacheHierarchy uniqueName="[Measures].[Count of Unit Cost]" caption="Count of Unit Cost" measure="1" displayFolder="" measureGroup="Europe_Sales_Records" count="0" hidden="1">
      <extLst>
        <ext xmlns:x15="http://schemas.microsoft.com/office/spreadsheetml/2010/11/main" uri="{B97F6D7D-B522-45F9-BDA1-12C45D357490}">
          <x15:cacheHierarchy aggregatedColumn="11"/>
        </ext>
      </extLst>
    </cacheHierarchy>
    <cacheHierarchy uniqueName="[Measures].[Sum of Unit Price]" caption="Sum of Unit Price" measure="1" displayFolder="" measureGroup="Europe_Sales_Records" count="0" hidden="1">
      <extLst>
        <ext xmlns:x15="http://schemas.microsoft.com/office/spreadsheetml/2010/11/main" uri="{B97F6D7D-B522-45F9-BDA1-12C45D357490}">
          <x15:cacheHierarchy aggregatedColumn="10"/>
        </ext>
      </extLst>
    </cacheHierarchy>
    <cacheHierarchy uniqueName="[Measures].[Sum of Total Cost]" caption="Sum of Total Cost" measure="1" displayFolder="" measureGroup="Europe_Sales_Records" count="0" hidden="1">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Europe_Sales_Records" count="0" hidden="1">
      <extLst>
        <ext xmlns:x15="http://schemas.microsoft.com/office/spreadsheetml/2010/11/main" uri="{B97F6D7D-B522-45F9-BDA1-12C45D357490}">
          <x15:cacheHierarchy aggregatedColumn="1"/>
        </ext>
      </extLst>
    </cacheHierarchy>
    <cacheHierarchy uniqueName="[Measures].[Sum of Shipping Time]" caption="Sum of Shipping Time" measure="1" displayFolder="" measureGroup="Europe_Sales_Records" count="0" hidden="1">
      <extLst>
        <ext xmlns:x15="http://schemas.microsoft.com/office/spreadsheetml/2010/11/main" uri="{B97F6D7D-B522-45F9-BDA1-12C45D357490}">
          <x15:cacheHierarchy aggregatedColumn="8"/>
        </ext>
      </extLst>
    </cacheHierarchy>
  </cacheHierarchies>
  <kpis count="0"/>
  <dimensions count="2">
    <dimension name="Europe_Sales_Records" uniqueName="[Europe_Sales_Records]" caption="Europe_Sales_Records"/>
    <dimension measure="1" name="Measures" uniqueName="[Measures]" caption="Measures"/>
  </dimensions>
  <measureGroups count="1">
    <measureGroup name="Europe_Sales_Records" caption="Europe_Sales_Recor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a&amp;Marina" refreshedDate="46146.147624884259" backgroundQuery="1" createdVersion="8" refreshedVersion="8" minRefreshableVersion="3" recordCount="0" supportSubquery="1" supportAdvancedDrill="1" xr:uid="{E0A108EC-383A-4B7B-8F77-DDA144943D2F}">
  <cacheSource type="external" connectionId="2"/>
  <cacheFields count="5">
    <cacheField name="[Europe_Sales_Records].[Sales Channel].[Sales Channel]" caption="Sales Channel" numFmtId="0" hierarchy="3" level="1">
      <sharedItems count="2">
        <s v="Offline"/>
        <s v="Online"/>
      </sharedItems>
    </cacheField>
    <cacheField name="[Europe_Sales_Records].[Item Type].[Item Type]" caption="Item Type" numFmtId="0" hierarchy="2" level="1">
      <sharedItems count="11">
        <s v="Baby Food"/>
        <s v="Beverages"/>
        <s v="Cereal"/>
        <s v="Clothes"/>
        <s v="Cosmetics"/>
        <s v="Fruits"/>
        <s v="Household"/>
        <s v="Meat"/>
        <s v="Office Supplies"/>
        <s v="Personal Care"/>
        <s v="Snacks"/>
      </sharedItems>
    </cacheField>
    <cacheField name="[Measures].[Sum of Total Revenue]" caption="Sum of Total Revenue" numFmtId="0" hierarchy="26" level="32767"/>
    <cacheField name="[Europe_Sales_Records].[Order Date (Year)].[Order Date (Year)]" caption="Order Date (Year)" numFmtId="0" hierarchy="16" level="1">
      <sharedItems containsSemiMixedTypes="0" containsNonDate="0" containsString="0"/>
    </cacheField>
    <cacheField name="[Europe_Sales_Records].[Country].[Country]" caption="Country" numFmtId="0" hierarchy="1" level="1">
      <sharedItems containsSemiMixedTypes="0" containsNonDate="0" containsString="0"/>
    </cacheField>
  </cacheFields>
  <cacheHierarchies count="36">
    <cacheHierarchy uniqueName="[Europe_Sales_Records].[Region]" caption="Region" attribute="1" defaultMemberUniqueName="[Europe_Sales_Records].[Region].[All]" allUniqueName="[Europe_Sales_Records].[Region].[All]" dimensionUniqueName="[Europe_Sales_Records]" displayFolder="" count="0" memberValueDatatype="130" unbalanced="0"/>
    <cacheHierarchy uniqueName="[Europe_Sales_Records].[Country]" caption="Country" attribute="1" defaultMemberUniqueName="[Europe_Sales_Records].[Country].[All]" allUniqueName="[Europe_Sales_Records].[Country].[All]" dimensionUniqueName="[Europe_Sales_Records]" displayFolder="" count="2" memberValueDatatype="130" unbalanced="0">
      <fieldsUsage count="2">
        <fieldUsage x="-1"/>
        <fieldUsage x="4"/>
      </fieldsUsage>
    </cacheHierarchy>
    <cacheHierarchy uniqueName="[Europe_Sales_Records].[Item Type]" caption="Item Type" attribute="1" defaultMemberUniqueName="[Europe_Sales_Records].[Item Type].[All]" allUniqueName="[Europe_Sales_Records].[Item Type].[All]" dimensionUniqueName="[Europe_Sales_Records]" displayFolder="" count="2" memberValueDatatype="130" unbalanced="0">
      <fieldsUsage count="2">
        <fieldUsage x="-1"/>
        <fieldUsage x="1"/>
      </fieldsUsage>
    </cacheHierarchy>
    <cacheHierarchy uniqueName="[Europe_Sales_Records].[Sales Channel]" caption="Sales Channel" attribute="1" defaultMemberUniqueName="[Europe_Sales_Records].[Sales Channel].[All]" allUniqueName="[Europe_Sales_Records].[Sales Channel].[All]" dimensionUniqueName="[Europe_Sales_Records]" displayFolder="" count="2" memberValueDatatype="130" unbalanced="0">
      <fieldsUsage count="2">
        <fieldUsage x="-1"/>
        <fieldUsage x="0"/>
      </fieldsUsage>
    </cacheHierarchy>
    <cacheHierarchy uniqueName="[Europe_Sales_Records].[Order Priority]" caption="Order Priority" attribute="1" defaultMemberUniqueName="[Europe_Sales_Records].[Order Priority].[All]" allUniqueName="[Europe_Sales_Records].[Order Priority].[All]" dimensionUniqueName="[Europe_Sales_Records]" displayFolder="" count="0" memberValueDatatype="130" unbalanced="0"/>
    <cacheHierarchy uniqueName="[Europe_Sales_Records].[Order Date]" caption="Order Date" attribute="1" time="1" defaultMemberUniqueName="[Europe_Sales_Records].[Order Date].[All]" allUniqueName="[Europe_Sales_Records].[Order Date].[All]" dimensionUniqueName="[Europe_Sales_Records]" displayFolder="" count="0" memberValueDatatype="7" unbalanced="0"/>
    <cacheHierarchy uniqueName="[Europe_Sales_Records].[Order ID]" caption="Order ID" attribute="1" defaultMemberUniqueName="[Europe_Sales_Records].[Order ID].[All]" allUniqueName="[Europe_Sales_Records].[Order ID].[All]" dimensionUniqueName="[Europe_Sales_Records]" displayFolder="" count="0" memberValueDatatype="130" unbalanced="0"/>
    <cacheHierarchy uniqueName="[Europe_Sales_Records].[Ship Date]" caption="Ship Date" attribute="1" time="1" defaultMemberUniqueName="[Europe_Sales_Records].[Ship Date].[All]" allUniqueName="[Europe_Sales_Records].[Ship Date].[All]" dimensionUniqueName="[Europe_Sales_Records]" displayFolder="" count="0" memberValueDatatype="7" unbalanced="0"/>
    <cacheHierarchy uniqueName="[Europe_Sales_Records].[Shipping Time]" caption="Shipping Time" attribute="1" defaultMemberUniqueName="[Europe_Sales_Records].[Shipping Time].[All]" allUniqueName="[Europe_Sales_Records].[Shipping Time].[All]" dimensionUniqueName="[Europe_Sales_Records]" displayFolder="" count="0" memberValueDatatype="20" unbalanced="0"/>
    <cacheHierarchy uniqueName="[Europe_Sales_Records].[Units Sold]" caption="Units Sold" attribute="1" defaultMemberUniqueName="[Europe_Sales_Records].[Units Sold].[All]" allUniqueName="[Europe_Sales_Records].[Units Sold].[All]" dimensionUniqueName="[Europe_Sales_Records]" displayFolder="" count="0" memberValueDatatype="20" unbalanced="0"/>
    <cacheHierarchy uniqueName="[Europe_Sales_Records].[Unit Price]" caption="Unit Price" attribute="1" defaultMemberUniqueName="[Europe_Sales_Records].[Unit Price].[All]" allUniqueName="[Europe_Sales_Records].[Unit Price].[All]" dimensionUniqueName="[Europe_Sales_Records]" displayFolder="" count="0" memberValueDatatype="5" unbalanced="0"/>
    <cacheHierarchy uniqueName="[Europe_Sales_Records].[Unit Cost]" caption="Unit Cost" attribute="1" defaultMemberUniqueName="[Europe_Sales_Records].[Unit Cost].[All]" allUniqueName="[Europe_Sales_Records].[Unit Cost].[All]" dimensionUniqueName="[Europe_Sales_Records]" displayFolder="" count="0" memberValueDatatype="5" unbalanced="0"/>
    <cacheHierarchy uniqueName="[Europe_Sales_Records].[Unit Profit]" caption="Unit Profit" attribute="1" defaultMemberUniqueName="[Europe_Sales_Records].[Unit Profit].[All]" allUniqueName="[Europe_Sales_Records].[Unit Profit].[All]" dimensionUniqueName="[Europe_Sales_Records]" displayFolder="" count="0" memberValueDatatype="5" unbalanced="0"/>
    <cacheHierarchy uniqueName="[Europe_Sales_Records].[Total Revenue]" caption="Total Revenue" attribute="1" defaultMemberUniqueName="[Europe_Sales_Records].[Total Revenue].[All]" allUniqueName="[Europe_Sales_Records].[Total Revenue].[All]" dimensionUniqueName="[Europe_Sales_Records]" displayFolder="" count="0" memberValueDatatype="5" unbalanced="0"/>
    <cacheHierarchy uniqueName="[Europe_Sales_Records].[Total Cost]" caption="Total Cost" attribute="1" defaultMemberUniqueName="[Europe_Sales_Records].[Total Cost].[All]" allUniqueName="[Europe_Sales_Records].[Total Cost].[All]" dimensionUniqueName="[Europe_Sales_Records]" displayFolder="" count="0" memberValueDatatype="5" unbalanced="0"/>
    <cacheHierarchy uniqueName="[Europe_Sales_Records].[Total Profit]" caption="Total Profit" attribute="1" defaultMemberUniqueName="[Europe_Sales_Records].[Total Profit].[All]" allUniqueName="[Europe_Sales_Records].[Total Profit].[All]" dimensionUniqueName="[Europe_Sales_Records]" displayFolder="" count="0" memberValueDatatype="5" unbalanced="0"/>
    <cacheHierarchy uniqueName="[Europe_Sales_Records].[Order Date (Year)]" caption="Order Date (Year)" attribute="1" defaultMemberUniqueName="[Europe_Sales_Records].[Order Date (Year)].[All]" allUniqueName="[Europe_Sales_Records].[Order Date (Year)].[All]" dimensionUniqueName="[Europe_Sales_Records]" displayFolder="" count="2" memberValueDatatype="130" unbalanced="0">
      <fieldsUsage count="2">
        <fieldUsage x="-1"/>
        <fieldUsage x="3"/>
      </fieldsUsage>
    </cacheHierarchy>
    <cacheHierarchy uniqueName="[Europe_Sales_Records].[Order Date (Month)]" caption="Order Date (Month)" attribute="1" defaultMemberUniqueName="[Europe_Sales_Records].[Order Date (Month)].[All]" allUniqueName="[Europe_Sales_Records].[Order Date (Month)].[All]" dimensionUniqueName="[Europe_Sales_Records]" displayFolder="" count="0" memberValueDatatype="130" unbalanced="0"/>
    <cacheHierarchy uniqueName="[Europe_Sales_Records].[Order Date (Month Index)]" caption="Order Date (Month Index)" attribute="1" defaultMemberUniqueName="[Europe_Sales_Records].[Order Date (Month Index)].[All]" allUniqueName="[Europe_Sales_Records].[Order Date (Month Index)].[All]" dimensionUniqueName="[Europe_Sales_Records]" displayFolder="" count="0" memberValueDatatype="20" unbalanced="0" hidden="1"/>
    <cacheHierarchy uniqueName="[Measures].[__XL_Count Europe_Sales_Records]" caption="__XL_Count Europe_Sales_Records" measure="1" displayFolder="" measureGroup="Europe_Sales_Records" count="0" hidden="1"/>
    <cacheHierarchy uniqueName="[Measures].[__No measures defined]" caption="__No measures defined" measure="1" displayFolder="" count="0" hidden="1"/>
    <cacheHierarchy uniqueName="[Measures].[Count of Total Profit]" caption="Count of Total Profit" measure="1" displayFolder="" measureGroup="Europe_Sales_Records" count="0" hidden="1">
      <extLst>
        <ext xmlns:x15="http://schemas.microsoft.com/office/spreadsheetml/2010/11/main" uri="{B97F6D7D-B522-45F9-BDA1-12C45D357490}">
          <x15:cacheHierarchy aggregatedColumn="15"/>
        </ext>
      </extLst>
    </cacheHierarchy>
    <cacheHierarchy uniqueName="[Measures].[Count of Total Revenue]" caption="Count of Total Revenue" measure="1" displayFolder="" measureGroup="Europe_Sales_Records" count="0" hidden="1">
      <extLst>
        <ext xmlns:x15="http://schemas.microsoft.com/office/spreadsheetml/2010/11/main" uri="{B97F6D7D-B522-45F9-BDA1-12C45D357490}">
          <x15:cacheHierarchy aggregatedColumn="13"/>
        </ext>
      </extLst>
    </cacheHierarchy>
    <cacheHierarchy uniqueName="[Measures].[Count of Total Cost]" caption="Count of Total Cost" measure="1" displayFolder="" measureGroup="Europe_Sales_Records" count="0" hidden="1">
      <extLst>
        <ext xmlns:x15="http://schemas.microsoft.com/office/spreadsheetml/2010/11/main" uri="{B97F6D7D-B522-45F9-BDA1-12C45D357490}">
          <x15:cacheHierarchy aggregatedColumn="14"/>
        </ext>
      </extLst>
    </cacheHierarchy>
    <cacheHierarchy uniqueName="[Measures].[Count of Order Priority]" caption="Count of Order Priority" measure="1" displayFolder="" measureGroup="Europe_Sales_Records" count="0" hidden="1">
      <extLst>
        <ext xmlns:x15="http://schemas.microsoft.com/office/spreadsheetml/2010/11/main" uri="{B97F6D7D-B522-45F9-BDA1-12C45D357490}">
          <x15:cacheHierarchy aggregatedColumn="4"/>
        </ext>
      </extLst>
    </cacheHierarchy>
    <cacheHierarchy uniqueName="[Measures].[Count of Units Sold]" caption="Count of Units Sold" measure="1" displayFolder="" measureGroup="Europe_Sales_Records" count="0" hidden="1">
      <extLst>
        <ext xmlns:x15="http://schemas.microsoft.com/office/spreadsheetml/2010/11/main" uri="{B97F6D7D-B522-45F9-BDA1-12C45D357490}">
          <x15:cacheHierarchy aggregatedColumn="9"/>
        </ext>
      </extLst>
    </cacheHierarchy>
    <cacheHierarchy uniqueName="[Measures].[Sum of Total Revenue]" caption="Sum of Total Revenue" measure="1" displayFolder="" measureGroup="Europe_Sales_Records"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Europe_Sales_Records" count="0" hidden="1">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Europe_Sales_Records" count="0" hidden="1">
      <extLst>
        <ext xmlns:x15="http://schemas.microsoft.com/office/spreadsheetml/2010/11/main" uri="{B97F6D7D-B522-45F9-BDA1-12C45D357490}">
          <x15:cacheHierarchy aggregatedColumn="9"/>
        </ext>
      </extLst>
    </cacheHierarchy>
    <cacheHierarchy uniqueName="[Measures].[Sum of Unit Profit]" caption="Sum of Unit Profit" measure="1" displayFolder="" measureGroup="Europe_Sales_Records" count="0" hidden="1">
      <extLst>
        <ext xmlns:x15="http://schemas.microsoft.com/office/spreadsheetml/2010/11/main" uri="{B97F6D7D-B522-45F9-BDA1-12C45D357490}">
          <x15:cacheHierarchy aggregatedColumn="12"/>
        </ext>
      </extLst>
    </cacheHierarchy>
    <cacheHierarchy uniqueName="[Measures].[Sum of Unit Cost]" caption="Sum of Unit Cost" measure="1" displayFolder="" measureGroup="Europe_Sales_Records" count="0" hidden="1">
      <extLst>
        <ext xmlns:x15="http://schemas.microsoft.com/office/spreadsheetml/2010/11/main" uri="{B97F6D7D-B522-45F9-BDA1-12C45D357490}">
          <x15:cacheHierarchy aggregatedColumn="11"/>
        </ext>
      </extLst>
    </cacheHierarchy>
    <cacheHierarchy uniqueName="[Measures].[Count of Unit Cost]" caption="Count of Unit Cost" measure="1" displayFolder="" measureGroup="Europe_Sales_Records" count="0" hidden="1">
      <extLst>
        <ext xmlns:x15="http://schemas.microsoft.com/office/spreadsheetml/2010/11/main" uri="{B97F6D7D-B522-45F9-BDA1-12C45D357490}">
          <x15:cacheHierarchy aggregatedColumn="11"/>
        </ext>
      </extLst>
    </cacheHierarchy>
    <cacheHierarchy uniqueName="[Measures].[Sum of Unit Price]" caption="Sum of Unit Price" measure="1" displayFolder="" measureGroup="Europe_Sales_Records" count="0" hidden="1">
      <extLst>
        <ext xmlns:x15="http://schemas.microsoft.com/office/spreadsheetml/2010/11/main" uri="{B97F6D7D-B522-45F9-BDA1-12C45D357490}">
          <x15:cacheHierarchy aggregatedColumn="10"/>
        </ext>
      </extLst>
    </cacheHierarchy>
    <cacheHierarchy uniqueName="[Measures].[Sum of Total Cost]" caption="Sum of Total Cost" measure="1" displayFolder="" measureGroup="Europe_Sales_Records" count="0" hidden="1">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Europe_Sales_Records" count="0" hidden="1">
      <extLst>
        <ext xmlns:x15="http://schemas.microsoft.com/office/spreadsheetml/2010/11/main" uri="{B97F6D7D-B522-45F9-BDA1-12C45D357490}">
          <x15:cacheHierarchy aggregatedColumn="1"/>
        </ext>
      </extLst>
    </cacheHierarchy>
    <cacheHierarchy uniqueName="[Measures].[Sum of Shipping Time]" caption="Sum of Shipping Time" measure="1" displayFolder="" measureGroup="Europe_Sales_Records" count="0" hidden="1">
      <extLst>
        <ext xmlns:x15="http://schemas.microsoft.com/office/spreadsheetml/2010/11/main" uri="{B97F6D7D-B522-45F9-BDA1-12C45D357490}">
          <x15:cacheHierarchy aggregatedColumn="8"/>
        </ext>
      </extLst>
    </cacheHierarchy>
  </cacheHierarchies>
  <kpis count="0"/>
  <dimensions count="2">
    <dimension name="Europe_Sales_Records" uniqueName="[Europe_Sales_Records]" caption="Europe_Sales_Records"/>
    <dimension measure="1" name="Measures" uniqueName="[Measures]" caption="Measures"/>
  </dimensions>
  <measureGroups count="1">
    <measureGroup name="Europe_Sales_Records" caption="Europe_Sales_Recor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a&amp;Marina" refreshedDate="46146.147625578706" backgroundQuery="1" createdVersion="8" refreshedVersion="8" minRefreshableVersion="3" recordCount="0" supportSubquery="1" supportAdvancedDrill="1" xr:uid="{B18AAA38-90FE-4DEF-9EF0-33244F8778C3}">
  <cacheSource type="external" connectionId="2"/>
  <cacheFields count="3">
    <cacheField name="[Europe_Sales_Records].[Country].[Country]" caption="Country" numFmtId="0" hierarchy="1" level="1">
      <sharedItems count="9">
        <s v="Croatia"/>
        <s v="Cyprus"/>
        <s v="Czech Republic"/>
        <s v="Denmark"/>
        <s v="Estonia"/>
        <s v="Finland"/>
        <s v="France"/>
        <s v="Georgia"/>
        <s v="Germany"/>
      </sharedItems>
    </cacheField>
    <cacheField name="[Measures].[Sum of Total Revenue]" caption="Sum of Total Revenue" numFmtId="0" hierarchy="26" level="32767"/>
    <cacheField name="[Europe_Sales_Records].[Order Date (Year)].[Order Date (Year)]" caption="Order Date (Year)" numFmtId="0" hierarchy="16" level="1">
      <sharedItems containsSemiMixedTypes="0" containsNonDate="0" containsString="0"/>
    </cacheField>
  </cacheFields>
  <cacheHierarchies count="36">
    <cacheHierarchy uniqueName="[Europe_Sales_Records].[Region]" caption="Region" attribute="1" defaultMemberUniqueName="[Europe_Sales_Records].[Region].[All]" allUniqueName="[Europe_Sales_Records].[Region].[All]" dimensionUniqueName="[Europe_Sales_Records]" displayFolder="" count="0" memberValueDatatype="130" unbalanced="0"/>
    <cacheHierarchy uniqueName="[Europe_Sales_Records].[Country]" caption="Country" attribute="1" defaultMemberUniqueName="[Europe_Sales_Records].[Country].[All]" allUniqueName="[Europe_Sales_Records].[Country].[All]" dimensionUniqueName="[Europe_Sales_Records]" displayFolder="" count="2" memberValueDatatype="130" unbalanced="0">
      <fieldsUsage count="2">
        <fieldUsage x="-1"/>
        <fieldUsage x="0"/>
      </fieldsUsage>
    </cacheHierarchy>
    <cacheHierarchy uniqueName="[Europe_Sales_Records].[Item Type]" caption="Item Type" attribute="1" defaultMemberUniqueName="[Europe_Sales_Records].[Item Type].[All]" allUniqueName="[Europe_Sales_Records].[Item Type].[All]" dimensionUniqueName="[Europe_Sales_Records]" displayFolder="" count="0" memberValueDatatype="130" unbalanced="0"/>
    <cacheHierarchy uniqueName="[Europe_Sales_Records].[Sales Channel]" caption="Sales Channel" attribute="1" defaultMemberUniqueName="[Europe_Sales_Records].[Sales Channel].[All]" allUniqueName="[Europe_Sales_Records].[Sales Channel].[All]" dimensionUniqueName="[Europe_Sales_Records]" displayFolder="" count="0" memberValueDatatype="130" unbalanced="0"/>
    <cacheHierarchy uniqueName="[Europe_Sales_Records].[Order Priority]" caption="Order Priority" attribute="1" defaultMemberUniqueName="[Europe_Sales_Records].[Order Priority].[All]" allUniqueName="[Europe_Sales_Records].[Order Priority].[All]" dimensionUniqueName="[Europe_Sales_Records]" displayFolder="" count="0" memberValueDatatype="130" unbalanced="0"/>
    <cacheHierarchy uniqueName="[Europe_Sales_Records].[Order Date]" caption="Order Date" attribute="1" time="1" defaultMemberUniqueName="[Europe_Sales_Records].[Order Date].[All]" allUniqueName="[Europe_Sales_Records].[Order Date].[All]" dimensionUniqueName="[Europe_Sales_Records]" displayFolder="" count="0" memberValueDatatype="7" unbalanced="0"/>
    <cacheHierarchy uniqueName="[Europe_Sales_Records].[Order ID]" caption="Order ID" attribute="1" defaultMemberUniqueName="[Europe_Sales_Records].[Order ID].[All]" allUniqueName="[Europe_Sales_Records].[Order ID].[All]" dimensionUniqueName="[Europe_Sales_Records]" displayFolder="" count="0" memberValueDatatype="130" unbalanced="0"/>
    <cacheHierarchy uniqueName="[Europe_Sales_Records].[Ship Date]" caption="Ship Date" attribute="1" time="1" defaultMemberUniqueName="[Europe_Sales_Records].[Ship Date].[All]" allUniqueName="[Europe_Sales_Records].[Ship Date].[All]" dimensionUniqueName="[Europe_Sales_Records]" displayFolder="" count="0" memberValueDatatype="7" unbalanced="0"/>
    <cacheHierarchy uniqueName="[Europe_Sales_Records].[Shipping Time]" caption="Shipping Time" attribute="1" defaultMemberUniqueName="[Europe_Sales_Records].[Shipping Time].[All]" allUniqueName="[Europe_Sales_Records].[Shipping Time].[All]" dimensionUniqueName="[Europe_Sales_Records]" displayFolder="" count="0" memberValueDatatype="20" unbalanced="0"/>
    <cacheHierarchy uniqueName="[Europe_Sales_Records].[Units Sold]" caption="Units Sold" attribute="1" defaultMemberUniqueName="[Europe_Sales_Records].[Units Sold].[All]" allUniqueName="[Europe_Sales_Records].[Units Sold].[All]" dimensionUniqueName="[Europe_Sales_Records]" displayFolder="" count="0" memberValueDatatype="20" unbalanced="0"/>
    <cacheHierarchy uniqueName="[Europe_Sales_Records].[Unit Price]" caption="Unit Price" attribute="1" defaultMemberUniqueName="[Europe_Sales_Records].[Unit Price].[All]" allUniqueName="[Europe_Sales_Records].[Unit Price].[All]" dimensionUniqueName="[Europe_Sales_Records]" displayFolder="" count="0" memberValueDatatype="5" unbalanced="0"/>
    <cacheHierarchy uniqueName="[Europe_Sales_Records].[Unit Cost]" caption="Unit Cost" attribute="1" defaultMemberUniqueName="[Europe_Sales_Records].[Unit Cost].[All]" allUniqueName="[Europe_Sales_Records].[Unit Cost].[All]" dimensionUniqueName="[Europe_Sales_Records]" displayFolder="" count="0" memberValueDatatype="5" unbalanced="0"/>
    <cacheHierarchy uniqueName="[Europe_Sales_Records].[Unit Profit]" caption="Unit Profit" attribute="1" defaultMemberUniqueName="[Europe_Sales_Records].[Unit Profit].[All]" allUniqueName="[Europe_Sales_Records].[Unit Profit].[All]" dimensionUniqueName="[Europe_Sales_Records]" displayFolder="" count="0" memberValueDatatype="5" unbalanced="0"/>
    <cacheHierarchy uniqueName="[Europe_Sales_Records].[Total Revenue]" caption="Total Revenue" attribute="1" defaultMemberUniqueName="[Europe_Sales_Records].[Total Revenue].[All]" allUniqueName="[Europe_Sales_Records].[Total Revenue].[All]" dimensionUniqueName="[Europe_Sales_Records]" displayFolder="" count="0" memberValueDatatype="5" unbalanced="0"/>
    <cacheHierarchy uniqueName="[Europe_Sales_Records].[Total Cost]" caption="Total Cost" attribute="1" defaultMemberUniqueName="[Europe_Sales_Records].[Total Cost].[All]" allUniqueName="[Europe_Sales_Records].[Total Cost].[All]" dimensionUniqueName="[Europe_Sales_Records]" displayFolder="" count="0" memberValueDatatype="5" unbalanced="0"/>
    <cacheHierarchy uniqueName="[Europe_Sales_Records].[Total Profit]" caption="Total Profit" attribute="1" defaultMemberUniqueName="[Europe_Sales_Records].[Total Profit].[All]" allUniqueName="[Europe_Sales_Records].[Total Profit].[All]" dimensionUniqueName="[Europe_Sales_Records]" displayFolder="" count="0" memberValueDatatype="5" unbalanced="0"/>
    <cacheHierarchy uniqueName="[Europe_Sales_Records].[Order Date (Year)]" caption="Order Date (Year)" attribute="1" defaultMemberUniqueName="[Europe_Sales_Records].[Order Date (Year)].[All]" allUniqueName="[Europe_Sales_Records].[Order Date (Year)].[All]" dimensionUniqueName="[Europe_Sales_Records]" displayFolder="" count="2" memberValueDatatype="130" unbalanced="0">
      <fieldsUsage count="2">
        <fieldUsage x="-1"/>
        <fieldUsage x="2"/>
      </fieldsUsage>
    </cacheHierarchy>
    <cacheHierarchy uniqueName="[Europe_Sales_Records].[Order Date (Month)]" caption="Order Date (Month)" attribute="1" defaultMemberUniqueName="[Europe_Sales_Records].[Order Date (Month)].[All]" allUniqueName="[Europe_Sales_Records].[Order Date (Month)].[All]" dimensionUniqueName="[Europe_Sales_Records]" displayFolder="" count="0" memberValueDatatype="130" unbalanced="0"/>
    <cacheHierarchy uniqueName="[Europe_Sales_Records].[Order Date (Month Index)]" caption="Order Date (Month Index)" attribute="1" defaultMemberUniqueName="[Europe_Sales_Records].[Order Date (Month Index)].[All]" allUniqueName="[Europe_Sales_Records].[Order Date (Month Index)].[All]" dimensionUniqueName="[Europe_Sales_Records]" displayFolder="" count="0" memberValueDatatype="20" unbalanced="0" hidden="1"/>
    <cacheHierarchy uniqueName="[Measures].[__XL_Count Europe_Sales_Records]" caption="__XL_Count Europe_Sales_Records" measure="1" displayFolder="" measureGroup="Europe_Sales_Records" count="0" hidden="1"/>
    <cacheHierarchy uniqueName="[Measures].[__No measures defined]" caption="__No measures defined" measure="1" displayFolder="" count="0" hidden="1"/>
    <cacheHierarchy uniqueName="[Measures].[Count of Total Profit]" caption="Count of Total Profit" measure="1" displayFolder="" measureGroup="Europe_Sales_Records" count="0" hidden="1">
      <extLst>
        <ext xmlns:x15="http://schemas.microsoft.com/office/spreadsheetml/2010/11/main" uri="{B97F6D7D-B522-45F9-BDA1-12C45D357490}">
          <x15:cacheHierarchy aggregatedColumn="15"/>
        </ext>
      </extLst>
    </cacheHierarchy>
    <cacheHierarchy uniqueName="[Measures].[Count of Total Revenue]" caption="Count of Total Revenue" measure="1" displayFolder="" measureGroup="Europe_Sales_Records" count="0" hidden="1">
      <extLst>
        <ext xmlns:x15="http://schemas.microsoft.com/office/spreadsheetml/2010/11/main" uri="{B97F6D7D-B522-45F9-BDA1-12C45D357490}">
          <x15:cacheHierarchy aggregatedColumn="13"/>
        </ext>
      </extLst>
    </cacheHierarchy>
    <cacheHierarchy uniqueName="[Measures].[Count of Total Cost]" caption="Count of Total Cost" measure="1" displayFolder="" measureGroup="Europe_Sales_Records" count="0" hidden="1">
      <extLst>
        <ext xmlns:x15="http://schemas.microsoft.com/office/spreadsheetml/2010/11/main" uri="{B97F6D7D-B522-45F9-BDA1-12C45D357490}">
          <x15:cacheHierarchy aggregatedColumn="14"/>
        </ext>
      </extLst>
    </cacheHierarchy>
    <cacheHierarchy uniqueName="[Measures].[Count of Order Priority]" caption="Count of Order Priority" measure="1" displayFolder="" measureGroup="Europe_Sales_Records" count="0" hidden="1">
      <extLst>
        <ext xmlns:x15="http://schemas.microsoft.com/office/spreadsheetml/2010/11/main" uri="{B97F6D7D-B522-45F9-BDA1-12C45D357490}">
          <x15:cacheHierarchy aggregatedColumn="4"/>
        </ext>
      </extLst>
    </cacheHierarchy>
    <cacheHierarchy uniqueName="[Measures].[Count of Units Sold]" caption="Count of Units Sold" measure="1" displayFolder="" measureGroup="Europe_Sales_Records" count="0" hidden="1">
      <extLst>
        <ext xmlns:x15="http://schemas.microsoft.com/office/spreadsheetml/2010/11/main" uri="{B97F6D7D-B522-45F9-BDA1-12C45D357490}">
          <x15:cacheHierarchy aggregatedColumn="9"/>
        </ext>
      </extLst>
    </cacheHierarchy>
    <cacheHierarchy uniqueName="[Measures].[Sum of Total Revenue]" caption="Sum of Total Revenue" measure="1" displayFolder="" measureGroup="Europe_Sales_Records"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Europe_Sales_Records" count="0" hidden="1">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Europe_Sales_Records" count="0" hidden="1">
      <extLst>
        <ext xmlns:x15="http://schemas.microsoft.com/office/spreadsheetml/2010/11/main" uri="{B97F6D7D-B522-45F9-BDA1-12C45D357490}">
          <x15:cacheHierarchy aggregatedColumn="9"/>
        </ext>
      </extLst>
    </cacheHierarchy>
    <cacheHierarchy uniqueName="[Measures].[Sum of Unit Profit]" caption="Sum of Unit Profit" measure="1" displayFolder="" measureGroup="Europe_Sales_Records" count="0" hidden="1">
      <extLst>
        <ext xmlns:x15="http://schemas.microsoft.com/office/spreadsheetml/2010/11/main" uri="{B97F6D7D-B522-45F9-BDA1-12C45D357490}">
          <x15:cacheHierarchy aggregatedColumn="12"/>
        </ext>
      </extLst>
    </cacheHierarchy>
    <cacheHierarchy uniqueName="[Measures].[Sum of Unit Cost]" caption="Sum of Unit Cost" measure="1" displayFolder="" measureGroup="Europe_Sales_Records" count="0" hidden="1">
      <extLst>
        <ext xmlns:x15="http://schemas.microsoft.com/office/spreadsheetml/2010/11/main" uri="{B97F6D7D-B522-45F9-BDA1-12C45D357490}">
          <x15:cacheHierarchy aggregatedColumn="11"/>
        </ext>
      </extLst>
    </cacheHierarchy>
    <cacheHierarchy uniqueName="[Measures].[Count of Unit Cost]" caption="Count of Unit Cost" measure="1" displayFolder="" measureGroup="Europe_Sales_Records" count="0" hidden="1">
      <extLst>
        <ext xmlns:x15="http://schemas.microsoft.com/office/spreadsheetml/2010/11/main" uri="{B97F6D7D-B522-45F9-BDA1-12C45D357490}">
          <x15:cacheHierarchy aggregatedColumn="11"/>
        </ext>
      </extLst>
    </cacheHierarchy>
    <cacheHierarchy uniqueName="[Measures].[Sum of Unit Price]" caption="Sum of Unit Price" measure="1" displayFolder="" measureGroup="Europe_Sales_Records" count="0" hidden="1">
      <extLst>
        <ext xmlns:x15="http://schemas.microsoft.com/office/spreadsheetml/2010/11/main" uri="{B97F6D7D-B522-45F9-BDA1-12C45D357490}">
          <x15:cacheHierarchy aggregatedColumn="10"/>
        </ext>
      </extLst>
    </cacheHierarchy>
    <cacheHierarchy uniqueName="[Measures].[Sum of Total Cost]" caption="Sum of Total Cost" measure="1" displayFolder="" measureGroup="Europe_Sales_Records" count="0" hidden="1">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Europe_Sales_Records" count="0" hidden="1">
      <extLst>
        <ext xmlns:x15="http://schemas.microsoft.com/office/spreadsheetml/2010/11/main" uri="{B97F6D7D-B522-45F9-BDA1-12C45D357490}">
          <x15:cacheHierarchy aggregatedColumn="1"/>
        </ext>
      </extLst>
    </cacheHierarchy>
    <cacheHierarchy uniqueName="[Measures].[Sum of Shipping Time]" caption="Sum of Shipping Time" measure="1" displayFolder="" measureGroup="Europe_Sales_Records" count="0" hidden="1">
      <extLst>
        <ext xmlns:x15="http://schemas.microsoft.com/office/spreadsheetml/2010/11/main" uri="{B97F6D7D-B522-45F9-BDA1-12C45D357490}">
          <x15:cacheHierarchy aggregatedColumn="8"/>
        </ext>
      </extLst>
    </cacheHierarchy>
  </cacheHierarchies>
  <kpis count="0"/>
  <dimensions count="2">
    <dimension name="Europe_Sales_Records" uniqueName="[Europe_Sales_Records]" caption="Europe_Sales_Records"/>
    <dimension measure="1" name="Measures" uniqueName="[Measures]" caption="Measures"/>
  </dimensions>
  <measureGroups count="1">
    <measureGroup name="Europe_Sales_Records" caption="Europe_Sales_Recor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a&amp;Marina" refreshedDate="46146.147626157406" backgroundQuery="1" createdVersion="8" refreshedVersion="8" minRefreshableVersion="3" recordCount="0" supportSubquery="1" supportAdvancedDrill="1" xr:uid="{EDCF1025-BCBA-4024-8B9E-7112990FB7E7}">
  <cacheSource type="external" connectionId="2"/>
  <cacheFields count="5">
    <cacheField name="[Europe_Sales_Records].[Item Type].[Item Type]" caption="Item Type" numFmtId="0" hierarchy="2" level="1">
      <sharedItems count="11">
        <s v="Baby Food"/>
        <s v="Beverages"/>
        <s v="Cereal"/>
        <s v="Clothes"/>
        <s v="Cosmetics"/>
        <s v="Fruits"/>
        <s v="Household"/>
        <s v="Meat"/>
        <s v="Office Supplies"/>
        <s v="Personal Care"/>
        <s v="Snacks"/>
      </sharedItems>
    </cacheField>
    <cacheField name="[Europe_Sales_Records].[Order Priority].[Order Priority]" caption="Order Priority" numFmtId="0" hierarchy="4" level="1">
      <sharedItems count="4">
        <s v="C"/>
        <s v="H"/>
        <s v="L"/>
        <s v="M"/>
      </sharedItems>
    </cacheField>
    <cacheField name="[Measures].[Sum of Total Revenue]" caption="Sum of Total Revenue" numFmtId="0" hierarchy="26" level="32767"/>
    <cacheField name="[Europe_Sales_Records].[Order Date (Year)].[Order Date (Year)]" caption="Order Date (Year)" numFmtId="0" hierarchy="16" level="1">
      <sharedItems containsSemiMixedTypes="0" containsNonDate="0" containsString="0"/>
    </cacheField>
    <cacheField name="[Europe_Sales_Records].[Country].[Country]" caption="Country" numFmtId="0" hierarchy="1" level="1">
      <sharedItems containsSemiMixedTypes="0" containsNonDate="0" containsString="0"/>
    </cacheField>
  </cacheFields>
  <cacheHierarchies count="36">
    <cacheHierarchy uniqueName="[Europe_Sales_Records].[Region]" caption="Region" attribute="1" defaultMemberUniqueName="[Europe_Sales_Records].[Region].[All]" allUniqueName="[Europe_Sales_Records].[Region].[All]" dimensionUniqueName="[Europe_Sales_Records]" displayFolder="" count="0" memberValueDatatype="130" unbalanced="0"/>
    <cacheHierarchy uniqueName="[Europe_Sales_Records].[Country]" caption="Country" attribute="1" defaultMemberUniqueName="[Europe_Sales_Records].[Country].[All]" allUniqueName="[Europe_Sales_Records].[Country].[All]" dimensionUniqueName="[Europe_Sales_Records]" displayFolder="" count="2" memberValueDatatype="130" unbalanced="0">
      <fieldsUsage count="2">
        <fieldUsage x="-1"/>
        <fieldUsage x="4"/>
      </fieldsUsage>
    </cacheHierarchy>
    <cacheHierarchy uniqueName="[Europe_Sales_Records].[Item Type]" caption="Item Type" attribute="1" defaultMemberUniqueName="[Europe_Sales_Records].[Item Type].[All]" allUniqueName="[Europe_Sales_Records].[Item Type].[All]" dimensionUniqueName="[Europe_Sales_Records]" displayFolder="" count="2" memberValueDatatype="130" unbalanced="0">
      <fieldsUsage count="2">
        <fieldUsage x="-1"/>
        <fieldUsage x="0"/>
      </fieldsUsage>
    </cacheHierarchy>
    <cacheHierarchy uniqueName="[Europe_Sales_Records].[Sales Channel]" caption="Sales Channel" attribute="1" defaultMemberUniqueName="[Europe_Sales_Records].[Sales Channel].[All]" allUniqueName="[Europe_Sales_Records].[Sales Channel].[All]" dimensionUniqueName="[Europe_Sales_Records]" displayFolder="" count="0" memberValueDatatype="130" unbalanced="0"/>
    <cacheHierarchy uniqueName="[Europe_Sales_Records].[Order Priority]" caption="Order Priority" attribute="1" defaultMemberUniqueName="[Europe_Sales_Records].[Order Priority].[All]" allUniqueName="[Europe_Sales_Records].[Order Priority].[All]" dimensionUniqueName="[Europe_Sales_Records]" displayFolder="" count="2" memberValueDatatype="130" unbalanced="0">
      <fieldsUsage count="2">
        <fieldUsage x="-1"/>
        <fieldUsage x="1"/>
      </fieldsUsage>
    </cacheHierarchy>
    <cacheHierarchy uniqueName="[Europe_Sales_Records].[Order Date]" caption="Order Date" attribute="1" time="1" defaultMemberUniqueName="[Europe_Sales_Records].[Order Date].[All]" allUniqueName="[Europe_Sales_Records].[Order Date].[All]" dimensionUniqueName="[Europe_Sales_Records]" displayFolder="" count="0" memberValueDatatype="7" unbalanced="0"/>
    <cacheHierarchy uniqueName="[Europe_Sales_Records].[Order ID]" caption="Order ID" attribute="1" defaultMemberUniqueName="[Europe_Sales_Records].[Order ID].[All]" allUniqueName="[Europe_Sales_Records].[Order ID].[All]" dimensionUniqueName="[Europe_Sales_Records]" displayFolder="" count="0" memberValueDatatype="130" unbalanced="0"/>
    <cacheHierarchy uniqueName="[Europe_Sales_Records].[Ship Date]" caption="Ship Date" attribute="1" time="1" defaultMemberUniqueName="[Europe_Sales_Records].[Ship Date].[All]" allUniqueName="[Europe_Sales_Records].[Ship Date].[All]" dimensionUniqueName="[Europe_Sales_Records]" displayFolder="" count="0" memberValueDatatype="7" unbalanced="0"/>
    <cacheHierarchy uniqueName="[Europe_Sales_Records].[Shipping Time]" caption="Shipping Time" attribute="1" defaultMemberUniqueName="[Europe_Sales_Records].[Shipping Time].[All]" allUniqueName="[Europe_Sales_Records].[Shipping Time].[All]" dimensionUniqueName="[Europe_Sales_Records]" displayFolder="" count="0" memberValueDatatype="20" unbalanced="0"/>
    <cacheHierarchy uniqueName="[Europe_Sales_Records].[Units Sold]" caption="Units Sold" attribute="1" defaultMemberUniqueName="[Europe_Sales_Records].[Units Sold].[All]" allUniqueName="[Europe_Sales_Records].[Units Sold].[All]" dimensionUniqueName="[Europe_Sales_Records]" displayFolder="" count="0" memberValueDatatype="20" unbalanced="0"/>
    <cacheHierarchy uniqueName="[Europe_Sales_Records].[Unit Price]" caption="Unit Price" attribute="1" defaultMemberUniqueName="[Europe_Sales_Records].[Unit Price].[All]" allUniqueName="[Europe_Sales_Records].[Unit Price].[All]" dimensionUniqueName="[Europe_Sales_Records]" displayFolder="" count="0" memberValueDatatype="5" unbalanced="0"/>
    <cacheHierarchy uniqueName="[Europe_Sales_Records].[Unit Cost]" caption="Unit Cost" attribute="1" defaultMemberUniqueName="[Europe_Sales_Records].[Unit Cost].[All]" allUniqueName="[Europe_Sales_Records].[Unit Cost].[All]" dimensionUniqueName="[Europe_Sales_Records]" displayFolder="" count="0" memberValueDatatype="5" unbalanced="0"/>
    <cacheHierarchy uniqueName="[Europe_Sales_Records].[Unit Profit]" caption="Unit Profit" attribute="1" defaultMemberUniqueName="[Europe_Sales_Records].[Unit Profit].[All]" allUniqueName="[Europe_Sales_Records].[Unit Profit].[All]" dimensionUniqueName="[Europe_Sales_Records]" displayFolder="" count="0" memberValueDatatype="5" unbalanced="0"/>
    <cacheHierarchy uniqueName="[Europe_Sales_Records].[Total Revenue]" caption="Total Revenue" attribute="1" defaultMemberUniqueName="[Europe_Sales_Records].[Total Revenue].[All]" allUniqueName="[Europe_Sales_Records].[Total Revenue].[All]" dimensionUniqueName="[Europe_Sales_Records]" displayFolder="" count="0" memberValueDatatype="5" unbalanced="0"/>
    <cacheHierarchy uniqueName="[Europe_Sales_Records].[Total Cost]" caption="Total Cost" attribute="1" defaultMemberUniqueName="[Europe_Sales_Records].[Total Cost].[All]" allUniqueName="[Europe_Sales_Records].[Total Cost].[All]" dimensionUniqueName="[Europe_Sales_Records]" displayFolder="" count="0" memberValueDatatype="5" unbalanced="0"/>
    <cacheHierarchy uniqueName="[Europe_Sales_Records].[Total Profit]" caption="Total Profit" attribute="1" defaultMemberUniqueName="[Europe_Sales_Records].[Total Profit].[All]" allUniqueName="[Europe_Sales_Records].[Total Profit].[All]" dimensionUniqueName="[Europe_Sales_Records]" displayFolder="" count="0" memberValueDatatype="5" unbalanced="0"/>
    <cacheHierarchy uniqueName="[Europe_Sales_Records].[Order Date (Year)]" caption="Order Date (Year)" attribute="1" defaultMemberUniqueName="[Europe_Sales_Records].[Order Date (Year)].[All]" allUniqueName="[Europe_Sales_Records].[Order Date (Year)].[All]" dimensionUniqueName="[Europe_Sales_Records]" displayFolder="" count="2" memberValueDatatype="130" unbalanced="0">
      <fieldsUsage count="2">
        <fieldUsage x="-1"/>
        <fieldUsage x="3"/>
      </fieldsUsage>
    </cacheHierarchy>
    <cacheHierarchy uniqueName="[Europe_Sales_Records].[Order Date (Month)]" caption="Order Date (Month)" attribute="1" defaultMemberUniqueName="[Europe_Sales_Records].[Order Date (Month)].[All]" allUniqueName="[Europe_Sales_Records].[Order Date (Month)].[All]" dimensionUniqueName="[Europe_Sales_Records]" displayFolder="" count="0" memberValueDatatype="130" unbalanced="0"/>
    <cacheHierarchy uniqueName="[Europe_Sales_Records].[Order Date (Month Index)]" caption="Order Date (Month Index)" attribute="1" defaultMemberUniqueName="[Europe_Sales_Records].[Order Date (Month Index)].[All]" allUniqueName="[Europe_Sales_Records].[Order Date (Month Index)].[All]" dimensionUniqueName="[Europe_Sales_Records]" displayFolder="" count="0" memberValueDatatype="20" unbalanced="0" hidden="1"/>
    <cacheHierarchy uniqueName="[Measures].[__XL_Count Europe_Sales_Records]" caption="__XL_Count Europe_Sales_Records" measure="1" displayFolder="" measureGroup="Europe_Sales_Records" count="0" hidden="1"/>
    <cacheHierarchy uniqueName="[Measures].[__No measures defined]" caption="__No measures defined" measure="1" displayFolder="" count="0" hidden="1"/>
    <cacheHierarchy uniqueName="[Measures].[Count of Total Profit]" caption="Count of Total Profit" measure="1" displayFolder="" measureGroup="Europe_Sales_Records" count="0" hidden="1">
      <extLst>
        <ext xmlns:x15="http://schemas.microsoft.com/office/spreadsheetml/2010/11/main" uri="{B97F6D7D-B522-45F9-BDA1-12C45D357490}">
          <x15:cacheHierarchy aggregatedColumn="15"/>
        </ext>
      </extLst>
    </cacheHierarchy>
    <cacheHierarchy uniqueName="[Measures].[Count of Total Revenue]" caption="Count of Total Revenue" measure="1" displayFolder="" measureGroup="Europe_Sales_Records" count="0" hidden="1">
      <extLst>
        <ext xmlns:x15="http://schemas.microsoft.com/office/spreadsheetml/2010/11/main" uri="{B97F6D7D-B522-45F9-BDA1-12C45D357490}">
          <x15:cacheHierarchy aggregatedColumn="13"/>
        </ext>
      </extLst>
    </cacheHierarchy>
    <cacheHierarchy uniqueName="[Measures].[Count of Total Cost]" caption="Count of Total Cost" measure="1" displayFolder="" measureGroup="Europe_Sales_Records" count="0" hidden="1">
      <extLst>
        <ext xmlns:x15="http://schemas.microsoft.com/office/spreadsheetml/2010/11/main" uri="{B97F6D7D-B522-45F9-BDA1-12C45D357490}">
          <x15:cacheHierarchy aggregatedColumn="14"/>
        </ext>
      </extLst>
    </cacheHierarchy>
    <cacheHierarchy uniqueName="[Measures].[Count of Order Priority]" caption="Count of Order Priority" measure="1" displayFolder="" measureGroup="Europe_Sales_Records" count="0" hidden="1">
      <extLst>
        <ext xmlns:x15="http://schemas.microsoft.com/office/spreadsheetml/2010/11/main" uri="{B97F6D7D-B522-45F9-BDA1-12C45D357490}">
          <x15:cacheHierarchy aggregatedColumn="4"/>
        </ext>
      </extLst>
    </cacheHierarchy>
    <cacheHierarchy uniqueName="[Measures].[Count of Units Sold]" caption="Count of Units Sold" measure="1" displayFolder="" measureGroup="Europe_Sales_Records" count="0" hidden="1">
      <extLst>
        <ext xmlns:x15="http://schemas.microsoft.com/office/spreadsheetml/2010/11/main" uri="{B97F6D7D-B522-45F9-BDA1-12C45D357490}">
          <x15:cacheHierarchy aggregatedColumn="9"/>
        </ext>
      </extLst>
    </cacheHierarchy>
    <cacheHierarchy uniqueName="[Measures].[Sum of Total Revenue]" caption="Sum of Total Revenue" measure="1" displayFolder="" measureGroup="Europe_Sales_Records"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Europe_Sales_Records" count="0" hidden="1">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Europe_Sales_Records" count="0" hidden="1">
      <extLst>
        <ext xmlns:x15="http://schemas.microsoft.com/office/spreadsheetml/2010/11/main" uri="{B97F6D7D-B522-45F9-BDA1-12C45D357490}">
          <x15:cacheHierarchy aggregatedColumn="9"/>
        </ext>
      </extLst>
    </cacheHierarchy>
    <cacheHierarchy uniqueName="[Measures].[Sum of Unit Profit]" caption="Sum of Unit Profit" measure="1" displayFolder="" measureGroup="Europe_Sales_Records" count="0" hidden="1">
      <extLst>
        <ext xmlns:x15="http://schemas.microsoft.com/office/spreadsheetml/2010/11/main" uri="{B97F6D7D-B522-45F9-BDA1-12C45D357490}">
          <x15:cacheHierarchy aggregatedColumn="12"/>
        </ext>
      </extLst>
    </cacheHierarchy>
    <cacheHierarchy uniqueName="[Measures].[Sum of Unit Cost]" caption="Sum of Unit Cost" measure="1" displayFolder="" measureGroup="Europe_Sales_Records" count="0" hidden="1">
      <extLst>
        <ext xmlns:x15="http://schemas.microsoft.com/office/spreadsheetml/2010/11/main" uri="{B97F6D7D-B522-45F9-BDA1-12C45D357490}">
          <x15:cacheHierarchy aggregatedColumn="11"/>
        </ext>
      </extLst>
    </cacheHierarchy>
    <cacheHierarchy uniqueName="[Measures].[Count of Unit Cost]" caption="Count of Unit Cost" measure="1" displayFolder="" measureGroup="Europe_Sales_Records" count="0" hidden="1">
      <extLst>
        <ext xmlns:x15="http://schemas.microsoft.com/office/spreadsheetml/2010/11/main" uri="{B97F6D7D-B522-45F9-BDA1-12C45D357490}">
          <x15:cacheHierarchy aggregatedColumn="11"/>
        </ext>
      </extLst>
    </cacheHierarchy>
    <cacheHierarchy uniqueName="[Measures].[Sum of Unit Price]" caption="Sum of Unit Price" measure="1" displayFolder="" measureGroup="Europe_Sales_Records" count="0" hidden="1">
      <extLst>
        <ext xmlns:x15="http://schemas.microsoft.com/office/spreadsheetml/2010/11/main" uri="{B97F6D7D-B522-45F9-BDA1-12C45D357490}">
          <x15:cacheHierarchy aggregatedColumn="10"/>
        </ext>
      </extLst>
    </cacheHierarchy>
    <cacheHierarchy uniqueName="[Measures].[Sum of Total Cost]" caption="Sum of Total Cost" measure="1" displayFolder="" measureGroup="Europe_Sales_Records" count="0" hidden="1">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Europe_Sales_Records" count="0" hidden="1">
      <extLst>
        <ext xmlns:x15="http://schemas.microsoft.com/office/spreadsheetml/2010/11/main" uri="{B97F6D7D-B522-45F9-BDA1-12C45D357490}">
          <x15:cacheHierarchy aggregatedColumn="1"/>
        </ext>
      </extLst>
    </cacheHierarchy>
    <cacheHierarchy uniqueName="[Measures].[Sum of Shipping Time]" caption="Sum of Shipping Time" measure="1" displayFolder="" measureGroup="Europe_Sales_Records" count="0" hidden="1">
      <extLst>
        <ext xmlns:x15="http://schemas.microsoft.com/office/spreadsheetml/2010/11/main" uri="{B97F6D7D-B522-45F9-BDA1-12C45D357490}">
          <x15:cacheHierarchy aggregatedColumn="8"/>
        </ext>
      </extLst>
    </cacheHierarchy>
  </cacheHierarchies>
  <kpis count="0"/>
  <dimensions count="2">
    <dimension name="Europe_Sales_Records" uniqueName="[Europe_Sales_Records]" caption="Europe_Sales_Records"/>
    <dimension measure="1" name="Measures" uniqueName="[Measures]" caption="Measures"/>
  </dimensions>
  <measureGroups count="1">
    <measureGroup name="Europe_Sales_Records" caption="Europe_Sales_Recor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a&amp;Marina" refreshedDate="46146.147626736114" backgroundQuery="1" createdVersion="8" refreshedVersion="8" minRefreshableVersion="3" recordCount="0" supportSubquery="1" supportAdvancedDrill="1" xr:uid="{5EABA6BD-B923-479E-9C28-C9C12C17DDB3}">
  <cacheSource type="external" connectionId="2"/>
  <cacheFields count="4">
    <cacheField name="[Europe_Sales_Records].[Country].[Country]" caption="Country" numFmtId="0" hierarchy="1" level="1">
      <sharedItems count="9">
        <s v="Croatia"/>
        <s v="Cyprus"/>
        <s v="Czech Republic"/>
        <s v="Denmark"/>
        <s v="Estonia"/>
        <s v="Finland"/>
        <s v="France"/>
        <s v="Georgia"/>
        <s v="Germany"/>
      </sharedItems>
    </cacheField>
    <cacheField name="[Measures].[Sum of Total Profit]" caption="Sum of Total Profit" numFmtId="0" hierarchy="27" level="32767"/>
    <cacheField name="[Measures].[Sum of Total Revenue]" caption="Sum of Total Revenue" numFmtId="0" hierarchy="26" level="32767"/>
    <cacheField name="[Europe_Sales_Records].[Order Date (Year)].[Order Date (Year)]" caption="Order Date (Year)" numFmtId="0" hierarchy="16" level="1">
      <sharedItems containsSemiMixedTypes="0" containsNonDate="0" containsString="0"/>
    </cacheField>
  </cacheFields>
  <cacheHierarchies count="36">
    <cacheHierarchy uniqueName="[Europe_Sales_Records].[Region]" caption="Region" attribute="1" defaultMemberUniqueName="[Europe_Sales_Records].[Region].[All]" allUniqueName="[Europe_Sales_Records].[Region].[All]" dimensionUniqueName="[Europe_Sales_Records]" displayFolder="" count="0" memberValueDatatype="130" unbalanced="0"/>
    <cacheHierarchy uniqueName="[Europe_Sales_Records].[Country]" caption="Country" attribute="1" defaultMemberUniqueName="[Europe_Sales_Records].[Country].[All]" allUniqueName="[Europe_Sales_Records].[Country].[All]" dimensionUniqueName="[Europe_Sales_Records]" displayFolder="" count="2" memberValueDatatype="130" unbalanced="0">
      <fieldsUsage count="2">
        <fieldUsage x="-1"/>
        <fieldUsage x="0"/>
      </fieldsUsage>
    </cacheHierarchy>
    <cacheHierarchy uniqueName="[Europe_Sales_Records].[Item Type]" caption="Item Type" attribute="1" defaultMemberUniqueName="[Europe_Sales_Records].[Item Type].[All]" allUniqueName="[Europe_Sales_Records].[Item Type].[All]" dimensionUniqueName="[Europe_Sales_Records]" displayFolder="" count="0" memberValueDatatype="130" unbalanced="0"/>
    <cacheHierarchy uniqueName="[Europe_Sales_Records].[Sales Channel]" caption="Sales Channel" attribute="1" defaultMemberUniqueName="[Europe_Sales_Records].[Sales Channel].[All]" allUniqueName="[Europe_Sales_Records].[Sales Channel].[All]" dimensionUniqueName="[Europe_Sales_Records]" displayFolder="" count="0" memberValueDatatype="130" unbalanced="0"/>
    <cacheHierarchy uniqueName="[Europe_Sales_Records].[Order Priority]" caption="Order Priority" attribute="1" defaultMemberUniqueName="[Europe_Sales_Records].[Order Priority].[All]" allUniqueName="[Europe_Sales_Records].[Order Priority].[All]" dimensionUniqueName="[Europe_Sales_Records]" displayFolder="" count="0" memberValueDatatype="130" unbalanced="0"/>
    <cacheHierarchy uniqueName="[Europe_Sales_Records].[Order Date]" caption="Order Date" attribute="1" time="1" defaultMemberUniqueName="[Europe_Sales_Records].[Order Date].[All]" allUniqueName="[Europe_Sales_Records].[Order Date].[All]" dimensionUniqueName="[Europe_Sales_Records]" displayFolder="" count="0" memberValueDatatype="7" unbalanced="0"/>
    <cacheHierarchy uniqueName="[Europe_Sales_Records].[Order ID]" caption="Order ID" attribute="1" defaultMemberUniqueName="[Europe_Sales_Records].[Order ID].[All]" allUniqueName="[Europe_Sales_Records].[Order ID].[All]" dimensionUniqueName="[Europe_Sales_Records]" displayFolder="" count="0" memberValueDatatype="130" unbalanced="0"/>
    <cacheHierarchy uniqueName="[Europe_Sales_Records].[Ship Date]" caption="Ship Date" attribute="1" time="1" defaultMemberUniqueName="[Europe_Sales_Records].[Ship Date].[All]" allUniqueName="[Europe_Sales_Records].[Ship Date].[All]" dimensionUniqueName="[Europe_Sales_Records]" displayFolder="" count="0" memberValueDatatype="7" unbalanced="0"/>
    <cacheHierarchy uniqueName="[Europe_Sales_Records].[Shipping Time]" caption="Shipping Time" attribute="1" defaultMemberUniqueName="[Europe_Sales_Records].[Shipping Time].[All]" allUniqueName="[Europe_Sales_Records].[Shipping Time].[All]" dimensionUniqueName="[Europe_Sales_Records]" displayFolder="" count="0" memberValueDatatype="20" unbalanced="0"/>
    <cacheHierarchy uniqueName="[Europe_Sales_Records].[Units Sold]" caption="Units Sold" attribute="1" defaultMemberUniqueName="[Europe_Sales_Records].[Units Sold].[All]" allUniqueName="[Europe_Sales_Records].[Units Sold].[All]" dimensionUniqueName="[Europe_Sales_Records]" displayFolder="" count="0" memberValueDatatype="20" unbalanced="0"/>
    <cacheHierarchy uniqueName="[Europe_Sales_Records].[Unit Price]" caption="Unit Price" attribute="1" defaultMemberUniqueName="[Europe_Sales_Records].[Unit Price].[All]" allUniqueName="[Europe_Sales_Records].[Unit Price].[All]" dimensionUniqueName="[Europe_Sales_Records]" displayFolder="" count="0" memberValueDatatype="5" unbalanced="0"/>
    <cacheHierarchy uniqueName="[Europe_Sales_Records].[Unit Cost]" caption="Unit Cost" attribute="1" defaultMemberUniqueName="[Europe_Sales_Records].[Unit Cost].[All]" allUniqueName="[Europe_Sales_Records].[Unit Cost].[All]" dimensionUniqueName="[Europe_Sales_Records]" displayFolder="" count="0" memberValueDatatype="5" unbalanced="0"/>
    <cacheHierarchy uniqueName="[Europe_Sales_Records].[Unit Profit]" caption="Unit Profit" attribute="1" defaultMemberUniqueName="[Europe_Sales_Records].[Unit Profit].[All]" allUniqueName="[Europe_Sales_Records].[Unit Profit].[All]" dimensionUniqueName="[Europe_Sales_Records]" displayFolder="" count="0" memberValueDatatype="5" unbalanced="0"/>
    <cacheHierarchy uniqueName="[Europe_Sales_Records].[Total Revenue]" caption="Total Revenue" attribute="1" defaultMemberUniqueName="[Europe_Sales_Records].[Total Revenue].[All]" allUniqueName="[Europe_Sales_Records].[Total Revenue].[All]" dimensionUniqueName="[Europe_Sales_Records]" displayFolder="" count="0" memberValueDatatype="5" unbalanced="0"/>
    <cacheHierarchy uniqueName="[Europe_Sales_Records].[Total Cost]" caption="Total Cost" attribute="1" defaultMemberUniqueName="[Europe_Sales_Records].[Total Cost].[All]" allUniqueName="[Europe_Sales_Records].[Total Cost].[All]" dimensionUniqueName="[Europe_Sales_Records]" displayFolder="" count="0" memberValueDatatype="5" unbalanced="0"/>
    <cacheHierarchy uniqueName="[Europe_Sales_Records].[Total Profit]" caption="Total Profit" attribute="1" defaultMemberUniqueName="[Europe_Sales_Records].[Total Profit].[All]" allUniqueName="[Europe_Sales_Records].[Total Profit].[All]" dimensionUniqueName="[Europe_Sales_Records]" displayFolder="" count="0" memberValueDatatype="5" unbalanced="0"/>
    <cacheHierarchy uniqueName="[Europe_Sales_Records].[Order Date (Year)]" caption="Order Date (Year)" attribute="1" defaultMemberUniqueName="[Europe_Sales_Records].[Order Date (Year)].[All]" allUniqueName="[Europe_Sales_Records].[Order Date (Year)].[All]" dimensionUniqueName="[Europe_Sales_Records]" displayFolder="" count="2" memberValueDatatype="130" unbalanced="0">
      <fieldsUsage count="2">
        <fieldUsage x="-1"/>
        <fieldUsage x="3"/>
      </fieldsUsage>
    </cacheHierarchy>
    <cacheHierarchy uniqueName="[Europe_Sales_Records].[Order Date (Month)]" caption="Order Date (Month)" attribute="1" defaultMemberUniqueName="[Europe_Sales_Records].[Order Date (Month)].[All]" allUniqueName="[Europe_Sales_Records].[Order Date (Month)].[All]" dimensionUniqueName="[Europe_Sales_Records]" displayFolder="" count="0" memberValueDatatype="130" unbalanced="0"/>
    <cacheHierarchy uniqueName="[Europe_Sales_Records].[Order Date (Month Index)]" caption="Order Date (Month Index)" attribute="1" defaultMemberUniqueName="[Europe_Sales_Records].[Order Date (Month Index)].[All]" allUniqueName="[Europe_Sales_Records].[Order Date (Month Index)].[All]" dimensionUniqueName="[Europe_Sales_Records]" displayFolder="" count="0" memberValueDatatype="20" unbalanced="0" hidden="1"/>
    <cacheHierarchy uniqueName="[Measures].[__XL_Count Europe_Sales_Records]" caption="__XL_Count Europe_Sales_Records" measure="1" displayFolder="" measureGroup="Europe_Sales_Records" count="0" hidden="1"/>
    <cacheHierarchy uniqueName="[Measures].[__No measures defined]" caption="__No measures defined" measure="1" displayFolder="" count="0" hidden="1"/>
    <cacheHierarchy uniqueName="[Measures].[Count of Total Profit]" caption="Count of Total Profit" measure="1" displayFolder="" measureGroup="Europe_Sales_Records" count="0" hidden="1">
      <extLst>
        <ext xmlns:x15="http://schemas.microsoft.com/office/spreadsheetml/2010/11/main" uri="{B97F6D7D-B522-45F9-BDA1-12C45D357490}">
          <x15:cacheHierarchy aggregatedColumn="15"/>
        </ext>
      </extLst>
    </cacheHierarchy>
    <cacheHierarchy uniqueName="[Measures].[Count of Total Revenue]" caption="Count of Total Revenue" measure="1" displayFolder="" measureGroup="Europe_Sales_Records" count="0" hidden="1">
      <extLst>
        <ext xmlns:x15="http://schemas.microsoft.com/office/spreadsheetml/2010/11/main" uri="{B97F6D7D-B522-45F9-BDA1-12C45D357490}">
          <x15:cacheHierarchy aggregatedColumn="13"/>
        </ext>
      </extLst>
    </cacheHierarchy>
    <cacheHierarchy uniqueName="[Measures].[Count of Total Cost]" caption="Count of Total Cost" measure="1" displayFolder="" measureGroup="Europe_Sales_Records" count="0" hidden="1">
      <extLst>
        <ext xmlns:x15="http://schemas.microsoft.com/office/spreadsheetml/2010/11/main" uri="{B97F6D7D-B522-45F9-BDA1-12C45D357490}">
          <x15:cacheHierarchy aggregatedColumn="14"/>
        </ext>
      </extLst>
    </cacheHierarchy>
    <cacheHierarchy uniqueName="[Measures].[Count of Order Priority]" caption="Count of Order Priority" measure="1" displayFolder="" measureGroup="Europe_Sales_Records" count="0" hidden="1">
      <extLst>
        <ext xmlns:x15="http://schemas.microsoft.com/office/spreadsheetml/2010/11/main" uri="{B97F6D7D-B522-45F9-BDA1-12C45D357490}">
          <x15:cacheHierarchy aggregatedColumn="4"/>
        </ext>
      </extLst>
    </cacheHierarchy>
    <cacheHierarchy uniqueName="[Measures].[Count of Units Sold]" caption="Count of Units Sold" measure="1" displayFolder="" measureGroup="Europe_Sales_Records" count="0" hidden="1">
      <extLst>
        <ext xmlns:x15="http://schemas.microsoft.com/office/spreadsheetml/2010/11/main" uri="{B97F6D7D-B522-45F9-BDA1-12C45D357490}">
          <x15:cacheHierarchy aggregatedColumn="9"/>
        </ext>
      </extLst>
    </cacheHierarchy>
    <cacheHierarchy uniqueName="[Measures].[Sum of Total Revenue]" caption="Sum of Total Revenue" measure="1" displayFolder="" measureGroup="Europe_Sales_Records"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Europe_Sales_Records"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Europe_Sales_Records" count="0" hidden="1">
      <extLst>
        <ext xmlns:x15="http://schemas.microsoft.com/office/spreadsheetml/2010/11/main" uri="{B97F6D7D-B522-45F9-BDA1-12C45D357490}">
          <x15:cacheHierarchy aggregatedColumn="9"/>
        </ext>
      </extLst>
    </cacheHierarchy>
    <cacheHierarchy uniqueName="[Measures].[Sum of Unit Profit]" caption="Sum of Unit Profit" measure="1" displayFolder="" measureGroup="Europe_Sales_Records" count="0" hidden="1">
      <extLst>
        <ext xmlns:x15="http://schemas.microsoft.com/office/spreadsheetml/2010/11/main" uri="{B97F6D7D-B522-45F9-BDA1-12C45D357490}">
          <x15:cacheHierarchy aggregatedColumn="12"/>
        </ext>
      </extLst>
    </cacheHierarchy>
    <cacheHierarchy uniqueName="[Measures].[Sum of Unit Cost]" caption="Sum of Unit Cost" measure="1" displayFolder="" measureGroup="Europe_Sales_Records" count="0" hidden="1">
      <extLst>
        <ext xmlns:x15="http://schemas.microsoft.com/office/spreadsheetml/2010/11/main" uri="{B97F6D7D-B522-45F9-BDA1-12C45D357490}">
          <x15:cacheHierarchy aggregatedColumn="11"/>
        </ext>
      </extLst>
    </cacheHierarchy>
    <cacheHierarchy uniqueName="[Measures].[Count of Unit Cost]" caption="Count of Unit Cost" measure="1" displayFolder="" measureGroup="Europe_Sales_Records" count="0" hidden="1">
      <extLst>
        <ext xmlns:x15="http://schemas.microsoft.com/office/spreadsheetml/2010/11/main" uri="{B97F6D7D-B522-45F9-BDA1-12C45D357490}">
          <x15:cacheHierarchy aggregatedColumn="11"/>
        </ext>
      </extLst>
    </cacheHierarchy>
    <cacheHierarchy uniqueName="[Measures].[Sum of Unit Price]" caption="Sum of Unit Price" measure="1" displayFolder="" measureGroup="Europe_Sales_Records" count="0" hidden="1">
      <extLst>
        <ext xmlns:x15="http://schemas.microsoft.com/office/spreadsheetml/2010/11/main" uri="{B97F6D7D-B522-45F9-BDA1-12C45D357490}">
          <x15:cacheHierarchy aggregatedColumn="10"/>
        </ext>
      </extLst>
    </cacheHierarchy>
    <cacheHierarchy uniqueName="[Measures].[Sum of Total Cost]" caption="Sum of Total Cost" measure="1" displayFolder="" measureGroup="Europe_Sales_Records" count="0" hidden="1">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Europe_Sales_Records" count="0" hidden="1">
      <extLst>
        <ext xmlns:x15="http://schemas.microsoft.com/office/spreadsheetml/2010/11/main" uri="{B97F6D7D-B522-45F9-BDA1-12C45D357490}">
          <x15:cacheHierarchy aggregatedColumn="1"/>
        </ext>
      </extLst>
    </cacheHierarchy>
    <cacheHierarchy uniqueName="[Measures].[Sum of Shipping Time]" caption="Sum of Shipping Time" measure="1" displayFolder="" measureGroup="Europe_Sales_Records" count="0" hidden="1">
      <extLst>
        <ext xmlns:x15="http://schemas.microsoft.com/office/spreadsheetml/2010/11/main" uri="{B97F6D7D-B522-45F9-BDA1-12C45D357490}">
          <x15:cacheHierarchy aggregatedColumn="8"/>
        </ext>
      </extLst>
    </cacheHierarchy>
  </cacheHierarchies>
  <kpis count="0"/>
  <dimensions count="2">
    <dimension name="Europe_Sales_Records" uniqueName="[Europe_Sales_Records]" caption="Europe_Sales_Records"/>
    <dimension measure="1" name="Measures" uniqueName="[Measures]" caption="Measures"/>
  </dimensions>
  <measureGroups count="1">
    <measureGroup name="Europe_Sales_Records" caption="Europe_Sales_Recor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a&amp;Marina" refreshedDate="46146.147627430553" backgroundQuery="1" createdVersion="8" refreshedVersion="8" minRefreshableVersion="3" recordCount="0" supportSubquery="1" supportAdvancedDrill="1" xr:uid="{4CEDBBFB-78CC-42F3-AE45-AFB4D43C3E8C}">
  <cacheSource type="external" connectionId="2"/>
  <cacheFields count="6">
    <cacheField name="[Europe_Sales_Records].[Item Type].[Item Type]" caption="Item Type" numFmtId="0" hierarchy="2" level="1">
      <sharedItems count="11">
        <s v="Baby Food"/>
        <s v="Beverages"/>
        <s v="Cereal"/>
        <s v="Clothes"/>
        <s v="Cosmetics"/>
        <s v="Fruits"/>
        <s v="Household"/>
        <s v="Meat"/>
        <s v="Office Supplies"/>
        <s v="Personal Care"/>
        <s v="Snacks"/>
      </sharedItems>
    </cacheField>
    <cacheField name="[Measures].[Sum of Unit Cost]" caption="Sum of Unit Cost" numFmtId="0" hierarchy="30" level="32767"/>
    <cacheField name="[Measures].[Sum of Unit Price]" caption="Sum of Unit Price" numFmtId="0" hierarchy="32" level="32767"/>
    <cacheField name="[Measures].[Sum of Unit Profit]" caption="Sum of Unit Profit" numFmtId="0" hierarchy="29" level="32767"/>
    <cacheField name="[Europe_Sales_Records].[Order Date (Year)].[Order Date (Year)]" caption="Order Date (Year)" numFmtId="0" hierarchy="16" level="1">
      <sharedItems containsSemiMixedTypes="0" containsNonDate="0" containsString="0"/>
    </cacheField>
    <cacheField name="[Europe_Sales_Records].[Country].[Country]" caption="Country" numFmtId="0" hierarchy="1" level="1">
      <sharedItems containsSemiMixedTypes="0" containsNonDate="0" containsString="0"/>
    </cacheField>
  </cacheFields>
  <cacheHierarchies count="36">
    <cacheHierarchy uniqueName="[Europe_Sales_Records].[Region]" caption="Region" attribute="1" defaultMemberUniqueName="[Europe_Sales_Records].[Region].[All]" allUniqueName="[Europe_Sales_Records].[Region].[All]" dimensionUniqueName="[Europe_Sales_Records]" displayFolder="" count="0" memberValueDatatype="130" unbalanced="0"/>
    <cacheHierarchy uniqueName="[Europe_Sales_Records].[Country]" caption="Country" attribute="1" defaultMemberUniqueName="[Europe_Sales_Records].[Country].[All]" allUniqueName="[Europe_Sales_Records].[Country].[All]" dimensionUniqueName="[Europe_Sales_Records]" displayFolder="" count="2" memberValueDatatype="130" unbalanced="0">
      <fieldsUsage count="2">
        <fieldUsage x="-1"/>
        <fieldUsage x="5"/>
      </fieldsUsage>
    </cacheHierarchy>
    <cacheHierarchy uniqueName="[Europe_Sales_Records].[Item Type]" caption="Item Type" attribute="1" defaultMemberUniqueName="[Europe_Sales_Records].[Item Type].[All]" allUniqueName="[Europe_Sales_Records].[Item Type].[All]" dimensionUniqueName="[Europe_Sales_Records]" displayFolder="" count="2" memberValueDatatype="130" unbalanced="0">
      <fieldsUsage count="2">
        <fieldUsage x="-1"/>
        <fieldUsage x="0"/>
      </fieldsUsage>
    </cacheHierarchy>
    <cacheHierarchy uniqueName="[Europe_Sales_Records].[Sales Channel]" caption="Sales Channel" attribute="1" defaultMemberUniqueName="[Europe_Sales_Records].[Sales Channel].[All]" allUniqueName="[Europe_Sales_Records].[Sales Channel].[All]" dimensionUniqueName="[Europe_Sales_Records]" displayFolder="" count="0" memberValueDatatype="130" unbalanced="0"/>
    <cacheHierarchy uniqueName="[Europe_Sales_Records].[Order Priority]" caption="Order Priority" attribute="1" defaultMemberUniqueName="[Europe_Sales_Records].[Order Priority].[All]" allUniqueName="[Europe_Sales_Records].[Order Priority].[All]" dimensionUniqueName="[Europe_Sales_Records]" displayFolder="" count="0" memberValueDatatype="130" unbalanced="0"/>
    <cacheHierarchy uniqueName="[Europe_Sales_Records].[Order Date]" caption="Order Date" attribute="1" time="1" defaultMemberUniqueName="[Europe_Sales_Records].[Order Date].[All]" allUniqueName="[Europe_Sales_Records].[Order Date].[All]" dimensionUniqueName="[Europe_Sales_Records]" displayFolder="" count="0" memberValueDatatype="7" unbalanced="0"/>
    <cacheHierarchy uniqueName="[Europe_Sales_Records].[Order ID]" caption="Order ID" attribute="1" defaultMemberUniqueName="[Europe_Sales_Records].[Order ID].[All]" allUniqueName="[Europe_Sales_Records].[Order ID].[All]" dimensionUniqueName="[Europe_Sales_Records]" displayFolder="" count="0" memberValueDatatype="130" unbalanced="0"/>
    <cacheHierarchy uniqueName="[Europe_Sales_Records].[Ship Date]" caption="Ship Date" attribute="1" time="1" defaultMemberUniqueName="[Europe_Sales_Records].[Ship Date].[All]" allUniqueName="[Europe_Sales_Records].[Ship Date].[All]" dimensionUniqueName="[Europe_Sales_Records]" displayFolder="" count="0" memberValueDatatype="7" unbalanced="0"/>
    <cacheHierarchy uniqueName="[Europe_Sales_Records].[Shipping Time]" caption="Shipping Time" attribute="1" defaultMemberUniqueName="[Europe_Sales_Records].[Shipping Time].[All]" allUniqueName="[Europe_Sales_Records].[Shipping Time].[All]" dimensionUniqueName="[Europe_Sales_Records]" displayFolder="" count="0" memberValueDatatype="20" unbalanced="0"/>
    <cacheHierarchy uniqueName="[Europe_Sales_Records].[Units Sold]" caption="Units Sold" attribute="1" defaultMemberUniqueName="[Europe_Sales_Records].[Units Sold].[All]" allUniqueName="[Europe_Sales_Records].[Units Sold].[All]" dimensionUniqueName="[Europe_Sales_Records]" displayFolder="" count="0" memberValueDatatype="20" unbalanced="0"/>
    <cacheHierarchy uniqueName="[Europe_Sales_Records].[Unit Price]" caption="Unit Price" attribute="1" defaultMemberUniqueName="[Europe_Sales_Records].[Unit Price].[All]" allUniqueName="[Europe_Sales_Records].[Unit Price].[All]" dimensionUniqueName="[Europe_Sales_Records]" displayFolder="" count="0" memberValueDatatype="5" unbalanced="0"/>
    <cacheHierarchy uniqueName="[Europe_Sales_Records].[Unit Cost]" caption="Unit Cost" attribute="1" defaultMemberUniqueName="[Europe_Sales_Records].[Unit Cost].[All]" allUniqueName="[Europe_Sales_Records].[Unit Cost].[All]" dimensionUniqueName="[Europe_Sales_Records]" displayFolder="" count="0" memberValueDatatype="5" unbalanced="0"/>
    <cacheHierarchy uniqueName="[Europe_Sales_Records].[Unit Profit]" caption="Unit Profit" attribute="1" defaultMemberUniqueName="[Europe_Sales_Records].[Unit Profit].[All]" allUniqueName="[Europe_Sales_Records].[Unit Profit].[All]" dimensionUniqueName="[Europe_Sales_Records]" displayFolder="" count="0" memberValueDatatype="5" unbalanced="0"/>
    <cacheHierarchy uniqueName="[Europe_Sales_Records].[Total Revenue]" caption="Total Revenue" attribute="1" defaultMemberUniqueName="[Europe_Sales_Records].[Total Revenue].[All]" allUniqueName="[Europe_Sales_Records].[Total Revenue].[All]" dimensionUniqueName="[Europe_Sales_Records]" displayFolder="" count="0" memberValueDatatype="5" unbalanced="0"/>
    <cacheHierarchy uniqueName="[Europe_Sales_Records].[Total Cost]" caption="Total Cost" attribute="1" defaultMemberUniqueName="[Europe_Sales_Records].[Total Cost].[All]" allUniqueName="[Europe_Sales_Records].[Total Cost].[All]" dimensionUniqueName="[Europe_Sales_Records]" displayFolder="" count="0" memberValueDatatype="5" unbalanced="0"/>
    <cacheHierarchy uniqueName="[Europe_Sales_Records].[Total Profit]" caption="Total Profit" attribute="1" defaultMemberUniqueName="[Europe_Sales_Records].[Total Profit].[All]" allUniqueName="[Europe_Sales_Records].[Total Profit].[All]" dimensionUniqueName="[Europe_Sales_Records]" displayFolder="" count="0" memberValueDatatype="5" unbalanced="0"/>
    <cacheHierarchy uniqueName="[Europe_Sales_Records].[Order Date (Year)]" caption="Order Date (Year)" attribute="1" defaultMemberUniqueName="[Europe_Sales_Records].[Order Date (Year)].[All]" allUniqueName="[Europe_Sales_Records].[Order Date (Year)].[All]" dimensionUniqueName="[Europe_Sales_Records]" displayFolder="" count="2" memberValueDatatype="130" unbalanced="0">
      <fieldsUsage count="2">
        <fieldUsage x="-1"/>
        <fieldUsage x="4"/>
      </fieldsUsage>
    </cacheHierarchy>
    <cacheHierarchy uniqueName="[Europe_Sales_Records].[Order Date (Month)]" caption="Order Date (Month)" attribute="1" defaultMemberUniqueName="[Europe_Sales_Records].[Order Date (Month)].[All]" allUniqueName="[Europe_Sales_Records].[Order Date (Month)].[All]" dimensionUniqueName="[Europe_Sales_Records]" displayFolder="" count="0" memberValueDatatype="130" unbalanced="0"/>
    <cacheHierarchy uniqueName="[Europe_Sales_Records].[Order Date (Month Index)]" caption="Order Date (Month Index)" attribute="1" defaultMemberUniqueName="[Europe_Sales_Records].[Order Date (Month Index)].[All]" allUniqueName="[Europe_Sales_Records].[Order Date (Month Index)].[All]" dimensionUniqueName="[Europe_Sales_Records]" displayFolder="" count="0" memberValueDatatype="20" unbalanced="0" hidden="1"/>
    <cacheHierarchy uniqueName="[Measures].[__XL_Count Europe_Sales_Records]" caption="__XL_Count Europe_Sales_Records" measure="1" displayFolder="" measureGroup="Europe_Sales_Records" count="0" hidden="1"/>
    <cacheHierarchy uniqueName="[Measures].[__No measures defined]" caption="__No measures defined" measure="1" displayFolder="" count="0" hidden="1"/>
    <cacheHierarchy uniqueName="[Measures].[Count of Total Profit]" caption="Count of Total Profit" measure="1" displayFolder="" measureGroup="Europe_Sales_Records" count="0" hidden="1">
      <extLst>
        <ext xmlns:x15="http://schemas.microsoft.com/office/spreadsheetml/2010/11/main" uri="{B97F6D7D-B522-45F9-BDA1-12C45D357490}">
          <x15:cacheHierarchy aggregatedColumn="15"/>
        </ext>
      </extLst>
    </cacheHierarchy>
    <cacheHierarchy uniqueName="[Measures].[Count of Total Revenue]" caption="Count of Total Revenue" measure="1" displayFolder="" measureGroup="Europe_Sales_Records" count="0" hidden="1">
      <extLst>
        <ext xmlns:x15="http://schemas.microsoft.com/office/spreadsheetml/2010/11/main" uri="{B97F6D7D-B522-45F9-BDA1-12C45D357490}">
          <x15:cacheHierarchy aggregatedColumn="13"/>
        </ext>
      </extLst>
    </cacheHierarchy>
    <cacheHierarchy uniqueName="[Measures].[Count of Total Cost]" caption="Count of Total Cost" measure="1" displayFolder="" measureGroup="Europe_Sales_Records" count="0" hidden="1">
      <extLst>
        <ext xmlns:x15="http://schemas.microsoft.com/office/spreadsheetml/2010/11/main" uri="{B97F6D7D-B522-45F9-BDA1-12C45D357490}">
          <x15:cacheHierarchy aggregatedColumn="14"/>
        </ext>
      </extLst>
    </cacheHierarchy>
    <cacheHierarchy uniqueName="[Measures].[Count of Order Priority]" caption="Count of Order Priority" measure="1" displayFolder="" measureGroup="Europe_Sales_Records" count="0" hidden="1">
      <extLst>
        <ext xmlns:x15="http://schemas.microsoft.com/office/spreadsheetml/2010/11/main" uri="{B97F6D7D-B522-45F9-BDA1-12C45D357490}">
          <x15:cacheHierarchy aggregatedColumn="4"/>
        </ext>
      </extLst>
    </cacheHierarchy>
    <cacheHierarchy uniqueName="[Measures].[Count of Units Sold]" caption="Count of Units Sold" measure="1" displayFolder="" measureGroup="Europe_Sales_Records" count="0" hidden="1">
      <extLst>
        <ext xmlns:x15="http://schemas.microsoft.com/office/spreadsheetml/2010/11/main" uri="{B97F6D7D-B522-45F9-BDA1-12C45D357490}">
          <x15:cacheHierarchy aggregatedColumn="9"/>
        </ext>
      </extLst>
    </cacheHierarchy>
    <cacheHierarchy uniqueName="[Measures].[Sum of Total Revenue]" caption="Sum of Total Revenue" measure="1" displayFolder="" measureGroup="Europe_Sales_Records" count="0" hidden="1">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Europe_Sales_Records" count="0" hidden="1">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Europe_Sales_Records" count="0" hidden="1">
      <extLst>
        <ext xmlns:x15="http://schemas.microsoft.com/office/spreadsheetml/2010/11/main" uri="{B97F6D7D-B522-45F9-BDA1-12C45D357490}">
          <x15:cacheHierarchy aggregatedColumn="9"/>
        </ext>
      </extLst>
    </cacheHierarchy>
    <cacheHierarchy uniqueName="[Measures].[Sum of Unit Profit]" caption="Sum of Unit Profit" measure="1" displayFolder="" measureGroup="Europe_Sales_Records" count="0" oneField="1" hidden="1">
      <fieldsUsage count="1">
        <fieldUsage x="3"/>
      </fieldsUsage>
      <extLst>
        <ext xmlns:x15="http://schemas.microsoft.com/office/spreadsheetml/2010/11/main" uri="{B97F6D7D-B522-45F9-BDA1-12C45D357490}">
          <x15:cacheHierarchy aggregatedColumn="12"/>
        </ext>
      </extLst>
    </cacheHierarchy>
    <cacheHierarchy uniqueName="[Measures].[Sum of Unit Cost]" caption="Sum of Unit Cost" measure="1" displayFolder="" measureGroup="Europe_Sales_Records"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Unit Cost]" caption="Count of Unit Cost" measure="1" displayFolder="" measureGroup="Europe_Sales_Records" count="0" hidden="1">
      <extLst>
        <ext xmlns:x15="http://schemas.microsoft.com/office/spreadsheetml/2010/11/main" uri="{B97F6D7D-B522-45F9-BDA1-12C45D357490}">
          <x15:cacheHierarchy aggregatedColumn="11"/>
        </ext>
      </extLst>
    </cacheHierarchy>
    <cacheHierarchy uniqueName="[Measures].[Sum of Unit Price]" caption="Sum of Unit Price" measure="1" displayFolder="" measureGroup="Europe_Sales_Records"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Total Cost]" caption="Sum of Total Cost" measure="1" displayFolder="" measureGroup="Europe_Sales_Records" count="0" hidden="1">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Europe_Sales_Records" count="0" hidden="1">
      <extLst>
        <ext xmlns:x15="http://schemas.microsoft.com/office/spreadsheetml/2010/11/main" uri="{B97F6D7D-B522-45F9-BDA1-12C45D357490}">
          <x15:cacheHierarchy aggregatedColumn="1"/>
        </ext>
      </extLst>
    </cacheHierarchy>
    <cacheHierarchy uniqueName="[Measures].[Sum of Shipping Time]" caption="Sum of Shipping Time" measure="1" displayFolder="" measureGroup="Europe_Sales_Records" count="0" hidden="1">
      <extLst>
        <ext xmlns:x15="http://schemas.microsoft.com/office/spreadsheetml/2010/11/main" uri="{B97F6D7D-B522-45F9-BDA1-12C45D357490}">
          <x15:cacheHierarchy aggregatedColumn="8"/>
        </ext>
      </extLst>
    </cacheHierarchy>
  </cacheHierarchies>
  <kpis count="0"/>
  <dimensions count="2">
    <dimension name="Europe_Sales_Records" uniqueName="[Europe_Sales_Records]" caption="Europe_Sales_Records"/>
    <dimension measure="1" name="Measures" uniqueName="[Measures]" caption="Measures"/>
  </dimensions>
  <measureGroups count="1">
    <measureGroup name="Europe_Sales_Records" caption="Europe_Sales_Recor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a&amp;Marina" refreshedDate="46146.147627893515" backgroundQuery="1" createdVersion="8" refreshedVersion="8" minRefreshableVersion="3" recordCount="0" supportSubquery="1" supportAdvancedDrill="1" xr:uid="{2A867AB3-052C-47F5-AD91-4B8E5C7AA4D9}">
  <cacheSource type="external" connectionId="2"/>
  <cacheFields count="4">
    <cacheField name="[Europe_Sales_Records].[Order Priority].[Order Priority]" caption="Order Priority" numFmtId="0" hierarchy="4" level="1">
      <sharedItems count="4">
        <s v="C"/>
        <s v="H"/>
        <s v="L"/>
        <s v="M"/>
      </sharedItems>
    </cacheField>
    <cacheField name="[Measures].[Sum of Shipping Time]" caption="Sum of Shipping Time" numFmtId="0" hierarchy="35" level="32767"/>
    <cacheField name="[Europe_Sales_Records].[Order Date (Year)].[Order Date (Year)]" caption="Order Date (Year)" numFmtId="0" hierarchy="16" level="1">
      <sharedItems containsSemiMixedTypes="0" containsNonDate="0" containsString="0"/>
    </cacheField>
    <cacheField name="[Europe_Sales_Records].[Country].[Country]" caption="Country" numFmtId="0" hierarchy="1" level="1">
      <sharedItems containsSemiMixedTypes="0" containsNonDate="0" containsString="0"/>
    </cacheField>
  </cacheFields>
  <cacheHierarchies count="36">
    <cacheHierarchy uniqueName="[Europe_Sales_Records].[Region]" caption="Region" attribute="1" defaultMemberUniqueName="[Europe_Sales_Records].[Region].[All]" allUniqueName="[Europe_Sales_Records].[Region].[All]" dimensionUniqueName="[Europe_Sales_Records]" displayFolder="" count="0" memberValueDatatype="130" unbalanced="0"/>
    <cacheHierarchy uniqueName="[Europe_Sales_Records].[Country]" caption="Country" attribute="1" defaultMemberUniqueName="[Europe_Sales_Records].[Country].[All]" allUniqueName="[Europe_Sales_Records].[Country].[All]" dimensionUniqueName="[Europe_Sales_Records]" displayFolder="" count="2" memberValueDatatype="130" unbalanced="0">
      <fieldsUsage count="2">
        <fieldUsage x="-1"/>
        <fieldUsage x="3"/>
      </fieldsUsage>
    </cacheHierarchy>
    <cacheHierarchy uniqueName="[Europe_Sales_Records].[Item Type]" caption="Item Type" attribute="1" defaultMemberUniqueName="[Europe_Sales_Records].[Item Type].[All]" allUniqueName="[Europe_Sales_Records].[Item Type].[All]" dimensionUniqueName="[Europe_Sales_Records]" displayFolder="" count="0" memberValueDatatype="130" unbalanced="0"/>
    <cacheHierarchy uniqueName="[Europe_Sales_Records].[Sales Channel]" caption="Sales Channel" attribute="1" defaultMemberUniqueName="[Europe_Sales_Records].[Sales Channel].[All]" allUniqueName="[Europe_Sales_Records].[Sales Channel].[All]" dimensionUniqueName="[Europe_Sales_Records]" displayFolder="" count="0" memberValueDatatype="130" unbalanced="0"/>
    <cacheHierarchy uniqueName="[Europe_Sales_Records].[Order Priority]" caption="Order Priority" attribute="1" defaultMemberUniqueName="[Europe_Sales_Records].[Order Priority].[All]" allUniqueName="[Europe_Sales_Records].[Order Priority].[All]" dimensionUniqueName="[Europe_Sales_Records]" displayFolder="" count="2" memberValueDatatype="130" unbalanced="0">
      <fieldsUsage count="2">
        <fieldUsage x="-1"/>
        <fieldUsage x="0"/>
      </fieldsUsage>
    </cacheHierarchy>
    <cacheHierarchy uniqueName="[Europe_Sales_Records].[Order Date]" caption="Order Date" attribute="1" time="1" defaultMemberUniqueName="[Europe_Sales_Records].[Order Date].[All]" allUniqueName="[Europe_Sales_Records].[Order Date].[All]" dimensionUniqueName="[Europe_Sales_Records]" displayFolder="" count="0" memberValueDatatype="7" unbalanced="0"/>
    <cacheHierarchy uniqueName="[Europe_Sales_Records].[Order ID]" caption="Order ID" attribute="1" defaultMemberUniqueName="[Europe_Sales_Records].[Order ID].[All]" allUniqueName="[Europe_Sales_Records].[Order ID].[All]" dimensionUniqueName="[Europe_Sales_Records]" displayFolder="" count="0" memberValueDatatype="130" unbalanced="0"/>
    <cacheHierarchy uniqueName="[Europe_Sales_Records].[Ship Date]" caption="Ship Date" attribute="1" time="1" defaultMemberUniqueName="[Europe_Sales_Records].[Ship Date].[All]" allUniqueName="[Europe_Sales_Records].[Ship Date].[All]" dimensionUniqueName="[Europe_Sales_Records]" displayFolder="" count="0" memberValueDatatype="7" unbalanced="0"/>
    <cacheHierarchy uniqueName="[Europe_Sales_Records].[Shipping Time]" caption="Shipping Time" attribute="1" defaultMemberUniqueName="[Europe_Sales_Records].[Shipping Time].[All]" allUniqueName="[Europe_Sales_Records].[Shipping Time].[All]" dimensionUniqueName="[Europe_Sales_Records]" displayFolder="" count="0" memberValueDatatype="20" unbalanced="0"/>
    <cacheHierarchy uniqueName="[Europe_Sales_Records].[Units Sold]" caption="Units Sold" attribute="1" defaultMemberUniqueName="[Europe_Sales_Records].[Units Sold].[All]" allUniqueName="[Europe_Sales_Records].[Units Sold].[All]" dimensionUniqueName="[Europe_Sales_Records]" displayFolder="" count="0" memberValueDatatype="20" unbalanced="0"/>
    <cacheHierarchy uniqueName="[Europe_Sales_Records].[Unit Price]" caption="Unit Price" attribute="1" defaultMemberUniqueName="[Europe_Sales_Records].[Unit Price].[All]" allUniqueName="[Europe_Sales_Records].[Unit Price].[All]" dimensionUniqueName="[Europe_Sales_Records]" displayFolder="" count="0" memberValueDatatype="5" unbalanced="0"/>
    <cacheHierarchy uniqueName="[Europe_Sales_Records].[Unit Cost]" caption="Unit Cost" attribute="1" defaultMemberUniqueName="[Europe_Sales_Records].[Unit Cost].[All]" allUniqueName="[Europe_Sales_Records].[Unit Cost].[All]" dimensionUniqueName="[Europe_Sales_Records]" displayFolder="" count="0" memberValueDatatype="5" unbalanced="0"/>
    <cacheHierarchy uniqueName="[Europe_Sales_Records].[Unit Profit]" caption="Unit Profit" attribute="1" defaultMemberUniqueName="[Europe_Sales_Records].[Unit Profit].[All]" allUniqueName="[Europe_Sales_Records].[Unit Profit].[All]" dimensionUniqueName="[Europe_Sales_Records]" displayFolder="" count="0" memberValueDatatype="5" unbalanced="0"/>
    <cacheHierarchy uniqueName="[Europe_Sales_Records].[Total Revenue]" caption="Total Revenue" attribute="1" defaultMemberUniqueName="[Europe_Sales_Records].[Total Revenue].[All]" allUniqueName="[Europe_Sales_Records].[Total Revenue].[All]" dimensionUniqueName="[Europe_Sales_Records]" displayFolder="" count="0" memberValueDatatype="5" unbalanced="0"/>
    <cacheHierarchy uniqueName="[Europe_Sales_Records].[Total Cost]" caption="Total Cost" attribute="1" defaultMemberUniqueName="[Europe_Sales_Records].[Total Cost].[All]" allUniqueName="[Europe_Sales_Records].[Total Cost].[All]" dimensionUniqueName="[Europe_Sales_Records]" displayFolder="" count="0" memberValueDatatype="5" unbalanced="0"/>
    <cacheHierarchy uniqueName="[Europe_Sales_Records].[Total Profit]" caption="Total Profit" attribute="1" defaultMemberUniqueName="[Europe_Sales_Records].[Total Profit].[All]" allUniqueName="[Europe_Sales_Records].[Total Profit].[All]" dimensionUniqueName="[Europe_Sales_Records]" displayFolder="" count="0" memberValueDatatype="5" unbalanced="0"/>
    <cacheHierarchy uniqueName="[Europe_Sales_Records].[Order Date (Year)]" caption="Order Date (Year)" attribute="1" defaultMemberUniqueName="[Europe_Sales_Records].[Order Date (Year)].[All]" allUniqueName="[Europe_Sales_Records].[Order Date (Year)].[All]" dimensionUniqueName="[Europe_Sales_Records]" displayFolder="" count="2" memberValueDatatype="130" unbalanced="0">
      <fieldsUsage count="2">
        <fieldUsage x="-1"/>
        <fieldUsage x="2"/>
      </fieldsUsage>
    </cacheHierarchy>
    <cacheHierarchy uniqueName="[Europe_Sales_Records].[Order Date (Month)]" caption="Order Date (Month)" attribute="1" defaultMemberUniqueName="[Europe_Sales_Records].[Order Date (Month)].[All]" allUniqueName="[Europe_Sales_Records].[Order Date (Month)].[All]" dimensionUniqueName="[Europe_Sales_Records]" displayFolder="" count="0" memberValueDatatype="130" unbalanced="0"/>
    <cacheHierarchy uniqueName="[Europe_Sales_Records].[Order Date (Month Index)]" caption="Order Date (Month Index)" attribute="1" defaultMemberUniqueName="[Europe_Sales_Records].[Order Date (Month Index)].[All]" allUniqueName="[Europe_Sales_Records].[Order Date (Month Index)].[All]" dimensionUniqueName="[Europe_Sales_Records]" displayFolder="" count="0" memberValueDatatype="20" unbalanced="0" hidden="1"/>
    <cacheHierarchy uniqueName="[Measures].[__XL_Count Europe_Sales_Records]" caption="__XL_Count Europe_Sales_Records" measure="1" displayFolder="" measureGroup="Europe_Sales_Records" count="0" hidden="1"/>
    <cacheHierarchy uniqueName="[Measures].[__No measures defined]" caption="__No measures defined" measure="1" displayFolder="" count="0" hidden="1"/>
    <cacheHierarchy uniqueName="[Measures].[Count of Total Profit]" caption="Count of Total Profit" measure="1" displayFolder="" measureGroup="Europe_Sales_Records" count="0" hidden="1">
      <extLst>
        <ext xmlns:x15="http://schemas.microsoft.com/office/spreadsheetml/2010/11/main" uri="{B97F6D7D-B522-45F9-BDA1-12C45D357490}">
          <x15:cacheHierarchy aggregatedColumn="15"/>
        </ext>
      </extLst>
    </cacheHierarchy>
    <cacheHierarchy uniqueName="[Measures].[Count of Total Revenue]" caption="Count of Total Revenue" measure="1" displayFolder="" measureGroup="Europe_Sales_Records" count="0" hidden="1">
      <extLst>
        <ext xmlns:x15="http://schemas.microsoft.com/office/spreadsheetml/2010/11/main" uri="{B97F6D7D-B522-45F9-BDA1-12C45D357490}">
          <x15:cacheHierarchy aggregatedColumn="13"/>
        </ext>
      </extLst>
    </cacheHierarchy>
    <cacheHierarchy uniqueName="[Measures].[Count of Total Cost]" caption="Count of Total Cost" measure="1" displayFolder="" measureGroup="Europe_Sales_Records" count="0" hidden="1">
      <extLst>
        <ext xmlns:x15="http://schemas.microsoft.com/office/spreadsheetml/2010/11/main" uri="{B97F6D7D-B522-45F9-BDA1-12C45D357490}">
          <x15:cacheHierarchy aggregatedColumn="14"/>
        </ext>
      </extLst>
    </cacheHierarchy>
    <cacheHierarchy uniqueName="[Measures].[Count of Order Priority]" caption="Count of Order Priority" measure="1" displayFolder="" measureGroup="Europe_Sales_Records" count="0" hidden="1">
      <extLst>
        <ext xmlns:x15="http://schemas.microsoft.com/office/spreadsheetml/2010/11/main" uri="{B97F6D7D-B522-45F9-BDA1-12C45D357490}">
          <x15:cacheHierarchy aggregatedColumn="4"/>
        </ext>
      </extLst>
    </cacheHierarchy>
    <cacheHierarchy uniqueName="[Measures].[Count of Units Sold]" caption="Count of Units Sold" measure="1" displayFolder="" measureGroup="Europe_Sales_Records" count="0" hidden="1">
      <extLst>
        <ext xmlns:x15="http://schemas.microsoft.com/office/spreadsheetml/2010/11/main" uri="{B97F6D7D-B522-45F9-BDA1-12C45D357490}">
          <x15:cacheHierarchy aggregatedColumn="9"/>
        </ext>
      </extLst>
    </cacheHierarchy>
    <cacheHierarchy uniqueName="[Measures].[Sum of Total Revenue]" caption="Sum of Total Revenue" measure="1" displayFolder="" measureGroup="Europe_Sales_Records" count="0" hidden="1">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Europe_Sales_Records" count="0" hidden="1">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Europe_Sales_Records" count="0" hidden="1">
      <extLst>
        <ext xmlns:x15="http://schemas.microsoft.com/office/spreadsheetml/2010/11/main" uri="{B97F6D7D-B522-45F9-BDA1-12C45D357490}">
          <x15:cacheHierarchy aggregatedColumn="9"/>
        </ext>
      </extLst>
    </cacheHierarchy>
    <cacheHierarchy uniqueName="[Measures].[Sum of Unit Profit]" caption="Sum of Unit Profit" measure="1" displayFolder="" measureGroup="Europe_Sales_Records" count="0" hidden="1">
      <extLst>
        <ext xmlns:x15="http://schemas.microsoft.com/office/spreadsheetml/2010/11/main" uri="{B97F6D7D-B522-45F9-BDA1-12C45D357490}">
          <x15:cacheHierarchy aggregatedColumn="12"/>
        </ext>
      </extLst>
    </cacheHierarchy>
    <cacheHierarchy uniqueName="[Measures].[Sum of Unit Cost]" caption="Sum of Unit Cost" measure="1" displayFolder="" measureGroup="Europe_Sales_Records" count="0" hidden="1">
      <extLst>
        <ext xmlns:x15="http://schemas.microsoft.com/office/spreadsheetml/2010/11/main" uri="{B97F6D7D-B522-45F9-BDA1-12C45D357490}">
          <x15:cacheHierarchy aggregatedColumn="11"/>
        </ext>
      </extLst>
    </cacheHierarchy>
    <cacheHierarchy uniqueName="[Measures].[Count of Unit Cost]" caption="Count of Unit Cost" measure="1" displayFolder="" measureGroup="Europe_Sales_Records" count="0" hidden="1">
      <extLst>
        <ext xmlns:x15="http://schemas.microsoft.com/office/spreadsheetml/2010/11/main" uri="{B97F6D7D-B522-45F9-BDA1-12C45D357490}">
          <x15:cacheHierarchy aggregatedColumn="11"/>
        </ext>
      </extLst>
    </cacheHierarchy>
    <cacheHierarchy uniqueName="[Measures].[Sum of Unit Price]" caption="Sum of Unit Price" measure="1" displayFolder="" measureGroup="Europe_Sales_Records" count="0" hidden="1">
      <extLst>
        <ext xmlns:x15="http://schemas.microsoft.com/office/spreadsheetml/2010/11/main" uri="{B97F6D7D-B522-45F9-BDA1-12C45D357490}">
          <x15:cacheHierarchy aggregatedColumn="10"/>
        </ext>
      </extLst>
    </cacheHierarchy>
    <cacheHierarchy uniqueName="[Measures].[Sum of Total Cost]" caption="Sum of Total Cost" measure="1" displayFolder="" measureGroup="Europe_Sales_Records" count="0" hidden="1">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Europe_Sales_Records" count="0" hidden="1">
      <extLst>
        <ext xmlns:x15="http://schemas.microsoft.com/office/spreadsheetml/2010/11/main" uri="{B97F6D7D-B522-45F9-BDA1-12C45D357490}">
          <x15:cacheHierarchy aggregatedColumn="1"/>
        </ext>
      </extLst>
    </cacheHierarchy>
    <cacheHierarchy uniqueName="[Measures].[Sum of Shipping Time]" caption="Sum of Shipping Time" measure="1" displayFolder="" measureGroup="Europe_Sales_Records"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2">
    <dimension name="Europe_Sales_Records" uniqueName="[Europe_Sales_Records]" caption="Europe_Sales_Records"/>
    <dimension measure="1" name="Measures" uniqueName="[Measures]" caption="Measures"/>
  </dimensions>
  <measureGroups count="1">
    <measureGroup name="Europe_Sales_Records" caption="Europe_Sales_Recor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a&amp;Marina" refreshedDate="46146.147628472223" backgroundQuery="1" createdVersion="8" refreshedVersion="8" minRefreshableVersion="3" recordCount="0" supportSubquery="1" supportAdvancedDrill="1" xr:uid="{69718956-2616-4A22-967B-8EECD9C0BF80}">
  <cacheSource type="external" connectionId="2"/>
  <cacheFields count="5">
    <cacheField name="[Europe_Sales_Records].[Order Date (Year)].[Order Date (Year)]" caption="Order Date (Year)" numFmtId="0" hierarchy="16" level="1">
      <sharedItems count="1">
        <s v="2016"/>
      </sharedItems>
    </cacheField>
    <cacheField name="[Measures].[Sum of Total Profit]" caption="Sum of Total Profit" numFmtId="0" hierarchy="27" level="32767"/>
    <cacheField name="[Measures].[Sum of Total Revenue]" caption="Sum of Total Revenue" numFmtId="0" hierarchy="26" level="32767"/>
    <cacheField name="[Measures].[Sum of Total Cost]" caption="Sum of Total Cost" numFmtId="0" hierarchy="33" level="32767"/>
    <cacheField name="[Europe_Sales_Records].[Country].[Country]" caption="Country" numFmtId="0" hierarchy="1" level="1">
      <sharedItems containsSemiMixedTypes="0" containsNonDate="0" containsString="0"/>
    </cacheField>
  </cacheFields>
  <cacheHierarchies count="36">
    <cacheHierarchy uniqueName="[Europe_Sales_Records].[Region]" caption="Region" attribute="1" defaultMemberUniqueName="[Europe_Sales_Records].[Region].[All]" allUniqueName="[Europe_Sales_Records].[Region].[All]" dimensionUniqueName="[Europe_Sales_Records]" displayFolder="" count="0" memberValueDatatype="130" unbalanced="0"/>
    <cacheHierarchy uniqueName="[Europe_Sales_Records].[Country]" caption="Country" attribute="1" defaultMemberUniqueName="[Europe_Sales_Records].[Country].[All]" allUniqueName="[Europe_Sales_Records].[Country].[All]" dimensionUniqueName="[Europe_Sales_Records]" displayFolder="" count="2" memberValueDatatype="130" unbalanced="0">
      <fieldsUsage count="2">
        <fieldUsage x="-1"/>
        <fieldUsage x="4"/>
      </fieldsUsage>
    </cacheHierarchy>
    <cacheHierarchy uniqueName="[Europe_Sales_Records].[Item Type]" caption="Item Type" attribute="1" defaultMemberUniqueName="[Europe_Sales_Records].[Item Type].[All]" allUniqueName="[Europe_Sales_Records].[Item Type].[All]" dimensionUniqueName="[Europe_Sales_Records]" displayFolder="" count="0" memberValueDatatype="130" unbalanced="0"/>
    <cacheHierarchy uniqueName="[Europe_Sales_Records].[Sales Channel]" caption="Sales Channel" attribute="1" defaultMemberUniqueName="[Europe_Sales_Records].[Sales Channel].[All]" allUniqueName="[Europe_Sales_Records].[Sales Channel].[All]" dimensionUniqueName="[Europe_Sales_Records]" displayFolder="" count="0" memberValueDatatype="130" unbalanced="0"/>
    <cacheHierarchy uniqueName="[Europe_Sales_Records].[Order Priority]" caption="Order Priority" attribute="1" defaultMemberUniqueName="[Europe_Sales_Records].[Order Priority].[All]" allUniqueName="[Europe_Sales_Records].[Order Priority].[All]" dimensionUniqueName="[Europe_Sales_Records]" displayFolder="" count="0" memberValueDatatype="130" unbalanced="0"/>
    <cacheHierarchy uniqueName="[Europe_Sales_Records].[Order Date]" caption="Order Date" attribute="1" time="1" defaultMemberUniqueName="[Europe_Sales_Records].[Order Date].[All]" allUniqueName="[Europe_Sales_Records].[Order Date].[All]" dimensionUniqueName="[Europe_Sales_Records]" displayFolder="" count="0" memberValueDatatype="7" unbalanced="0"/>
    <cacheHierarchy uniqueName="[Europe_Sales_Records].[Order ID]" caption="Order ID" attribute="1" defaultMemberUniqueName="[Europe_Sales_Records].[Order ID].[All]" allUniqueName="[Europe_Sales_Records].[Order ID].[All]" dimensionUniqueName="[Europe_Sales_Records]" displayFolder="" count="0" memberValueDatatype="130" unbalanced="0"/>
    <cacheHierarchy uniqueName="[Europe_Sales_Records].[Ship Date]" caption="Ship Date" attribute="1" time="1" defaultMemberUniqueName="[Europe_Sales_Records].[Ship Date].[All]" allUniqueName="[Europe_Sales_Records].[Ship Date].[All]" dimensionUniqueName="[Europe_Sales_Records]" displayFolder="" count="0" memberValueDatatype="7" unbalanced="0"/>
    <cacheHierarchy uniqueName="[Europe_Sales_Records].[Shipping Time]" caption="Shipping Time" attribute="1" defaultMemberUniqueName="[Europe_Sales_Records].[Shipping Time].[All]" allUniqueName="[Europe_Sales_Records].[Shipping Time].[All]" dimensionUniqueName="[Europe_Sales_Records]" displayFolder="" count="0" memberValueDatatype="20" unbalanced="0"/>
    <cacheHierarchy uniqueName="[Europe_Sales_Records].[Units Sold]" caption="Units Sold" attribute="1" defaultMemberUniqueName="[Europe_Sales_Records].[Units Sold].[All]" allUniqueName="[Europe_Sales_Records].[Units Sold].[All]" dimensionUniqueName="[Europe_Sales_Records]" displayFolder="" count="0" memberValueDatatype="20" unbalanced="0"/>
    <cacheHierarchy uniqueName="[Europe_Sales_Records].[Unit Price]" caption="Unit Price" attribute="1" defaultMemberUniqueName="[Europe_Sales_Records].[Unit Price].[All]" allUniqueName="[Europe_Sales_Records].[Unit Price].[All]" dimensionUniqueName="[Europe_Sales_Records]" displayFolder="" count="0" memberValueDatatype="5" unbalanced="0"/>
    <cacheHierarchy uniqueName="[Europe_Sales_Records].[Unit Cost]" caption="Unit Cost" attribute="1" defaultMemberUniqueName="[Europe_Sales_Records].[Unit Cost].[All]" allUniqueName="[Europe_Sales_Records].[Unit Cost].[All]" dimensionUniqueName="[Europe_Sales_Records]" displayFolder="" count="0" memberValueDatatype="5" unbalanced="0"/>
    <cacheHierarchy uniqueName="[Europe_Sales_Records].[Unit Profit]" caption="Unit Profit" attribute="1" defaultMemberUniqueName="[Europe_Sales_Records].[Unit Profit].[All]" allUniqueName="[Europe_Sales_Records].[Unit Profit].[All]" dimensionUniqueName="[Europe_Sales_Records]" displayFolder="" count="0" memberValueDatatype="5" unbalanced="0"/>
    <cacheHierarchy uniqueName="[Europe_Sales_Records].[Total Revenue]" caption="Total Revenue" attribute="1" defaultMemberUniqueName="[Europe_Sales_Records].[Total Revenue].[All]" allUniqueName="[Europe_Sales_Records].[Total Revenue].[All]" dimensionUniqueName="[Europe_Sales_Records]" displayFolder="" count="0" memberValueDatatype="5" unbalanced="0"/>
    <cacheHierarchy uniqueName="[Europe_Sales_Records].[Total Cost]" caption="Total Cost" attribute="1" defaultMemberUniqueName="[Europe_Sales_Records].[Total Cost].[All]" allUniqueName="[Europe_Sales_Records].[Total Cost].[All]" dimensionUniqueName="[Europe_Sales_Records]" displayFolder="" count="0" memberValueDatatype="5" unbalanced="0"/>
    <cacheHierarchy uniqueName="[Europe_Sales_Records].[Total Profit]" caption="Total Profit" attribute="1" defaultMemberUniqueName="[Europe_Sales_Records].[Total Profit].[All]" allUniqueName="[Europe_Sales_Records].[Total Profit].[All]" dimensionUniqueName="[Europe_Sales_Records]" displayFolder="" count="0" memberValueDatatype="5" unbalanced="0"/>
    <cacheHierarchy uniqueName="[Europe_Sales_Records].[Order Date (Year)]" caption="Order Date (Year)" attribute="1" defaultMemberUniqueName="[Europe_Sales_Records].[Order Date (Year)].[All]" allUniqueName="[Europe_Sales_Records].[Order Date (Year)].[All]" dimensionUniqueName="[Europe_Sales_Records]" displayFolder="" count="2" memberValueDatatype="130" unbalanced="0">
      <fieldsUsage count="2">
        <fieldUsage x="-1"/>
        <fieldUsage x="0"/>
      </fieldsUsage>
    </cacheHierarchy>
    <cacheHierarchy uniqueName="[Europe_Sales_Records].[Order Date (Month)]" caption="Order Date (Month)" attribute="1" defaultMemberUniqueName="[Europe_Sales_Records].[Order Date (Month)].[All]" allUniqueName="[Europe_Sales_Records].[Order Date (Month)].[All]" dimensionUniqueName="[Europe_Sales_Records]" displayFolder="" count="0" memberValueDatatype="130" unbalanced="0"/>
    <cacheHierarchy uniqueName="[Europe_Sales_Records].[Order Date (Month Index)]" caption="Order Date (Month Index)" attribute="1" defaultMemberUniqueName="[Europe_Sales_Records].[Order Date (Month Index)].[All]" allUniqueName="[Europe_Sales_Records].[Order Date (Month Index)].[All]" dimensionUniqueName="[Europe_Sales_Records]" displayFolder="" count="0" memberValueDatatype="20" unbalanced="0" hidden="1"/>
    <cacheHierarchy uniqueName="[Measures].[__XL_Count Europe_Sales_Records]" caption="__XL_Count Europe_Sales_Records" measure="1" displayFolder="" measureGroup="Europe_Sales_Records" count="0" hidden="1"/>
    <cacheHierarchy uniqueName="[Measures].[__No measures defined]" caption="__No measures defined" measure="1" displayFolder="" count="0" hidden="1"/>
    <cacheHierarchy uniqueName="[Measures].[Count of Total Profit]" caption="Count of Total Profit" measure="1" displayFolder="" measureGroup="Europe_Sales_Records" count="0" hidden="1">
      <extLst>
        <ext xmlns:x15="http://schemas.microsoft.com/office/spreadsheetml/2010/11/main" uri="{B97F6D7D-B522-45F9-BDA1-12C45D357490}">
          <x15:cacheHierarchy aggregatedColumn="15"/>
        </ext>
      </extLst>
    </cacheHierarchy>
    <cacheHierarchy uniqueName="[Measures].[Count of Total Revenue]" caption="Count of Total Revenue" measure="1" displayFolder="" measureGroup="Europe_Sales_Records" count="0" hidden="1">
      <extLst>
        <ext xmlns:x15="http://schemas.microsoft.com/office/spreadsheetml/2010/11/main" uri="{B97F6D7D-B522-45F9-BDA1-12C45D357490}">
          <x15:cacheHierarchy aggregatedColumn="13"/>
        </ext>
      </extLst>
    </cacheHierarchy>
    <cacheHierarchy uniqueName="[Measures].[Count of Total Cost]" caption="Count of Total Cost" measure="1" displayFolder="" measureGroup="Europe_Sales_Records" count="0" hidden="1">
      <extLst>
        <ext xmlns:x15="http://schemas.microsoft.com/office/spreadsheetml/2010/11/main" uri="{B97F6D7D-B522-45F9-BDA1-12C45D357490}">
          <x15:cacheHierarchy aggregatedColumn="14"/>
        </ext>
      </extLst>
    </cacheHierarchy>
    <cacheHierarchy uniqueName="[Measures].[Count of Order Priority]" caption="Count of Order Priority" measure="1" displayFolder="" measureGroup="Europe_Sales_Records" count="0" hidden="1">
      <extLst>
        <ext xmlns:x15="http://schemas.microsoft.com/office/spreadsheetml/2010/11/main" uri="{B97F6D7D-B522-45F9-BDA1-12C45D357490}">
          <x15:cacheHierarchy aggregatedColumn="4"/>
        </ext>
      </extLst>
    </cacheHierarchy>
    <cacheHierarchy uniqueName="[Measures].[Count of Units Sold]" caption="Count of Units Sold" measure="1" displayFolder="" measureGroup="Europe_Sales_Records" count="0" hidden="1">
      <extLst>
        <ext xmlns:x15="http://schemas.microsoft.com/office/spreadsheetml/2010/11/main" uri="{B97F6D7D-B522-45F9-BDA1-12C45D357490}">
          <x15:cacheHierarchy aggregatedColumn="9"/>
        </ext>
      </extLst>
    </cacheHierarchy>
    <cacheHierarchy uniqueName="[Measures].[Sum of Total Revenue]" caption="Sum of Total Revenue" measure="1" displayFolder="" measureGroup="Europe_Sales_Records"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Europe_Sales_Records"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Europe_Sales_Records" count="0" hidden="1">
      <extLst>
        <ext xmlns:x15="http://schemas.microsoft.com/office/spreadsheetml/2010/11/main" uri="{B97F6D7D-B522-45F9-BDA1-12C45D357490}">
          <x15:cacheHierarchy aggregatedColumn="9"/>
        </ext>
      </extLst>
    </cacheHierarchy>
    <cacheHierarchy uniqueName="[Measures].[Sum of Unit Profit]" caption="Sum of Unit Profit" measure="1" displayFolder="" measureGroup="Europe_Sales_Records" count="0" hidden="1">
      <extLst>
        <ext xmlns:x15="http://schemas.microsoft.com/office/spreadsheetml/2010/11/main" uri="{B97F6D7D-B522-45F9-BDA1-12C45D357490}">
          <x15:cacheHierarchy aggregatedColumn="12"/>
        </ext>
      </extLst>
    </cacheHierarchy>
    <cacheHierarchy uniqueName="[Measures].[Sum of Unit Cost]" caption="Sum of Unit Cost" measure="1" displayFolder="" measureGroup="Europe_Sales_Records" count="0" hidden="1">
      <extLst>
        <ext xmlns:x15="http://schemas.microsoft.com/office/spreadsheetml/2010/11/main" uri="{B97F6D7D-B522-45F9-BDA1-12C45D357490}">
          <x15:cacheHierarchy aggregatedColumn="11"/>
        </ext>
      </extLst>
    </cacheHierarchy>
    <cacheHierarchy uniqueName="[Measures].[Count of Unit Cost]" caption="Count of Unit Cost" measure="1" displayFolder="" measureGroup="Europe_Sales_Records" count="0" hidden="1">
      <extLst>
        <ext xmlns:x15="http://schemas.microsoft.com/office/spreadsheetml/2010/11/main" uri="{B97F6D7D-B522-45F9-BDA1-12C45D357490}">
          <x15:cacheHierarchy aggregatedColumn="11"/>
        </ext>
      </extLst>
    </cacheHierarchy>
    <cacheHierarchy uniqueName="[Measures].[Sum of Unit Price]" caption="Sum of Unit Price" measure="1" displayFolder="" measureGroup="Europe_Sales_Records" count="0" hidden="1">
      <extLst>
        <ext xmlns:x15="http://schemas.microsoft.com/office/spreadsheetml/2010/11/main" uri="{B97F6D7D-B522-45F9-BDA1-12C45D357490}">
          <x15:cacheHierarchy aggregatedColumn="10"/>
        </ext>
      </extLst>
    </cacheHierarchy>
    <cacheHierarchy uniqueName="[Measures].[Sum of Total Cost]" caption="Sum of Total Cost" measure="1" displayFolder="" measureGroup="Europe_Sales_Records" count="0" oneField="1" hidden="1">
      <fieldsUsage count="1">
        <fieldUsage x="3"/>
      </fieldsUsage>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Europe_Sales_Records" count="0" hidden="1">
      <extLst>
        <ext xmlns:x15="http://schemas.microsoft.com/office/spreadsheetml/2010/11/main" uri="{B97F6D7D-B522-45F9-BDA1-12C45D357490}">
          <x15:cacheHierarchy aggregatedColumn="1"/>
        </ext>
      </extLst>
    </cacheHierarchy>
    <cacheHierarchy uniqueName="[Measures].[Sum of Shipping Time]" caption="Sum of Shipping Time" measure="1" displayFolder="" measureGroup="Europe_Sales_Records" count="0" hidden="1">
      <extLst>
        <ext xmlns:x15="http://schemas.microsoft.com/office/spreadsheetml/2010/11/main" uri="{B97F6D7D-B522-45F9-BDA1-12C45D357490}">
          <x15:cacheHierarchy aggregatedColumn="8"/>
        </ext>
      </extLst>
    </cacheHierarchy>
  </cacheHierarchies>
  <kpis count="0"/>
  <dimensions count="2">
    <dimension name="Europe_Sales_Records" uniqueName="[Europe_Sales_Records]" caption="Europe_Sales_Records"/>
    <dimension measure="1" name="Measures" uniqueName="[Measures]" caption="Measures"/>
  </dimensions>
  <measureGroups count="1">
    <measureGroup name="Europe_Sales_Records" caption="Europe_Sales_Recor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a&amp;Marina" refreshedDate="46146.147629050924" backgroundQuery="1" createdVersion="8" refreshedVersion="8" minRefreshableVersion="3" recordCount="0" supportSubquery="1" supportAdvancedDrill="1" xr:uid="{6AE33C48-5582-4D37-A7F0-3B6618651BB6}">
  <cacheSource type="external" connectionId="2"/>
  <cacheFields count="6">
    <cacheField name="[Measures].[Sum of Total Profit]" caption="Sum of Total Profit" numFmtId="0" hierarchy="27" level="32767"/>
    <cacheField name="[Measures].[Sum of Total Revenue]" caption="Sum of Total Revenue" numFmtId="0" hierarchy="26" level="32767"/>
    <cacheField name="[Measures].[Sum of Total Cost]" caption="Sum of Total Cost" numFmtId="0" hierarchy="33" level="32767"/>
    <cacheField name="[Europe_Sales_Records].[Item Type].[Item Type]" caption="Item Type" numFmtId="0" hierarchy="2" level="1">
      <sharedItems count="11">
        <s v="Baby Food"/>
        <s v="Beverages"/>
        <s v="Cereal"/>
        <s v="Clothes"/>
        <s v="Cosmetics"/>
        <s v="Fruits"/>
        <s v="Household"/>
        <s v="Meat"/>
        <s v="Office Supplies"/>
        <s v="Personal Care"/>
        <s v="Snacks"/>
      </sharedItems>
    </cacheField>
    <cacheField name="[Europe_Sales_Records].[Order Date (Year)].[Order Date (Year)]" caption="Order Date (Year)" numFmtId="0" hierarchy="16" level="1">
      <sharedItems containsSemiMixedTypes="0" containsNonDate="0" containsString="0"/>
    </cacheField>
    <cacheField name="[Europe_Sales_Records].[Country].[Country]" caption="Country" numFmtId="0" hierarchy="1" level="1">
      <sharedItems containsSemiMixedTypes="0" containsNonDate="0" containsString="0"/>
    </cacheField>
  </cacheFields>
  <cacheHierarchies count="36">
    <cacheHierarchy uniqueName="[Europe_Sales_Records].[Region]" caption="Region" attribute="1" defaultMemberUniqueName="[Europe_Sales_Records].[Region].[All]" allUniqueName="[Europe_Sales_Records].[Region].[All]" dimensionUniqueName="[Europe_Sales_Records]" displayFolder="" count="0" memberValueDatatype="130" unbalanced="0"/>
    <cacheHierarchy uniqueName="[Europe_Sales_Records].[Country]" caption="Country" attribute="1" defaultMemberUniqueName="[Europe_Sales_Records].[Country].[All]" allUniqueName="[Europe_Sales_Records].[Country].[All]" dimensionUniqueName="[Europe_Sales_Records]" displayFolder="" count="2" memberValueDatatype="130" unbalanced="0">
      <fieldsUsage count="2">
        <fieldUsage x="-1"/>
        <fieldUsage x="5"/>
      </fieldsUsage>
    </cacheHierarchy>
    <cacheHierarchy uniqueName="[Europe_Sales_Records].[Item Type]" caption="Item Type" attribute="1" defaultMemberUniqueName="[Europe_Sales_Records].[Item Type].[All]" allUniqueName="[Europe_Sales_Records].[Item Type].[All]" dimensionUniqueName="[Europe_Sales_Records]" displayFolder="" count="2" memberValueDatatype="130" unbalanced="0">
      <fieldsUsage count="2">
        <fieldUsage x="-1"/>
        <fieldUsage x="3"/>
      </fieldsUsage>
    </cacheHierarchy>
    <cacheHierarchy uniqueName="[Europe_Sales_Records].[Sales Channel]" caption="Sales Channel" attribute="1" defaultMemberUniqueName="[Europe_Sales_Records].[Sales Channel].[All]" allUniqueName="[Europe_Sales_Records].[Sales Channel].[All]" dimensionUniqueName="[Europe_Sales_Records]" displayFolder="" count="0" memberValueDatatype="130" unbalanced="0"/>
    <cacheHierarchy uniqueName="[Europe_Sales_Records].[Order Priority]" caption="Order Priority" attribute="1" defaultMemberUniqueName="[Europe_Sales_Records].[Order Priority].[All]" allUniqueName="[Europe_Sales_Records].[Order Priority].[All]" dimensionUniqueName="[Europe_Sales_Records]" displayFolder="" count="0" memberValueDatatype="130" unbalanced="0"/>
    <cacheHierarchy uniqueName="[Europe_Sales_Records].[Order Date]" caption="Order Date" attribute="1" time="1" defaultMemberUniqueName="[Europe_Sales_Records].[Order Date].[All]" allUniqueName="[Europe_Sales_Records].[Order Date].[All]" dimensionUniqueName="[Europe_Sales_Records]" displayFolder="" count="0" memberValueDatatype="7" unbalanced="0"/>
    <cacheHierarchy uniqueName="[Europe_Sales_Records].[Order ID]" caption="Order ID" attribute="1" defaultMemberUniqueName="[Europe_Sales_Records].[Order ID].[All]" allUniqueName="[Europe_Sales_Records].[Order ID].[All]" dimensionUniqueName="[Europe_Sales_Records]" displayFolder="" count="0" memberValueDatatype="130" unbalanced="0"/>
    <cacheHierarchy uniqueName="[Europe_Sales_Records].[Ship Date]" caption="Ship Date" attribute="1" time="1" defaultMemberUniqueName="[Europe_Sales_Records].[Ship Date].[All]" allUniqueName="[Europe_Sales_Records].[Ship Date].[All]" dimensionUniqueName="[Europe_Sales_Records]" displayFolder="" count="0" memberValueDatatype="7" unbalanced="0"/>
    <cacheHierarchy uniqueName="[Europe_Sales_Records].[Shipping Time]" caption="Shipping Time" attribute="1" defaultMemberUniqueName="[Europe_Sales_Records].[Shipping Time].[All]" allUniqueName="[Europe_Sales_Records].[Shipping Time].[All]" dimensionUniqueName="[Europe_Sales_Records]" displayFolder="" count="0" memberValueDatatype="20" unbalanced="0"/>
    <cacheHierarchy uniqueName="[Europe_Sales_Records].[Units Sold]" caption="Units Sold" attribute="1" defaultMemberUniqueName="[Europe_Sales_Records].[Units Sold].[All]" allUniqueName="[Europe_Sales_Records].[Units Sold].[All]" dimensionUniqueName="[Europe_Sales_Records]" displayFolder="" count="0" memberValueDatatype="20" unbalanced="0"/>
    <cacheHierarchy uniqueName="[Europe_Sales_Records].[Unit Price]" caption="Unit Price" attribute="1" defaultMemberUniqueName="[Europe_Sales_Records].[Unit Price].[All]" allUniqueName="[Europe_Sales_Records].[Unit Price].[All]" dimensionUniqueName="[Europe_Sales_Records]" displayFolder="" count="0" memberValueDatatype="5" unbalanced="0"/>
    <cacheHierarchy uniqueName="[Europe_Sales_Records].[Unit Cost]" caption="Unit Cost" attribute="1" defaultMemberUniqueName="[Europe_Sales_Records].[Unit Cost].[All]" allUniqueName="[Europe_Sales_Records].[Unit Cost].[All]" dimensionUniqueName="[Europe_Sales_Records]" displayFolder="" count="0" memberValueDatatype="5" unbalanced="0"/>
    <cacheHierarchy uniqueName="[Europe_Sales_Records].[Unit Profit]" caption="Unit Profit" attribute="1" defaultMemberUniqueName="[Europe_Sales_Records].[Unit Profit].[All]" allUniqueName="[Europe_Sales_Records].[Unit Profit].[All]" dimensionUniqueName="[Europe_Sales_Records]" displayFolder="" count="0" memberValueDatatype="5" unbalanced="0"/>
    <cacheHierarchy uniqueName="[Europe_Sales_Records].[Total Revenue]" caption="Total Revenue" attribute="1" defaultMemberUniqueName="[Europe_Sales_Records].[Total Revenue].[All]" allUniqueName="[Europe_Sales_Records].[Total Revenue].[All]" dimensionUniqueName="[Europe_Sales_Records]" displayFolder="" count="0" memberValueDatatype="5" unbalanced="0"/>
    <cacheHierarchy uniqueName="[Europe_Sales_Records].[Total Cost]" caption="Total Cost" attribute="1" defaultMemberUniqueName="[Europe_Sales_Records].[Total Cost].[All]" allUniqueName="[Europe_Sales_Records].[Total Cost].[All]" dimensionUniqueName="[Europe_Sales_Records]" displayFolder="" count="0" memberValueDatatype="5" unbalanced="0"/>
    <cacheHierarchy uniqueName="[Europe_Sales_Records].[Total Profit]" caption="Total Profit" attribute="1" defaultMemberUniqueName="[Europe_Sales_Records].[Total Profit].[All]" allUniqueName="[Europe_Sales_Records].[Total Profit].[All]" dimensionUniqueName="[Europe_Sales_Records]" displayFolder="" count="0" memberValueDatatype="5" unbalanced="0"/>
    <cacheHierarchy uniqueName="[Europe_Sales_Records].[Order Date (Year)]" caption="Order Date (Year)" attribute="1" defaultMemberUniqueName="[Europe_Sales_Records].[Order Date (Year)].[All]" allUniqueName="[Europe_Sales_Records].[Order Date (Year)].[All]" dimensionUniqueName="[Europe_Sales_Records]" displayFolder="" count="2" memberValueDatatype="130" unbalanced="0">
      <fieldsUsage count="2">
        <fieldUsage x="-1"/>
        <fieldUsage x="4"/>
      </fieldsUsage>
    </cacheHierarchy>
    <cacheHierarchy uniqueName="[Europe_Sales_Records].[Order Date (Month)]" caption="Order Date (Month)" attribute="1" defaultMemberUniqueName="[Europe_Sales_Records].[Order Date (Month)].[All]" allUniqueName="[Europe_Sales_Records].[Order Date (Month)].[All]" dimensionUniqueName="[Europe_Sales_Records]" displayFolder="" count="0" memberValueDatatype="130" unbalanced="0"/>
    <cacheHierarchy uniqueName="[Europe_Sales_Records].[Order Date (Month Index)]" caption="Order Date (Month Index)" attribute="1" defaultMemberUniqueName="[Europe_Sales_Records].[Order Date (Month Index)].[All]" allUniqueName="[Europe_Sales_Records].[Order Date (Month Index)].[All]" dimensionUniqueName="[Europe_Sales_Records]" displayFolder="" count="0" memberValueDatatype="20" unbalanced="0" hidden="1"/>
    <cacheHierarchy uniqueName="[Measures].[__XL_Count Europe_Sales_Records]" caption="__XL_Count Europe_Sales_Records" measure="1" displayFolder="" measureGroup="Europe_Sales_Records" count="0" hidden="1"/>
    <cacheHierarchy uniqueName="[Measures].[__No measures defined]" caption="__No measures defined" measure="1" displayFolder="" count="0" hidden="1"/>
    <cacheHierarchy uniqueName="[Measures].[Count of Total Profit]" caption="Count of Total Profit" measure="1" displayFolder="" measureGroup="Europe_Sales_Records" count="0" hidden="1">
      <extLst>
        <ext xmlns:x15="http://schemas.microsoft.com/office/spreadsheetml/2010/11/main" uri="{B97F6D7D-B522-45F9-BDA1-12C45D357490}">
          <x15:cacheHierarchy aggregatedColumn="15"/>
        </ext>
      </extLst>
    </cacheHierarchy>
    <cacheHierarchy uniqueName="[Measures].[Count of Total Revenue]" caption="Count of Total Revenue" measure="1" displayFolder="" measureGroup="Europe_Sales_Records" count="0" hidden="1">
      <extLst>
        <ext xmlns:x15="http://schemas.microsoft.com/office/spreadsheetml/2010/11/main" uri="{B97F6D7D-B522-45F9-BDA1-12C45D357490}">
          <x15:cacheHierarchy aggregatedColumn="13"/>
        </ext>
      </extLst>
    </cacheHierarchy>
    <cacheHierarchy uniqueName="[Measures].[Count of Total Cost]" caption="Count of Total Cost" measure="1" displayFolder="" measureGroup="Europe_Sales_Records" count="0" hidden="1">
      <extLst>
        <ext xmlns:x15="http://schemas.microsoft.com/office/spreadsheetml/2010/11/main" uri="{B97F6D7D-B522-45F9-BDA1-12C45D357490}">
          <x15:cacheHierarchy aggregatedColumn="14"/>
        </ext>
      </extLst>
    </cacheHierarchy>
    <cacheHierarchy uniqueName="[Measures].[Count of Order Priority]" caption="Count of Order Priority" measure="1" displayFolder="" measureGroup="Europe_Sales_Records" count="0" hidden="1">
      <extLst>
        <ext xmlns:x15="http://schemas.microsoft.com/office/spreadsheetml/2010/11/main" uri="{B97F6D7D-B522-45F9-BDA1-12C45D357490}">
          <x15:cacheHierarchy aggregatedColumn="4"/>
        </ext>
      </extLst>
    </cacheHierarchy>
    <cacheHierarchy uniqueName="[Measures].[Count of Units Sold]" caption="Count of Units Sold" measure="1" displayFolder="" measureGroup="Europe_Sales_Records" count="0" hidden="1">
      <extLst>
        <ext xmlns:x15="http://schemas.microsoft.com/office/spreadsheetml/2010/11/main" uri="{B97F6D7D-B522-45F9-BDA1-12C45D357490}">
          <x15:cacheHierarchy aggregatedColumn="9"/>
        </ext>
      </extLst>
    </cacheHierarchy>
    <cacheHierarchy uniqueName="[Measures].[Sum of Total Revenue]" caption="Sum of Total Revenue" measure="1" displayFolder="" measureGroup="Europe_Sales_Records"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Europe_Sales_Records"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Europe_Sales_Records" count="0" hidden="1">
      <extLst>
        <ext xmlns:x15="http://schemas.microsoft.com/office/spreadsheetml/2010/11/main" uri="{B97F6D7D-B522-45F9-BDA1-12C45D357490}">
          <x15:cacheHierarchy aggregatedColumn="9"/>
        </ext>
      </extLst>
    </cacheHierarchy>
    <cacheHierarchy uniqueName="[Measures].[Sum of Unit Profit]" caption="Sum of Unit Profit" measure="1" displayFolder="" measureGroup="Europe_Sales_Records" count="0" hidden="1">
      <extLst>
        <ext xmlns:x15="http://schemas.microsoft.com/office/spreadsheetml/2010/11/main" uri="{B97F6D7D-B522-45F9-BDA1-12C45D357490}">
          <x15:cacheHierarchy aggregatedColumn="12"/>
        </ext>
      </extLst>
    </cacheHierarchy>
    <cacheHierarchy uniqueName="[Measures].[Sum of Unit Cost]" caption="Sum of Unit Cost" measure="1" displayFolder="" measureGroup="Europe_Sales_Records" count="0" hidden="1">
      <extLst>
        <ext xmlns:x15="http://schemas.microsoft.com/office/spreadsheetml/2010/11/main" uri="{B97F6D7D-B522-45F9-BDA1-12C45D357490}">
          <x15:cacheHierarchy aggregatedColumn="11"/>
        </ext>
      </extLst>
    </cacheHierarchy>
    <cacheHierarchy uniqueName="[Measures].[Count of Unit Cost]" caption="Count of Unit Cost" measure="1" displayFolder="" measureGroup="Europe_Sales_Records" count="0" hidden="1">
      <extLst>
        <ext xmlns:x15="http://schemas.microsoft.com/office/spreadsheetml/2010/11/main" uri="{B97F6D7D-B522-45F9-BDA1-12C45D357490}">
          <x15:cacheHierarchy aggregatedColumn="11"/>
        </ext>
      </extLst>
    </cacheHierarchy>
    <cacheHierarchy uniqueName="[Measures].[Sum of Unit Price]" caption="Sum of Unit Price" measure="1" displayFolder="" measureGroup="Europe_Sales_Records" count="0" hidden="1">
      <extLst>
        <ext xmlns:x15="http://schemas.microsoft.com/office/spreadsheetml/2010/11/main" uri="{B97F6D7D-B522-45F9-BDA1-12C45D357490}">
          <x15:cacheHierarchy aggregatedColumn="10"/>
        </ext>
      </extLst>
    </cacheHierarchy>
    <cacheHierarchy uniqueName="[Measures].[Sum of Total Cost]" caption="Sum of Total Cost" measure="1" displayFolder="" measureGroup="Europe_Sales_Records"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Europe_Sales_Records" count="0" hidden="1">
      <extLst>
        <ext xmlns:x15="http://schemas.microsoft.com/office/spreadsheetml/2010/11/main" uri="{B97F6D7D-B522-45F9-BDA1-12C45D357490}">
          <x15:cacheHierarchy aggregatedColumn="1"/>
        </ext>
      </extLst>
    </cacheHierarchy>
    <cacheHierarchy uniqueName="[Measures].[Sum of Shipping Time]" caption="Sum of Shipping Time" measure="1" displayFolder="" measureGroup="Europe_Sales_Records" count="0" hidden="1">
      <extLst>
        <ext xmlns:x15="http://schemas.microsoft.com/office/spreadsheetml/2010/11/main" uri="{B97F6D7D-B522-45F9-BDA1-12C45D357490}">
          <x15:cacheHierarchy aggregatedColumn="8"/>
        </ext>
      </extLst>
    </cacheHierarchy>
  </cacheHierarchies>
  <kpis count="0"/>
  <dimensions count="2">
    <dimension name="Europe_Sales_Records" uniqueName="[Europe_Sales_Records]" caption="Europe_Sales_Records"/>
    <dimension measure="1" name="Measures" uniqueName="[Measures]" caption="Measures"/>
  </dimensions>
  <measureGroups count="1">
    <measureGroup name="Europe_Sales_Records" caption="Europe_Sales_Recor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a&amp;Marina" refreshedDate="46146.14762974537" backgroundQuery="1" createdVersion="8" refreshedVersion="8" minRefreshableVersion="3" recordCount="0" supportSubquery="1" supportAdvancedDrill="1" xr:uid="{D209FF20-48E0-4335-9711-8E7825F8786F}">
  <cacheSource type="external" connectionId="2"/>
  <cacheFields count="3">
    <cacheField name="[Europe_Sales_Records].[Country].[Country]" caption="Country" numFmtId="0" hierarchy="1" level="1">
      <sharedItems count="9">
        <s v="Croatia"/>
        <s v="Cyprus"/>
        <s v="Czech Republic"/>
        <s v="Denmark"/>
        <s v="Estonia"/>
        <s v="Finland"/>
        <s v="France"/>
        <s v="Georgia"/>
        <s v="Germany"/>
      </sharedItems>
    </cacheField>
    <cacheField name="[Measures].[Sum of Total Revenue]" caption="Sum of Total Revenue" numFmtId="0" hierarchy="26" level="32767"/>
    <cacheField name="[Europe_Sales_Records].[Order Date (Year)].[Order Date (Year)]" caption="Order Date (Year)" numFmtId="0" hierarchy="16" level="1">
      <sharedItems containsSemiMixedTypes="0" containsNonDate="0" containsString="0"/>
    </cacheField>
  </cacheFields>
  <cacheHierarchies count="36">
    <cacheHierarchy uniqueName="[Europe_Sales_Records].[Region]" caption="Region" attribute="1" defaultMemberUniqueName="[Europe_Sales_Records].[Region].[All]" allUniqueName="[Europe_Sales_Records].[Region].[All]" dimensionUniqueName="[Europe_Sales_Records]" displayFolder="" count="0" memberValueDatatype="130" unbalanced="0"/>
    <cacheHierarchy uniqueName="[Europe_Sales_Records].[Country]" caption="Country" attribute="1" defaultMemberUniqueName="[Europe_Sales_Records].[Country].[All]" allUniqueName="[Europe_Sales_Records].[Country].[All]" dimensionUniqueName="[Europe_Sales_Records]" displayFolder="" count="2" memberValueDatatype="130" unbalanced="0">
      <fieldsUsage count="2">
        <fieldUsage x="-1"/>
        <fieldUsage x="0"/>
      </fieldsUsage>
    </cacheHierarchy>
    <cacheHierarchy uniqueName="[Europe_Sales_Records].[Item Type]" caption="Item Type" attribute="1" defaultMemberUniqueName="[Europe_Sales_Records].[Item Type].[All]" allUniqueName="[Europe_Sales_Records].[Item Type].[All]" dimensionUniqueName="[Europe_Sales_Records]" displayFolder="" count="0" memberValueDatatype="130" unbalanced="0"/>
    <cacheHierarchy uniqueName="[Europe_Sales_Records].[Sales Channel]" caption="Sales Channel" attribute="1" defaultMemberUniqueName="[Europe_Sales_Records].[Sales Channel].[All]" allUniqueName="[Europe_Sales_Records].[Sales Channel].[All]" dimensionUniqueName="[Europe_Sales_Records]" displayFolder="" count="0" memberValueDatatype="130" unbalanced="0"/>
    <cacheHierarchy uniqueName="[Europe_Sales_Records].[Order Priority]" caption="Order Priority" attribute="1" defaultMemberUniqueName="[Europe_Sales_Records].[Order Priority].[All]" allUniqueName="[Europe_Sales_Records].[Order Priority].[All]" dimensionUniqueName="[Europe_Sales_Records]" displayFolder="" count="0" memberValueDatatype="130" unbalanced="0"/>
    <cacheHierarchy uniqueName="[Europe_Sales_Records].[Order Date]" caption="Order Date" attribute="1" time="1" defaultMemberUniqueName="[Europe_Sales_Records].[Order Date].[All]" allUniqueName="[Europe_Sales_Records].[Order Date].[All]" dimensionUniqueName="[Europe_Sales_Records]" displayFolder="" count="0" memberValueDatatype="7" unbalanced="0"/>
    <cacheHierarchy uniqueName="[Europe_Sales_Records].[Order ID]" caption="Order ID" attribute="1" defaultMemberUniqueName="[Europe_Sales_Records].[Order ID].[All]" allUniqueName="[Europe_Sales_Records].[Order ID].[All]" dimensionUniqueName="[Europe_Sales_Records]" displayFolder="" count="0" memberValueDatatype="130" unbalanced="0"/>
    <cacheHierarchy uniqueName="[Europe_Sales_Records].[Ship Date]" caption="Ship Date" attribute="1" time="1" defaultMemberUniqueName="[Europe_Sales_Records].[Ship Date].[All]" allUniqueName="[Europe_Sales_Records].[Ship Date].[All]" dimensionUniqueName="[Europe_Sales_Records]" displayFolder="" count="0" memberValueDatatype="7" unbalanced="0"/>
    <cacheHierarchy uniqueName="[Europe_Sales_Records].[Shipping Time]" caption="Shipping Time" attribute="1" defaultMemberUniqueName="[Europe_Sales_Records].[Shipping Time].[All]" allUniqueName="[Europe_Sales_Records].[Shipping Time].[All]" dimensionUniqueName="[Europe_Sales_Records]" displayFolder="" count="0" memberValueDatatype="20" unbalanced="0"/>
    <cacheHierarchy uniqueName="[Europe_Sales_Records].[Units Sold]" caption="Units Sold" attribute="1" defaultMemberUniqueName="[Europe_Sales_Records].[Units Sold].[All]" allUniqueName="[Europe_Sales_Records].[Units Sold].[All]" dimensionUniqueName="[Europe_Sales_Records]" displayFolder="" count="0" memberValueDatatype="20" unbalanced="0"/>
    <cacheHierarchy uniqueName="[Europe_Sales_Records].[Unit Price]" caption="Unit Price" attribute="1" defaultMemberUniqueName="[Europe_Sales_Records].[Unit Price].[All]" allUniqueName="[Europe_Sales_Records].[Unit Price].[All]" dimensionUniqueName="[Europe_Sales_Records]" displayFolder="" count="0" memberValueDatatype="5" unbalanced="0"/>
    <cacheHierarchy uniqueName="[Europe_Sales_Records].[Unit Cost]" caption="Unit Cost" attribute="1" defaultMemberUniqueName="[Europe_Sales_Records].[Unit Cost].[All]" allUniqueName="[Europe_Sales_Records].[Unit Cost].[All]" dimensionUniqueName="[Europe_Sales_Records]" displayFolder="" count="0" memberValueDatatype="5" unbalanced="0"/>
    <cacheHierarchy uniqueName="[Europe_Sales_Records].[Unit Profit]" caption="Unit Profit" attribute="1" defaultMemberUniqueName="[Europe_Sales_Records].[Unit Profit].[All]" allUniqueName="[Europe_Sales_Records].[Unit Profit].[All]" dimensionUniqueName="[Europe_Sales_Records]" displayFolder="" count="0" memberValueDatatype="5" unbalanced="0"/>
    <cacheHierarchy uniqueName="[Europe_Sales_Records].[Total Revenue]" caption="Total Revenue" attribute="1" defaultMemberUniqueName="[Europe_Sales_Records].[Total Revenue].[All]" allUniqueName="[Europe_Sales_Records].[Total Revenue].[All]" dimensionUniqueName="[Europe_Sales_Records]" displayFolder="" count="0" memberValueDatatype="5" unbalanced="0"/>
    <cacheHierarchy uniqueName="[Europe_Sales_Records].[Total Cost]" caption="Total Cost" attribute="1" defaultMemberUniqueName="[Europe_Sales_Records].[Total Cost].[All]" allUniqueName="[Europe_Sales_Records].[Total Cost].[All]" dimensionUniqueName="[Europe_Sales_Records]" displayFolder="" count="0" memberValueDatatype="5" unbalanced="0"/>
    <cacheHierarchy uniqueName="[Europe_Sales_Records].[Total Profit]" caption="Total Profit" attribute="1" defaultMemberUniqueName="[Europe_Sales_Records].[Total Profit].[All]" allUniqueName="[Europe_Sales_Records].[Total Profit].[All]" dimensionUniqueName="[Europe_Sales_Records]" displayFolder="" count="0" memberValueDatatype="5" unbalanced="0"/>
    <cacheHierarchy uniqueName="[Europe_Sales_Records].[Order Date (Year)]" caption="Order Date (Year)" attribute="1" defaultMemberUniqueName="[Europe_Sales_Records].[Order Date (Year)].[All]" allUniqueName="[Europe_Sales_Records].[Order Date (Year)].[All]" dimensionUniqueName="[Europe_Sales_Records]" displayFolder="" count="2" memberValueDatatype="130" unbalanced="0">
      <fieldsUsage count="2">
        <fieldUsage x="-1"/>
        <fieldUsage x="2"/>
      </fieldsUsage>
    </cacheHierarchy>
    <cacheHierarchy uniqueName="[Europe_Sales_Records].[Order Date (Month)]" caption="Order Date (Month)" attribute="1" defaultMemberUniqueName="[Europe_Sales_Records].[Order Date (Month)].[All]" allUniqueName="[Europe_Sales_Records].[Order Date (Month)].[All]" dimensionUniqueName="[Europe_Sales_Records]" displayFolder="" count="0" memberValueDatatype="130" unbalanced="0"/>
    <cacheHierarchy uniqueName="[Europe_Sales_Records].[Order Date (Month Index)]" caption="Order Date (Month Index)" attribute="1" defaultMemberUniqueName="[Europe_Sales_Records].[Order Date (Month Index)].[All]" allUniqueName="[Europe_Sales_Records].[Order Date (Month Index)].[All]" dimensionUniqueName="[Europe_Sales_Records]" displayFolder="" count="0" memberValueDatatype="20" unbalanced="0" hidden="1"/>
    <cacheHierarchy uniqueName="[Measures].[__XL_Count Europe_Sales_Records]" caption="__XL_Count Europe_Sales_Records" measure="1" displayFolder="" measureGroup="Europe_Sales_Records" count="0" hidden="1"/>
    <cacheHierarchy uniqueName="[Measures].[__No measures defined]" caption="__No measures defined" measure="1" displayFolder="" count="0" hidden="1"/>
    <cacheHierarchy uniqueName="[Measures].[Count of Total Profit]" caption="Count of Total Profit" measure="1" displayFolder="" measureGroup="Europe_Sales_Records" count="0" hidden="1">
      <extLst>
        <ext xmlns:x15="http://schemas.microsoft.com/office/spreadsheetml/2010/11/main" uri="{B97F6D7D-B522-45F9-BDA1-12C45D357490}">
          <x15:cacheHierarchy aggregatedColumn="15"/>
        </ext>
      </extLst>
    </cacheHierarchy>
    <cacheHierarchy uniqueName="[Measures].[Count of Total Revenue]" caption="Count of Total Revenue" measure="1" displayFolder="" measureGroup="Europe_Sales_Records" count="0" hidden="1">
      <extLst>
        <ext xmlns:x15="http://schemas.microsoft.com/office/spreadsheetml/2010/11/main" uri="{B97F6D7D-B522-45F9-BDA1-12C45D357490}">
          <x15:cacheHierarchy aggregatedColumn="13"/>
        </ext>
      </extLst>
    </cacheHierarchy>
    <cacheHierarchy uniqueName="[Measures].[Count of Total Cost]" caption="Count of Total Cost" measure="1" displayFolder="" measureGroup="Europe_Sales_Records" count="0" hidden="1">
      <extLst>
        <ext xmlns:x15="http://schemas.microsoft.com/office/spreadsheetml/2010/11/main" uri="{B97F6D7D-B522-45F9-BDA1-12C45D357490}">
          <x15:cacheHierarchy aggregatedColumn="14"/>
        </ext>
      </extLst>
    </cacheHierarchy>
    <cacheHierarchy uniqueName="[Measures].[Count of Order Priority]" caption="Count of Order Priority" measure="1" displayFolder="" measureGroup="Europe_Sales_Records" count="0" hidden="1">
      <extLst>
        <ext xmlns:x15="http://schemas.microsoft.com/office/spreadsheetml/2010/11/main" uri="{B97F6D7D-B522-45F9-BDA1-12C45D357490}">
          <x15:cacheHierarchy aggregatedColumn="4"/>
        </ext>
      </extLst>
    </cacheHierarchy>
    <cacheHierarchy uniqueName="[Measures].[Count of Units Sold]" caption="Count of Units Sold" measure="1" displayFolder="" measureGroup="Europe_Sales_Records" count="0" hidden="1">
      <extLst>
        <ext xmlns:x15="http://schemas.microsoft.com/office/spreadsheetml/2010/11/main" uri="{B97F6D7D-B522-45F9-BDA1-12C45D357490}">
          <x15:cacheHierarchy aggregatedColumn="9"/>
        </ext>
      </extLst>
    </cacheHierarchy>
    <cacheHierarchy uniqueName="[Measures].[Sum of Total Revenue]" caption="Sum of Total Revenue" measure="1" displayFolder="" measureGroup="Europe_Sales_Records"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Europe_Sales_Records" count="0" hidden="1">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Europe_Sales_Records" count="0" hidden="1">
      <extLst>
        <ext xmlns:x15="http://schemas.microsoft.com/office/spreadsheetml/2010/11/main" uri="{B97F6D7D-B522-45F9-BDA1-12C45D357490}">
          <x15:cacheHierarchy aggregatedColumn="9"/>
        </ext>
      </extLst>
    </cacheHierarchy>
    <cacheHierarchy uniqueName="[Measures].[Sum of Unit Profit]" caption="Sum of Unit Profit" measure="1" displayFolder="" measureGroup="Europe_Sales_Records" count="0" hidden="1">
      <extLst>
        <ext xmlns:x15="http://schemas.microsoft.com/office/spreadsheetml/2010/11/main" uri="{B97F6D7D-B522-45F9-BDA1-12C45D357490}">
          <x15:cacheHierarchy aggregatedColumn="12"/>
        </ext>
      </extLst>
    </cacheHierarchy>
    <cacheHierarchy uniqueName="[Measures].[Sum of Unit Cost]" caption="Sum of Unit Cost" measure="1" displayFolder="" measureGroup="Europe_Sales_Records" count="0" hidden="1">
      <extLst>
        <ext xmlns:x15="http://schemas.microsoft.com/office/spreadsheetml/2010/11/main" uri="{B97F6D7D-B522-45F9-BDA1-12C45D357490}">
          <x15:cacheHierarchy aggregatedColumn="11"/>
        </ext>
      </extLst>
    </cacheHierarchy>
    <cacheHierarchy uniqueName="[Measures].[Count of Unit Cost]" caption="Count of Unit Cost" measure="1" displayFolder="" measureGroup="Europe_Sales_Records" count="0" hidden="1">
      <extLst>
        <ext xmlns:x15="http://schemas.microsoft.com/office/spreadsheetml/2010/11/main" uri="{B97F6D7D-B522-45F9-BDA1-12C45D357490}">
          <x15:cacheHierarchy aggregatedColumn="11"/>
        </ext>
      </extLst>
    </cacheHierarchy>
    <cacheHierarchy uniqueName="[Measures].[Sum of Unit Price]" caption="Sum of Unit Price" measure="1" displayFolder="" measureGroup="Europe_Sales_Records" count="0" hidden="1">
      <extLst>
        <ext xmlns:x15="http://schemas.microsoft.com/office/spreadsheetml/2010/11/main" uri="{B97F6D7D-B522-45F9-BDA1-12C45D357490}">
          <x15:cacheHierarchy aggregatedColumn="10"/>
        </ext>
      </extLst>
    </cacheHierarchy>
    <cacheHierarchy uniqueName="[Measures].[Sum of Total Cost]" caption="Sum of Total Cost" measure="1" displayFolder="" measureGroup="Europe_Sales_Records" count="0" hidden="1">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Europe_Sales_Records" count="0" hidden="1">
      <extLst>
        <ext xmlns:x15="http://schemas.microsoft.com/office/spreadsheetml/2010/11/main" uri="{B97F6D7D-B522-45F9-BDA1-12C45D357490}">
          <x15:cacheHierarchy aggregatedColumn="1"/>
        </ext>
      </extLst>
    </cacheHierarchy>
    <cacheHierarchy uniqueName="[Measures].[Sum of Shipping Time]" caption="Sum of Shipping Time" measure="1" displayFolder="" measureGroup="Europe_Sales_Records" count="0" hidden="1">
      <extLst>
        <ext xmlns:x15="http://schemas.microsoft.com/office/spreadsheetml/2010/11/main" uri="{B97F6D7D-B522-45F9-BDA1-12C45D357490}">
          <x15:cacheHierarchy aggregatedColumn="8"/>
        </ext>
      </extLst>
    </cacheHierarchy>
  </cacheHierarchies>
  <kpis count="0"/>
  <dimensions count="2">
    <dimension name="Europe_Sales_Records" uniqueName="[Europe_Sales_Records]" caption="Europe_Sales_Records"/>
    <dimension measure="1" name="Measures" uniqueName="[Measures]" caption="Measures"/>
  </dimensions>
  <measureGroups count="1">
    <measureGroup name="Europe_Sales_Records" caption="Europe_Sales_Recor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a&amp;Marina" refreshedDate="46146.019565046299" backgroundQuery="1" createdVersion="3" refreshedVersion="8" minRefreshableVersion="3" recordCount="0" supportSubquery="1" supportAdvancedDrill="1" xr:uid="{F119A10D-7D68-438B-880B-5312C94CCC80}">
  <cacheSource type="external" connectionId="2">
    <extLst>
      <ext xmlns:x14="http://schemas.microsoft.com/office/spreadsheetml/2009/9/main" uri="{F057638F-6D5F-4e77-A914-E7F072B9BCA8}">
        <x14:sourceConnection name="ThisWorkbookDataModel"/>
      </ext>
    </extLst>
  </cacheSource>
  <cacheFields count="0"/>
  <cacheHierarchies count="36">
    <cacheHierarchy uniqueName="[Europe_Sales_Records].[Region]" caption="Region" attribute="1" defaultMemberUniqueName="[Europe_Sales_Records].[Region].[All]" allUniqueName="[Europe_Sales_Records].[Region].[All]" dimensionUniqueName="[Europe_Sales_Records]" displayFolder="" count="0" memberValueDatatype="130" unbalanced="0"/>
    <cacheHierarchy uniqueName="[Europe_Sales_Records].[Country]" caption="Country" attribute="1" defaultMemberUniqueName="[Europe_Sales_Records].[Country].[All]" allUniqueName="[Europe_Sales_Records].[Country].[All]" dimensionUniqueName="[Europe_Sales_Records]" displayFolder="" count="2" memberValueDatatype="130" unbalanced="0"/>
    <cacheHierarchy uniqueName="[Europe_Sales_Records].[Item Type]" caption="Item Type" attribute="1" defaultMemberUniqueName="[Europe_Sales_Records].[Item Type].[All]" allUniqueName="[Europe_Sales_Records].[Item Type].[All]" dimensionUniqueName="[Europe_Sales_Records]" displayFolder="" count="0" memberValueDatatype="130" unbalanced="0"/>
    <cacheHierarchy uniqueName="[Europe_Sales_Records].[Sales Channel]" caption="Sales Channel" attribute="1" defaultMemberUniqueName="[Europe_Sales_Records].[Sales Channel].[All]" allUniqueName="[Europe_Sales_Records].[Sales Channel].[All]" dimensionUniqueName="[Europe_Sales_Records]" displayFolder="" count="0" memberValueDatatype="130" unbalanced="0"/>
    <cacheHierarchy uniqueName="[Europe_Sales_Records].[Order Priority]" caption="Order Priority" attribute="1" defaultMemberUniqueName="[Europe_Sales_Records].[Order Priority].[All]" allUniqueName="[Europe_Sales_Records].[Order Priority].[All]" dimensionUniqueName="[Europe_Sales_Records]" displayFolder="" count="0" memberValueDatatype="130" unbalanced="0"/>
    <cacheHierarchy uniqueName="[Europe_Sales_Records].[Order Date]" caption="Order Date" attribute="1" time="1" defaultMemberUniqueName="[Europe_Sales_Records].[Order Date].[All]" allUniqueName="[Europe_Sales_Records].[Order Date].[All]" dimensionUniqueName="[Europe_Sales_Records]" displayFolder="" count="0" memberValueDatatype="7" unbalanced="0"/>
    <cacheHierarchy uniqueName="[Europe_Sales_Records].[Order ID]" caption="Order ID" attribute="1" defaultMemberUniqueName="[Europe_Sales_Records].[Order ID].[All]" allUniqueName="[Europe_Sales_Records].[Order ID].[All]" dimensionUniqueName="[Europe_Sales_Records]" displayFolder="" count="0" memberValueDatatype="130" unbalanced="0"/>
    <cacheHierarchy uniqueName="[Europe_Sales_Records].[Ship Date]" caption="Ship Date" attribute="1" time="1" defaultMemberUniqueName="[Europe_Sales_Records].[Ship Date].[All]" allUniqueName="[Europe_Sales_Records].[Ship Date].[All]" dimensionUniqueName="[Europe_Sales_Records]" displayFolder="" count="0" memberValueDatatype="7" unbalanced="0"/>
    <cacheHierarchy uniqueName="[Europe_Sales_Records].[Shipping Time]" caption="Shipping Time" attribute="1" defaultMemberUniqueName="[Europe_Sales_Records].[Shipping Time].[All]" allUniqueName="[Europe_Sales_Records].[Shipping Time].[All]" dimensionUniqueName="[Europe_Sales_Records]" displayFolder="" count="0" memberValueDatatype="20" unbalanced="0"/>
    <cacheHierarchy uniqueName="[Europe_Sales_Records].[Units Sold]" caption="Units Sold" attribute="1" defaultMemberUniqueName="[Europe_Sales_Records].[Units Sold].[All]" allUniqueName="[Europe_Sales_Records].[Units Sold].[All]" dimensionUniqueName="[Europe_Sales_Records]" displayFolder="" count="0" memberValueDatatype="20" unbalanced="0"/>
    <cacheHierarchy uniqueName="[Europe_Sales_Records].[Unit Price]" caption="Unit Price" attribute="1" defaultMemberUniqueName="[Europe_Sales_Records].[Unit Price].[All]" allUniqueName="[Europe_Sales_Records].[Unit Price].[All]" dimensionUniqueName="[Europe_Sales_Records]" displayFolder="" count="0" memberValueDatatype="5" unbalanced="0"/>
    <cacheHierarchy uniqueName="[Europe_Sales_Records].[Unit Cost]" caption="Unit Cost" attribute="1" defaultMemberUniqueName="[Europe_Sales_Records].[Unit Cost].[All]" allUniqueName="[Europe_Sales_Records].[Unit Cost].[All]" dimensionUniqueName="[Europe_Sales_Records]" displayFolder="" count="0" memberValueDatatype="5" unbalanced="0"/>
    <cacheHierarchy uniqueName="[Europe_Sales_Records].[Unit Profit]" caption="Unit Profit" attribute="1" defaultMemberUniqueName="[Europe_Sales_Records].[Unit Profit].[All]" allUniqueName="[Europe_Sales_Records].[Unit Profit].[All]" dimensionUniqueName="[Europe_Sales_Records]" displayFolder="" count="0" memberValueDatatype="5" unbalanced="0"/>
    <cacheHierarchy uniqueName="[Europe_Sales_Records].[Total Revenue]" caption="Total Revenue" attribute="1" defaultMemberUniqueName="[Europe_Sales_Records].[Total Revenue].[All]" allUniqueName="[Europe_Sales_Records].[Total Revenue].[All]" dimensionUniqueName="[Europe_Sales_Records]" displayFolder="" count="0" memberValueDatatype="5" unbalanced="0"/>
    <cacheHierarchy uniqueName="[Europe_Sales_Records].[Total Cost]" caption="Total Cost" attribute="1" defaultMemberUniqueName="[Europe_Sales_Records].[Total Cost].[All]" allUniqueName="[Europe_Sales_Records].[Total Cost].[All]" dimensionUniqueName="[Europe_Sales_Records]" displayFolder="" count="0" memberValueDatatype="5" unbalanced="0"/>
    <cacheHierarchy uniqueName="[Europe_Sales_Records].[Total Profit]" caption="Total Profit" attribute="1" defaultMemberUniqueName="[Europe_Sales_Records].[Total Profit].[All]" allUniqueName="[Europe_Sales_Records].[Total Profit].[All]" dimensionUniqueName="[Europe_Sales_Records]" displayFolder="" count="0" memberValueDatatype="5" unbalanced="0"/>
    <cacheHierarchy uniqueName="[Europe_Sales_Records].[Order Date (Year)]" caption="Order Date (Year)" attribute="1" defaultMemberUniqueName="[Europe_Sales_Records].[Order Date (Year)].[All]" allUniqueName="[Europe_Sales_Records].[Order Date (Year)].[All]" dimensionUniqueName="[Europe_Sales_Records]" displayFolder="" count="2" memberValueDatatype="130" unbalanced="0"/>
    <cacheHierarchy uniqueName="[Europe_Sales_Records].[Order Date (Month)]" caption="Order Date (Month)" attribute="1" defaultMemberUniqueName="[Europe_Sales_Records].[Order Date (Month)].[All]" allUniqueName="[Europe_Sales_Records].[Order Date (Month)].[All]" dimensionUniqueName="[Europe_Sales_Records]" displayFolder="" count="0" memberValueDatatype="130" unbalanced="0"/>
    <cacheHierarchy uniqueName="[Europe_Sales_Records].[Order Date (Month Index)]" caption="Order Date (Month Index)" attribute="1" defaultMemberUniqueName="[Europe_Sales_Records].[Order Date (Month Index)].[All]" allUniqueName="[Europe_Sales_Records].[Order Date (Month Index)].[All]" dimensionUniqueName="[Europe_Sales_Records]" displayFolder="" count="0" memberValueDatatype="20" unbalanced="0" hidden="1"/>
    <cacheHierarchy uniqueName="[Measures].[__XL_Count Europe_Sales_Records]" caption="__XL_Count Europe_Sales_Records" measure="1" displayFolder="" measureGroup="Europe_Sales_Records" count="0" hidden="1"/>
    <cacheHierarchy uniqueName="[Measures].[__No measures defined]" caption="__No measures defined" measure="1" displayFolder="" count="0" hidden="1"/>
    <cacheHierarchy uniqueName="[Measures].[Count of Total Profit]" caption="Count of Total Profit" measure="1" displayFolder="" measureGroup="Europe_Sales_Records" count="0" hidden="1">
      <extLst>
        <ext xmlns:x15="http://schemas.microsoft.com/office/spreadsheetml/2010/11/main" uri="{B97F6D7D-B522-45F9-BDA1-12C45D357490}">
          <x15:cacheHierarchy aggregatedColumn="15"/>
        </ext>
      </extLst>
    </cacheHierarchy>
    <cacheHierarchy uniqueName="[Measures].[Count of Total Revenue]" caption="Count of Total Revenue" measure="1" displayFolder="" measureGroup="Europe_Sales_Records" count="0" hidden="1">
      <extLst>
        <ext xmlns:x15="http://schemas.microsoft.com/office/spreadsheetml/2010/11/main" uri="{B97F6D7D-B522-45F9-BDA1-12C45D357490}">
          <x15:cacheHierarchy aggregatedColumn="13"/>
        </ext>
      </extLst>
    </cacheHierarchy>
    <cacheHierarchy uniqueName="[Measures].[Count of Total Cost]" caption="Count of Total Cost" measure="1" displayFolder="" measureGroup="Europe_Sales_Records" count="0" hidden="1">
      <extLst>
        <ext xmlns:x15="http://schemas.microsoft.com/office/spreadsheetml/2010/11/main" uri="{B97F6D7D-B522-45F9-BDA1-12C45D357490}">
          <x15:cacheHierarchy aggregatedColumn="14"/>
        </ext>
      </extLst>
    </cacheHierarchy>
    <cacheHierarchy uniqueName="[Measures].[Count of Order Priority]" caption="Count of Order Priority" measure="1" displayFolder="" measureGroup="Europe_Sales_Records" count="0" hidden="1">
      <extLst>
        <ext xmlns:x15="http://schemas.microsoft.com/office/spreadsheetml/2010/11/main" uri="{B97F6D7D-B522-45F9-BDA1-12C45D357490}">
          <x15:cacheHierarchy aggregatedColumn="4"/>
        </ext>
      </extLst>
    </cacheHierarchy>
    <cacheHierarchy uniqueName="[Measures].[Count of Units Sold]" caption="Count of Units Sold" measure="1" displayFolder="" measureGroup="Europe_Sales_Records" count="0" hidden="1">
      <extLst>
        <ext xmlns:x15="http://schemas.microsoft.com/office/spreadsheetml/2010/11/main" uri="{B97F6D7D-B522-45F9-BDA1-12C45D357490}">
          <x15:cacheHierarchy aggregatedColumn="9"/>
        </ext>
      </extLst>
    </cacheHierarchy>
    <cacheHierarchy uniqueName="[Measures].[Sum of Total Revenue]" caption="Sum of Total Revenue" measure="1" displayFolder="" measureGroup="Europe_Sales_Records" count="0" hidden="1">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Europe_Sales_Records" count="0" hidden="1">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Europe_Sales_Records" count="0" hidden="1">
      <extLst>
        <ext xmlns:x15="http://schemas.microsoft.com/office/spreadsheetml/2010/11/main" uri="{B97F6D7D-B522-45F9-BDA1-12C45D357490}">
          <x15:cacheHierarchy aggregatedColumn="9"/>
        </ext>
      </extLst>
    </cacheHierarchy>
    <cacheHierarchy uniqueName="[Measures].[Sum of Unit Profit]" caption="Sum of Unit Profit" measure="1" displayFolder="" measureGroup="Europe_Sales_Records" count="0" hidden="1">
      <extLst>
        <ext xmlns:x15="http://schemas.microsoft.com/office/spreadsheetml/2010/11/main" uri="{B97F6D7D-B522-45F9-BDA1-12C45D357490}">
          <x15:cacheHierarchy aggregatedColumn="12"/>
        </ext>
      </extLst>
    </cacheHierarchy>
    <cacheHierarchy uniqueName="[Measures].[Sum of Unit Cost]" caption="Sum of Unit Cost" measure="1" displayFolder="" measureGroup="Europe_Sales_Records" count="0" hidden="1">
      <extLst>
        <ext xmlns:x15="http://schemas.microsoft.com/office/spreadsheetml/2010/11/main" uri="{B97F6D7D-B522-45F9-BDA1-12C45D357490}">
          <x15:cacheHierarchy aggregatedColumn="11"/>
        </ext>
      </extLst>
    </cacheHierarchy>
    <cacheHierarchy uniqueName="[Measures].[Count of Unit Cost]" caption="Count of Unit Cost" measure="1" displayFolder="" measureGroup="Europe_Sales_Records" count="0" hidden="1">
      <extLst>
        <ext xmlns:x15="http://schemas.microsoft.com/office/spreadsheetml/2010/11/main" uri="{B97F6D7D-B522-45F9-BDA1-12C45D357490}">
          <x15:cacheHierarchy aggregatedColumn="11"/>
        </ext>
      </extLst>
    </cacheHierarchy>
    <cacheHierarchy uniqueName="[Measures].[Sum of Unit Price]" caption="Sum of Unit Price" measure="1" displayFolder="" measureGroup="Europe_Sales_Records" count="0" hidden="1">
      <extLst>
        <ext xmlns:x15="http://schemas.microsoft.com/office/spreadsheetml/2010/11/main" uri="{B97F6D7D-B522-45F9-BDA1-12C45D357490}">
          <x15:cacheHierarchy aggregatedColumn="10"/>
        </ext>
      </extLst>
    </cacheHierarchy>
    <cacheHierarchy uniqueName="[Measures].[Sum of Total Cost]" caption="Sum of Total Cost" measure="1" displayFolder="" measureGroup="Europe_Sales_Records" count="0" hidden="1">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Europe_Sales_Records" count="0" hidden="1">
      <extLst>
        <ext xmlns:x15="http://schemas.microsoft.com/office/spreadsheetml/2010/11/main" uri="{B97F6D7D-B522-45F9-BDA1-12C45D357490}">
          <x15:cacheHierarchy aggregatedColumn="1"/>
        </ext>
      </extLst>
    </cacheHierarchy>
    <cacheHierarchy uniqueName="[Measures].[Sum of Shipping Time]" caption="Sum of Shipping Time" measure="1" displayFolder="" measureGroup="Europe_Sales_Records"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65608301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0">
  <r>
    <s v="Europe"/>
    <x v="0"/>
    <x v="0"/>
    <s v="Offline"/>
    <x v="0"/>
    <d v="2011-09-12T00:00:00"/>
    <s v="478051030"/>
    <d v="2011-09-29T00:00:00"/>
    <n v="17"/>
    <n v="4778"/>
    <n v="47.45"/>
    <n v="31.79"/>
    <n v="15.660000000000004"/>
    <n v="226716.1"/>
    <n v="151892.62"/>
    <n v="74823.48"/>
  </r>
  <r>
    <s v="Europe"/>
    <x v="1"/>
    <x v="1"/>
    <s v="Online"/>
    <x v="1"/>
    <d v="2013-10-14T00:00:00"/>
    <s v="919133651"/>
    <d v="2013-11-04T00:00:00"/>
    <n v="21"/>
    <n v="927"/>
    <n v="109.28"/>
    <n v="35.840000000000003"/>
    <n v="73.44"/>
    <n v="101302.56"/>
    <n v="33223.68"/>
    <n v="68078.880000000005"/>
  </r>
  <r>
    <s v="Europe"/>
    <x v="2"/>
    <x v="2"/>
    <s v="Offline"/>
    <x v="0"/>
    <d v="2014-08-13T00:00:00"/>
    <s v="987410676"/>
    <d v="2014-09-06T00:00:00"/>
    <n v="24"/>
    <n v="5616"/>
    <n v="205.7"/>
    <n v="117.11"/>
    <n v="88.589999999999989"/>
    <n v="1155211.2"/>
    <n v="657689.76"/>
    <n v="497521.44"/>
  </r>
  <r>
    <s v="Europe"/>
    <x v="3"/>
    <x v="3"/>
    <s v="Online"/>
    <x v="2"/>
    <d v="2010-10-31T00:00:00"/>
    <s v="672330081"/>
    <d v="2010-11-29T00:00:00"/>
    <n v="29"/>
    <n v="6266"/>
    <n v="651.21"/>
    <n v="524.96"/>
    <n v="126.25"/>
    <n v="4080481.86"/>
    <n v="3289399.36"/>
    <n v="791082.5"/>
  </r>
  <r>
    <s v="Europe"/>
    <x v="4"/>
    <x v="4"/>
    <s v="Online"/>
    <x v="2"/>
    <d v="2016-09-28T00:00:00"/>
    <s v="579463422"/>
    <d v="2016-11-01T00:00:00"/>
    <n v="34"/>
    <n v="4958"/>
    <n v="9.33"/>
    <n v="6.92"/>
    <n v="2.41"/>
    <n v="46258.14"/>
    <n v="34309.360000000001"/>
    <n v="11948.78"/>
  </r>
  <r>
    <s v="Europe"/>
    <x v="5"/>
    <x v="4"/>
    <s v="Offline"/>
    <x v="2"/>
    <d v="2016-05-29T00:00:00"/>
    <s v="313705861"/>
    <d v="2016-07-10T00:00:00"/>
    <n v="42"/>
    <n v="1390"/>
    <n v="9.33"/>
    <n v="6.92"/>
    <n v="2.41"/>
    <n v="12968.7"/>
    <n v="9618.7999999999993"/>
    <n v="3349.9"/>
  </r>
  <r>
    <s v="Europe"/>
    <x v="0"/>
    <x v="2"/>
    <s v="Online"/>
    <x v="1"/>
    <d v="2011-07-08T00:00:00"/>
    <s v="552037513"/>
    <d v="2011-08-05T00:00:00"/>
    <n v="28"/>
    <n v="9022"/>
    <n v="205.7"/>
    <n v="117.11"/>
    <n v="88.589999999999989"/>
    <n v="1855825.4"/>
    <n v="1056566.42"/>
    <n v="799258.98"/>
  </r>
  <r>
    <s v="Europe"/>
    <x v="6"/>
    <x v="5"/>
    <s v="Offline"/>
    <x v="2"/>
    <d v="2010-02-13T00:00:00"/>
    <s v="744683635"/>
    <d v="2010-04-01T00:00:00"/>
    <n v="47"/>
    <n v="7291"/>
    <n v="154.06"/>
    <n v="90.93"/>
    <n v="63.129999999999995"/>
    <n v="1123251.46"/>
    <n v="662970.63"/>
    <n v="460280.83"/>
  </r>
  <r>
    <s v="Europe"/>
    <x v="7"/>
    <x v="6"/>
    <s v="Online"/>
    <x v="2"/>
    <d v="2014-03-21T00:00:00"/>
    <s v="169378983"/>
    <d v="2014-04-10T00:00:00"/>
    <n v="20"/>
    <n v="1860"/>
    <n v="421.89"/>
    <n v="364.69"/>
    <n v="57.199999999999989"/>
    <n v="784715.4"/>
    <n v="678323.4"/>
    <n v="106392"/>
  </r>
  <r>
    <s v="Europe"/>
    <x v="8"/>
    <x v="0"/>
    <s v="Online"/>
    <x v="3"/>
    <d v="2012-03-16T00:00:00"/>
    <s v="566428315"/>
    <d v="2012-03-23T00:00:00"/>
    <n v="7"/>
    <n v="7581"/>
    <n v="47.45"/>
    <n v="31.79"/>
    <n v="15.660000000000004"/>
    <n v="359718.45"/>
    <n v="240999.99"/>
    <n v="118718.46"/>
  </r>
  <r>
    <s v="Europe"/>
    <x v="9"/>
    <x v="7"/>
    <s v="Online"/>
    <x v="1"/>
    <d v="2015-01-12T00:00:00"/>
    <s v="519380223"/>
    <d v="2015-01-17T00:00:00"/>
    <n v="5"/>
    <n v="5005"/>
    <n v="152.58000000000001"/>
    <n v="97.44"/>
    <n v="55.140000000000015"/>
    <n v="763662.9"/>
    <n v="487687.2"/>
    <n v="275975.7"/>
  </r>
  <r>
    <s v="Europe"/>
    <x v="10"/>
    <x v="3"/>
    <s v="Online"/>
    <x v="3"/>
    <d v="2014-04-13T00:00:00"/>
    <s v="904589211"/>
    <d v="2014-05-04T00:00:00"/>
    <n v="21"/>
    <n v="6905"/>
    <n v="651.21"/>
    <n v="524.96"/>
    <n v="126.25"/>
    <n v="4496605.05"/>
    <n v="3624848.8"/>
    <n v="871756.25"/>
  </r>
  <r>
    <s v="Europe"/>
    <x v="1"/>
    <x v="8"/>
    <s v="Online"/>
    <x v="0"/>
    <d v="2015-04-04T00:00:00"/>
    <s v="184412229"/>
    <d v="2015-04-07T00:00:00"/>
    <n v="3"/>
    <n v="531"/>
    <n v="255.28"/>
    <n v="159.41999999999999"/>
    <n v="95.860000000000014"/>
    <n v="135553.68"/>
    <n v="84652.02"/>
    <n v="50901.66"/>
  </r>
  <r>
    <s v="Europe"/>
    <x v="11"/>
    <x v="6"/>
    <s v="Offline"/>
    <x v="1"/>
    <d v="2017-03-08T00:00:00"/>
    <s v="747774398"/>
    <d v="2017-04-03T00:00:00"/>
    <n v="26"/>
    <n v="1916"/>
    <n v="421.89"/>
    <n v="364.69"/>
    <n v="57.199999999999989"/>
    <n v="808341.24"/>
    <n v="698746.04"/>
    <n v="109595.2"/>
  </r>
  <r>
    <s v="Europe"/>
    <x v="12"/>
    <x v="9"/>
    <s v="Online"/>
    <x v="1"/>
    <d v="2017-07-10T00:00:00"/>
    <s v="194176757"/>
    <d v="2017-08-20T00:00:00"/>
    <n v="41"/>
    <n v="72"/>
    <n v="668.27"/>
    <n v="502.54"/>
    <n v="165.72999999999996"/>
    <n v="48115.44"/>
    <n v="36182.879999999997"/>
    <n v="11932.56"/>
  </r>
  <r>
    <s v="Europe"/>
    <x v="13"/>
    <x v="10"/>
    <s v="Online"/>
    <x v="3"/>
    <d v="2011-01-22T00:00:00"/>
    <s v="773645913"/>
    <d v="2011-01-28T00:00:00"/>
    <n v="6"/>
    <n v="7873"/>
    <n v="437.2"/>
    <n v="263.33"/>
    <n v="173.87"/>
    <n v="3442075.6"/>
    <n v="2073197.09"/>
    <n v="1368878.51"/>
  </r>
  <r>
    <s v="Europe"/>
    <x v="1"/>
    <x v="6"/>
    <s v="Online"/>
    <x v="3"/>
    <d v="2012-07-24T00:00:00"/>
    <s v="410740888"/>
    <d v="2012-09-01T00:00:00"/>
    <n v="39"/>
    <n v="6211"/>
    <n v="421.89"/>
    <n v="364.69"/>
    <n v="57.199999999999989"/>
    <n v="2620358.79"/>
    <n v="2265089.59"/>
    <n v="355269.2"/>
  </r>
  <r>
    <s v="Europe"/>
    <x v="14"/>
    <x v="6"/>
    <s v="Offline"/>
    <x v="1"/>
    <d v="2011-12-15T00:00:00"/>
    <s v="847317397"/>
    <d v="2011-12-18T00:00:00"/>
    <n v="3"/>
    <n v="8902"/>
    <n v="421.89"/>
    <n v="364.69"/>
    <n v="57.199999999999989"/>
    <n v="3755664.78"/>
    <n v="3246470.38"/>
    <n v="509194.4"/>
  </r>
  <r>
    <s v="Europe"/>
    <x v="15"/>
    <x v="0"/>
    <s v="Online"/>
    <x v="2"/>
    <d v="2012-09-03T00:00:00"/>
    <s v="599624192"/>
    <d v="2012-09-21T00:00:00"/>
    <n v="18"/>
    <n v="978"/>
    <n v="47.45"/>
    <n v="31.79"/>
    <n v="15.660000000000004"/>
    <n v="46406.1"/>
    <n v="31090.62"/>
    <n v="15315.48"/>
  </r>
  <r>
    <s v="Europe"/>
    <x v="16"/>
    <x v="3"/>
    <s v="Online"/>
    <x v="1"/>
    <d v="2014-01-21T00:00:00"/>
    <s v="734318292"/>
    <d v="2014-03-04T00:00:00"/>
    <n v="42"/>
    <n v="9956"/>
    <n v="651.21"/>
    <n v="524.96"/>
    <n v="126.25"/>
    <n v="6483446.7599999998"/>
    <n v="5226501.76"/>
    <n v="1256945"/>
  </r>
  <r>
    <s v="Europe"/>
    <x v="17"/>
    <x v="9"/>
    <s v="Offline"/>
    <x v="2"/>
    <d v="2017-07-07T00:00:00"/>
    <s v="232196319"/>
    <d v="2017-08-04T00:00:00"/>
    <n v="28"/>
    <n v="905"/>
    <n v="668.27"/>
    <n v="502.54"/>
    <n v="165.72999999999996"/>
    <n v="604784.35"/>
    <n v="454798.7"/>
    <n v="149985.65"/>
  </r>
  <r>
    <s v="Europe"/>
    <x v="18"/>
    <x v="10"/>
    <s v="Online"/>
    <x v="2"/>
    <d v="2012-07-15T00:00:00"/>
    <s v="229693067"/>
    <d v="2012-07-15T00:00:00"/>
    <n v="0"/>
    <n v="138"/>
    <n v="437.2"/>
    <n v="263.33"/>
    <n v="173.87"/>
    <n v="60333.599999999999"/>
    <n v="36339.54"/>
    <n v="23994.06"/>
  </r>
  <r>
    <s v="Europe"/>
    <x v="19"/>
    <x v="0"/>
    <s v="Online"/>
    <x v="0"/>
    <d v="2017-04-08T00:00:00"/>
    <s v="121945512"/>
    <d v="2017-04-12T00:00:00"/>
    <n v="4"/>
    <n v="5242"/>
    <n v="47.45"/>
    <n v="31.79"/>
    <n v="15.660000000000004"/>
    <n v="248732.9"/>
    <n v="166643.18"/>
    <n v="82089.72"/>
  </r>
  <r>
    <s v="Europe"/>
    <x v="20"/>
    <x v="4"/>
    <s v="Online"/>
    <x v="3"/>
    <d v="2012-10-22T00:00:00"/>
    <s v="169799983"/>
    <d v="2012-11-20T00:00:00"/>
    <n v="29"/>
    <n v="6443"/>
    <n v="9.33"/>
    <n v="6.92"/>
    <n v="2.41"/>
    <n v="60113.19"/>
    <n v="44585.56"/>
    <n v="15527.63"/>
  </r>
  <r>
    <s v="Europe"/>
    <x v="21"/>
    <x v="5"/>
    <s v="Online"/>
    <x v="1"/>
    <d v="2014-03-11T00:00:00"/>
    <s v="894589078"/>
    <d v="2014-04-10T00:00:00"/>
    <n v="30"/>
    <n v="7643"/>
    <n v="154.06"/>
    <n v="90.93"/>
    <n v="63.129999999999995"/>
    <n v="1177480.58"/>
    <n v="694977.99"/>
    <n v="482502.59"/>
  </r>
  <r>
    <s v="Europe"/>
    <x v="13"/>
    <x v="11"/>
    <s v="Online"/>
    <x v="1"/>
    <d v="2010-07-16T00:00:00"/>
    <s v="987459170"/>
    <d v="2010-08-27T00:00:00"/>
    <n v="42"/>
    <n v="9967"/>
    <n v="81.73"/>
    <n v="56.67"/>
    <n v="25.060000000000002"/>
    <n v="814602.91"/>
    <n v="564829.89"/>
    <n v="249773.02"/>
  </r>
  <r>
    <s v="Europe"/>
    <x v="22"/>
    <x v="4"/>
    <s v="Offline"/>
    <x v="1"/>
    <d v="2015-07-12T00:00:00"/>
    <s v="600515115"/>
    <d v="2015-08-30T00:00:00"/>
    <n v="49"/>
    <n v="4622"/>
    <n v="9.33"/>
    <n v="6.92"/>
    <n v="2.41"/>
    <n v="43123.26"/>
    <n v="31984.240000000002"/>
    <n v="11139.02"/>
  </r>
  <r>
    <s v="Europe"/>
    <x v="17"/>
    <x v="3"/>
    <s v="Offline"/>
    <x v="1"/>
    <d v="2015-11-27T00:00:00"/>
    <s v="208365428"/>
    <d v="2015-12-29T00:00:00"/>
    <n v="32"/>
    <n v="8815"/>
    <n v="651.21"/>
    <n v="524.96"/>
    <n v="126.25"/>
    <n v="5740416.1500000004"/>
    <n v="4627522.4000000004"/>
    <n v="1112893.75"/>
  </r>
  <r>
    <s v="Europe"/>
    <x v="23"/>
    <x v="11"/>
    <s v="Online"/>
    <x v="2"/>
    <d v="2014-06-08T00:00:00"/>
    <s v="263098371"/>
    <d v="2014-07-04T00:00:00"/>
    <n v="26"/>
    <n v="5509"/>
    <n v="81.73"/>
    <n v="56.67"/>
    <n v="25.060000000000002"/>
    <n v="450250.57"/>
    <n v="312195.03000000003"/>
    <n v="138055.54"/>
  </r>
  <r>
    <s v="Europe"/>
    <x v="4"/>
    <x v="10"/>
    <s v="Online"/>
    <x v="0"/>
    <d v="2011-05-23T00:00:00"/>
    <s v="790149009"/>
    <d v="2011-05-29T00:00:00"/>
    <n v="6"/>
    <n v="1505"/>
    <n v="437.2"/>
    <n v="263.33"/>
    <n v="173.87"/>
    <n v="657986"/>
    <n v="396311.65"/>
    <n v="261674.35"/>
  </r>
  <r>
    <s v="Europe"/>
    <x v="24"/>
    <x v="2"/>
    <s v="Online"/>
    <x v="1"/>
    <d v="2014-10-08T00:00:00"/>
    <s v="100640618"/>
    <d v="2014-10-18T00:00:00"/>
    <n v="10"/>
    <n v="650"/>
    <n v="205.7"/>
    <n v="117.11"/>
    <n v="88.589999999999989"/>
    <n v="133705"/>
    <n v="76121.5"/>
    <n v="57583.5"/>
  </r>
  <r>
    <s v="Europe"/>
    <x v="6"/>
    <x v="7"/>
    <s v="Online"/>
    <x v="3"/>
    <d v="2011-02-01T00:00:00"/>
    <s v="977324712"/>
    <d v="2011-03-10T00:00:00"/>
    <n v="37"/>
    <n v="955"/>
    <n v="152.58000000000001"/>
    <n v="97.44"/>
    <n v="55.140000000000015"/>
    <n v="145713.9"/>
    <n v="93055.2"/>
    <n v="52658.7"/>
  </r>
  <r>
    <s v="Europe"/>
    <x v="6"/>
    <x v="7"/>
    <s v="Online"/>
    <x v="3"/>
    <d v="2010-09-07T00:00:00"/>
    <s v="510956799"/>
    <d v="2010-09-23T00:00:00"/>
    <n v="16"/>
    <n v="2326"/>
    <n v="152.58000000000001"/>
    <n v="97.44"/>
    <n v="55.140000000000015"/>
    <n v="354901.08"/>
    <n v="226645.44"/>
    <n v="128255.64"/>
  </r>
  <r>
    <s v="Europe"/>
    <x v="25"/>
    <x v="4"/>
    <s v="Online"/>
    <x v="1"/>
    <d v="2011-03-23T00:00:00"/>
    <s v="120977771"/>
    <d v="2011-05-02T00:00:00"/>
    <n v="40"/>
    <n v="8866"/>
    <n v="9.33"/>
    <n v="6.92"/>
    <n v="2.41"/>
    <n v="82719.78"/>
    <n v="61352.72"/>
    <n v="21367.06"/>
  </r>
  <r>
    <s v="Europe"/>
    <x v="3"/>
    <x v="7"/>
    <s v="Offline"/>
    <x v="2"/>
    <d v="2017-03-11T00:00:00"/>
    <s v="476991450"/>
    <d v="2017-03-27T00:00:00"/>
    <n v="16"/>
    <n v="1225"/>
    <n v="152.58000000000001"/>
    <n v="97.44"/>
    <n v="55.140000000000015"/>
    <n v="186910.5"/>
    <n v="119364"/>
    <n v="67546.5"/>
  </r>
  <r>
    <s v="Europe"/>
    <x v="26"/>
    <x v="0"/>
    <s v="Online"/>
    <x v="3"/>
    <d v="2016-06-05T00:00:00"/>
    <s v="973268353"/>
    <d v="2016-06-26T00:00:00"/>
    <n v="21"/>
    <n v="589"/>
    <n v="47.45"/>
    <n v="31.79"/>
    <n v="15.660000000000004"/>
    <n v="27948.05"/>
    <n v="18724.310000000001"/>
    <n v="9223.74"/>
  </r>
  <r>
    <s v="Europe"/>
    <x v="8"/>
    <x v="5"/>
    <s v="Offline"/>
    <x v="2"/>
    <d v="2013-02-14T00:00:00"/>
    <s v="771674382"/>
    <d v="2013-03-21T00:00:00"/>
    <n v="35"/>
    <n v="4453"/>
    <n v="154.06"/>
    <n v="90.93"/>
    <n v="63.129999999999995"/>
    <n v="686029.18"/>
    <n v="404911.29"/>
    <n v="281117.89"/>
  </r>
  <r>
    <s v="Europe"/>
    <x v="27"/>
    <x v="4"/>
    <s v="Online"/>
    <x v="2"/>
    <d v="2010-05-02T00:00:00"/>
    <s v="291995418"/>
    <d v="2010-06-06T00:00:00"/>
    <n v="35"/>
    <n v="6788"/>
    <n v="9.33"/>
    <n v="6.92"/>
    <n v="2.41"/>
    <n v="63332.04"/>
    <n v="46972.959999999999"/>
    <n v="16359.08"/>
  </r>
  <r>
    <s v="Europe"/>
    <x v="28"/>
    <x v="8"/>
    <s v="Online"/>
    <x v="1"/>
    <d v="2011-01-25T00:00:00"/>
    <s v="128686225"/>
    <d v="2011-03-13T00:00:00"/>
    <n v="47"/>
    <n v="9968"/>
    <n v="255.28"/>
    <n v="159.41999999999999"/>
    <n v="95.860000000000014"/>
    <n v="2544631.04"/>
    <n v="1589098.56"/>
    <n v="955532.48"/>
  </r>
  <r>
    <s v="Europe"/>
    <x v="29"/>
    <x v="10"/>
    <s v="Offline"/>
    <x v="2"/>
    <d v="2012-01-06T00:00:00"/>
    <s v="420875346"/>
    <d v="2012-02-18T00:00:00"/>
    <n v="43"/>
    <n v="5223"/>
    <n v="437.2"/>
    <n v="263.33"/>
    <n v="173.87"/>
    <n v="2283495.6"/>
    <n v="1375372.59"/>
    <n v="908123.01"/>
  </r>
  <r>
    <s v="Europe"/>
    <x v="30"/>
    <x v="5"/>
    <s v="Online"/>
    <x v="0"/>
    <d v="2012-10-05T00:00:00"/>
    <s v="476633536"/>
    <d v="2012-11-03T00:00:00"/>
    <n v="29"/>
    <n v="5310"/>
    <n v="154.06"/>
    <n v="90.93"/>
    <n v="63.129999999999995"/>
    <n v="818058.6"/>
    <n v="482838.3"/>
    <n v="335220.3"/>
  </r>
  <r>
    <s v="Europe"/>
    <x v="22"/>
    <x v="5"/>
    <s v="Offline"/>
    <x v="0"/>
    <d v="2014-07-02T00:00:00"/>
    <s v="727997720"/>
    <d v="2014-07-19T00:00:00"/>
    <n v="17"/>
    <n v="9558"/>
    <n v="154.06"/>
    <n v="90.93"/>
    <n v="63.129999999999995"/>
    <n v="1472505.48"/>
    <n v="869108.94"/>
    <n v="603396.54"/>
  </r>
  <r>
    <s v="Europe"/>
    <x v="31"/>
    <x v="11"/>
    <s v="Online"/>
    <x v="1"/>
    <d v="2013-03-11T00:00:00"/>
    <s v="467045819"/>
    <d v="2013-04-12T00:00:00"/>
    <n v="32"/>
    <n v="8092"/>
    <n v="81.73"/>
    <n v="56.67"/>
    <n v="25.060000000000002"/>
    <n v="661359.16"/>
    <n v="458573.64"/>
    <n v="202785.52"/>
  </r>
  <r>
    <s v="Europe"/>
    <x v="27"/>
    <x v="10"/>
    <s v="Offline"/>
    <x v="0"/>
    <d v="2012-11-01T00:00:00"/>
    <s v="813973891"/>
    <d v="2012-11-13T00:00:00"/>
    <n v="12"/>
    <n v="1818"/>
    <n v="437.2"/>
    <n v="263.33"/>
    <n v="173.87"/>
    <n v="794829.6"/>
    <n v="478733.94"/>
    <n v="316095.65999999997"/>
  </r>
  <r>
    <s v="Europe"/>
    <x v="30"/>
    <x v="10"/>
    <s v="Offline"/>
    <x v="2"/>
    <d v="2016-09-30T00:00:00"/>
    <s v="576944720"/>
    <d v="2016-10-09T00:00:00"/>
    <n v="9"/>
    <n v="9619"/>
    <n v="437.2"/>
    <n v="263.33"/>
    <n v="173.87"/>
    <n v="4205426.8"/>
    <n v="2532971.27"/>
    <n v="1672455.53"/>
  </r>
  <r>
    <s v="Europe"/>
    <x v="16"/>
    <x v="8"/>
    <s v="Online"/>
    <x v="2"/>
    <d v="2015-08-03T00:00:00"/>
    <s v="404789817"/>
    <d v="2015-09-08T00:00:00"/>
    <n v="36"/>
    <n v="5157"/>
    <n v="255.28"/>
    <n v="159.41999999999999"/>
    <n v="95.860000000000014"/>
    <n v="1316478.96"/>
    <n v="822128.94"/>
    <n v="494350.02"/>
  </r>
  <r>
    <s v="Europe"/>
    <x v="1"/>
    <x v="8"/>
    <s v="Online"/>
    <x v="0"/>
    <d v="2014-04-30T00:00:00"/>
    <s v="871923768"/>
    <d v="2014-05-30T00:00:00"/>
    <n v="30"/>
    <n v="474"/>
    <n v="255.28"/>
    <n v="159.41999999999999"/>
    <n v="95.860000000000014"/>
    <n v="121002.72"/>
    <n v="75565.08"/>
    <n v="45437.64"/>
  </r>
  <r>
    <s v="Europe"/>
    <x v="27"/>
    <x v="5"/>
    <s v="Offline"/>
    <x v="0"/>
    <d v="2012-12-18T00:00:00"/>
    <s v="818976962"/>
    <d v="2012-12-21T00:00:00"/>
    <n v="3"/>
    <n v="2337"/>
    <n v="154.06"/>
    <n v="90.93"/>
    <n v="63.129999999999995"/>
    <n v="360038.22"/>
    <n v="212503.41"/>
    <n v="147534.81"/>
  </r>
  <r>
    <s v="Europe"/>
    <x v="7"/>
    <x v="10"/>
    <s v="Online"/>
    <x v="0"/>
    <d v="2017-07-20T00:00:00"/>
    <s v="233811223"/>
    <d v="2017-07-20T00:00:00"/>
    <n v="0"/>
    <n v="8792"/>
    <n v="437.2"/>
    <n v="263.33"/>
    <n v="173.87"/>
    <n v="3843862.4"/>
    <n v="2315197.36"/>
    <n v="1528665.04"/>
  </r>
  <r>
    <s v="Europe"/>
    <x v="29"/>
    <x v="3"/>
    <s v="Offline"/>
    <x v="0"/>
    <d v="2016-12-15T00:00:00"/>
    <s v="112330758"/>
    <d v="2017-01-11T00:00:00"/>
    <n v="27"/>
    <n v="22"/>
    <n v="651.21"/>
    <n v="524.96"/>
    <n v="126.25"/>
    <n v="14326.62"/>
    <n v="11549.12"/>
    <n v="2777.5"/>
  </r>
  <r>
    <s v="Europe"/>
    <x v="5"/>
    <x v="3"/>
    <s v="Offline"/>
    <x v="3"/>
    <d v="2014-07-02T00:00:00"/>
    <s v="256095016"/>
    <d v="2014-08-21T00:00:00"/>
    <n v="50"/>
    <n v="3061"/>
    <n v="651.21"/>
    <n v="524.96"/>
    <n v="126.25"/>
    <n v="1993353.81"/>
    <n v="1606902.56"/>
    <n v="386451.25"/>
  </r>
  <r>
    <s v="Europe"/>
    <x v="32"/>
    <x v="6"/>
    <s v="Online"/>
    <x v="2"/>
    <d v="2015-11-28T00:00:00"/>
    <s v="245440852"/>
    <d v="2015-12-17T00:00:00"/>
    <n v="19"/>
    <n v="257"/>
    <n v="421.89"/>
    <n v="364.69"/>
    <n v="57.199999999999989"/>
    <n v="108425.73"/>
    <n v="93725.33"/>
    <n v="14700.4"/>
  </r>
  <r>
    <s v="Europe"/>
    <x v="33"/>
    <x v="4"/>
    <s v="Online"/>
    <x v="3"/>
    <d v="2011-10-22T00:00:00"/>
    <s v="817006289"/>
    <d v="2011-11-14T00:00:00"/>
    <n v="23"/>
    <n v="9172"/>
    <n v="9.33"/>
    <n v="6.92"/>
    <n v="2.41"/>
    <n v="85574.76"/>
    <n v="63470.239999999998"/>
    <n v="22104.52"/>
  </r>
  <r>
    <s v="Europe"/>
    <x v="34"/>
    <x v="5"/>
    <s v="Online"/>
    <x v="3"/>
    <d v="2010-09-20T00:00:00"/>
    <s v="298228013"/>
    <d v="2010-10-25T00:00:00"/>
    <n v="35"/>
    <n v="1151"/>
    <n v="154.06"/>
    <n v="90.93"/>
    <n v="63.129999999999995"/>
    <n v="177323.06"/>
    <n v="104660.43"/>
    <n v="72662.63"/>
  </r>
  <r>
    <s v="Europe"/>
    <x v="14"/>
    <x v="7"/>
    <s v="Online"/>
    <x v="0"/>
    <d v="2017-03-15T00:00:00"/>
    <s v="972981679"/>
    <d v="2017-04-09T00:00:00"/>
    <n v="25"/>
    <n v="5755"/>
    <n v="152.58000000000001"/>
    <n v="97.44"/>
    <n v="55.140000000000015"/>
    <n v="878097.9"/>
    <n v="560767.19999999995"/>
    <n v="317330.7"/>
  </r>
  <r>
    <s v="Europe"/>
    <x v="24"/>
    <x v="11"/>
    <s v="Offline"/>
    <x v="1"/>
    <d v="2012-06-08T00:00:00"/>
    <s v="594813811"/>
    <d v="2012-06-17T00:00:00"/>
    <n v="9"/>
    <n v="7480"/>
    <n v="81.73"/>
    <n v="56.67"/>
    <n v="25.060000000000002"/>
    <n v="611340.4"/>
    <n v="423891.6"/>
    <n v="187448.8"/>
  </r>
  <r>
    <s v="Europe"/>
    <x v="4"/>
    <x v="1"/>
    <s v="Online"/>
    <x v="3"/>
    <d v="2012-09-08T00:00:00"/>
    <s v="176722657"/>
    <d v="2012-09-16T00:00:00"/>
    <n v="8"/>
    <n v="5016"/>
    <n v="109.28"/>
    <n v="35.840000000000003"/>
    <n v="73.44"/>
    <n v="548148.47999999998"/>
    <n v="179773.44"/>
    <n v="368375.03999999998"/>
  </r>
  <r>
    <s v="Europe"/>
    <x v="21"/>
    <x v="11"/>
    <s v="Offline"/>
    <x v="1"/>
    <d v="2011-08-16T00:00:00"/>
    <s v="466988742"/>
    <d v="2011-08-16T00:00:00"/>
    <n v="0"/>
    <n v="1201"/>
    <n v="81.73"/>
    <n v="56.67"/>
    <n v="25.060000000000002"/>
    <n v="98157.73"/>
    <n v="68060.67"/>
    <n v="30097.06"/>
  </r>
  <r>
    <s v="Europe"/>
    <x v="16"/>
    <x v="2"/>
    <s v="Online"/>
    <x v="0"/>
    <d v="2015-08-11T00:00:00"/>
    <s v="615080583"/>
    <d v="2015-09-19T00:00:00"/>
    <n v="39"/>
    <n v="4868"/>
    <n v="205.7"/>
    <n v="117.11"/>
    <n v="88.589999999999989"/>
    <n v="1001347.6"/>
    <n v="570091.48"/>
    <n v="431256.12"/>
  </r>
  <r>
    <s v="Europe"/>
    <x v="35"/>
    <x v="10"/>
    <s v="Online"/>
    <x v="0"/>
    <d v="2010-12-26T00:00:00"/>
    <s v="350977408"/>
    <d v="2011-01-22T00:00:00"/>
    <n v="27"/>
    <n v="869"/>
    <n v="437.2"/>
    <n v="263.33"/>
    <n v="173.87"/>
    <n v="379926.8"/>
    <n v="228833.77"/>
    <n v="151093.03"/>
  </r>
  <r>
    <s v="Europe"/>
    <x v="36"/>
    <x v="11"/>
    <s v="Offline"/>
    <x v="1"/>
    <d v="2011-12-08T00:00:00"/>
    <s v="701298367"/>
    <d v="2012-01-06T00:00:00"/>
    <n v="29"/>
    <n v="8626"/>
    <n v="81.73"/>
    <n v="56.67"/>
    <n v="25.060000000000002"/>
    <n v="705002.98"/>
    <n v="488835.42"/>
    <n v="216167.56"/>
  </r>
  <r>
    <s v="Europe"/>
    <x v="37"/>
    <x v="11"/>
    <s v="Online"/>
    <x v="0"/>
    <d v="2011-02-25T00:00:00"/>
    <s v="309342658"/>
    <d v="2011-03-28T00:00:00"/>
    <n v="31"/>
    <n v="222"/>
    <n v="81.73"/>
    <n v="56.67"/>
    <n v="25.060000000000002"/>
    <n v="18144.060000000001"/>
    <n v="12580.74"/>
    <n v="5563.32"/>
  </r>
  <r>
    <s v="Europe"/>
    <x v="24"/>
    <x v="9"/>
    <s v="Offline"/>
    <x v="1"/>
    <d v="2010-03-20T00:00:00"/>
    <s v="384128224"/>
    <d v="2010-04-26T00:00:00"/>
    <n v="37"/>
    <n v="933"/>
    <n v="668.27"/>
    <n v="502.54"/>
    <n v="165.72999999999996"/>
    <n v="623495.91"/>
    <n v="468869.82"/>
    <n v="154626.09"/>
  </r>
  <r>
    <s v="Europe"/>
    <x v="11"/>
    <x v="9"/>
    <s v="Offline"/>
    <x v="0"/>
    <d v="2014-01-17T00:00:00"/>
    <s v="990774810"/>
    <d v="2014-02-18T00:00:00"/>
    <n v="32"/>
    <n v="1138"/>
    <n v="668.27"/>
    <n v="502.54"/>
    <n v="165.72999999999996"/>
    <n v="760491.26"/>
    <n v="571890.52"/>
    <n v="188600.74"/>
  </r>
  <r>
    <s v="Europe"/>
    <x v="9"/>
    <x v="5"/>
    <s v="Offline"/>
    <x v="0"/>
    <d v="2011-12-26T00:00:00"/>
    <s v="394110763"/>
    <d v="2011-12-29T00:00:00"/>
    <n v="3"/>
    <n v="4988"/>
    <n v="154.06"/>
    <n v="90.93"/>
    <n v="63.129999999999995"/>
    <n v="768451.28"/>
    <n v="453558.84"/>
    <n v="314892.44"/>
  </r>
  <r>
    <s v="Europe"/>
    <x v="27"/>
    <x v="4"/>
    <s v="Online"/>
    <x v="0"/>
    <d v="2012-03-02T00:00:00"/>
    <s v="899868094"/>
    <d v="2012-03-26T00:00:00"/>
    <n v="24"/>
    <n v="9821"/>
    <n v="9.33"/>
    <n v="6.92"/>
    <n v="2.41"/>
    <n v="91629.93"/>
    <n v="67961.320000000007"/>
    <n v="23668.61"/>
  </r>
  <r>
    <s v="Europe"/>
    <x v="38"/>
    <x v="8"/>
    <s v="Offline"/>
    <x v="2"/>
    <d v="2017-01-06T00:00:00"/>
    <s v="361311852"/>
    <d v="2017-02-15T00:00:00"/>
    <n v="40"/>
    <n v="9061"/>
    <n v="255.28"/>
    <n v="159.41999999999999"/>
    <n v="95.860000000000014"/>
    <n v="2313092.08"/>
    <n v="1444504.62"/>
    <n v="868587.46"/>
  </r>
  <r>
    <s v="Europe"/>
    <x v="28"/>
    <x v="0"/>
    <s v="Online"/>
    <x v="2"/>
    <d v="2014-05-20T00:00:00"/>
    <s v="930136287"/>
    <d v="2014-06-21T00:00:00"/>
    <n v="32"/>
    <n v="6852"/>
    <n v="47.45"/>
    <n v="31.79"/>
    <n v="15.660000000000004"/>
    <n v="325127.40000000002"/>
    <n v="217825.08"/>
    <n v="107302.32"/>
  </r>
  <r>
    <s v="Europe"/>
    <x v="3"/>
    <x v="10"/>
    <s v="Online"/>
    <x v="0"/>
    <d v="2012-05-05T00:00:00"/>
    <s v="179819428"/>
    <d v="2012-06-02T00:00:00"/>
    <n v="28"/>
    <n v="1420"/>
    <n v="437.2"/>
    <n v="263.33"/>
    <n v="173.87"/>
    <n v="620824"/>
    <n v="373928.6"/>
    <n v="246895.4"/>
  </r>
  <r>
    <s v="Europe"/>
    <x v="1"/>
    <x v="4"/>
    <s v="Online"/>
    <x v="3"/>
    <d v="2013-01-05T00:00:00"/>
    <s v="291305768"/>
    <d v="2013-01-06T00:00:00"/>
    <n v="1"/>
    <n v="2705"/>
    <n v="9.33"/>
    <n v="6.92"/>
    <n v="2.41"/>
    <n v="25237.65"/>
    <n v="18718.599999999999"/>
    <n v="6519.05"/>
  </r>
  <r>
    <s v="Europe"/>
    <x v="12"/>
    <x v="11"/>
    <s v="Online"/>
    <x v="2"/>
    <d v="2015-04-24T00:00:00"/>
    <s v="602357041"/>
    <d v="2015-05-05T00:00:00"/>
    <n v="11"/>
    <n v="9689"/>
    <n v="81.73"/>
    <n v="56.67"/>
    <n v="25.060000000000002"/>
    <n v="791881.97"/>
    <n v="549075.63"/>
    <n v="242806.34"/>
  </r>
  <r>
    <s v="Europe"/>
    <x v="30"/>
    <x v="7"/>
    <s v="Online"/>
    <x v="3"/>
    <d v="2010-12-02T00:00:00"/>
    <s v="653087270"/>
    <d v="2010-12-07T00:00:00"/>
    <n v="5"/>
    <n v="1891"/>
    <n v="152.58000000000001"/>
    <n v="97.44"/>
    <n v="55.140000000000015"/>
    <n v="288528.78000000003"/>
    <n v="184259.04"/>
    <n v="104269.74"/>
  </r>
  <r>
    <s v="Europe"/>
    <x v="20"/>
    <x v="4"/>
    <s v="Offline"/>
    <x v="1"/>
    <d v="2013-12-15T00:00:00"/>
    <s v="812637078"/>
    <d v="2014-01-05T00:00:00"/>
    <n v="21"/>
    <n v="6225"/>
    <n v="9.33"/>
    <n v="6.92"/>
    <n v="2.41"/>
    <n v="58079.25"/>
    <n v="43077"/>
    <n v="15002.25"/>
  </r>
  <r>
    <s v="Europe"/>
    <x v="35"/>
    <x v="11"/>
    <s v="Online"/>
    <x v="2"/>
    <d v="2014-07-19T00:00:00"/>
    <s v="456192958"/>
    <d v="2014-08-18T00:00:00"/>
    <n v="30"/>
    <n v="6489"/>
    <n v="81.73"/>
    <n v="56.67"/>
    <n v="25.060000000000002"/>
    <n v="530345.97"/>
    <n v="367731.63"/>
    <n v="162614.34"/>
  </r>
  <r>
    <s v="Europe"/>
    <x v="30"/>
    <x v="6"/>
    <s v="Offline"/>
    <x v="3"/>
    <d v="2013-01-31T00:00:00"/>
    <s v="986449801"/>
    <d v="2013-03-13T00:00:00"/>
    <n v="41"/>
    <n v="1272"/>
    <n v="421.89"/>
    <n v="364.69"/>
    <n v="57.199999999999989"/>
    <n v="536644.07999999996"/>
    <n v="463885.68"/>
    <n v="72758.399999999994"/>
  </r>
  <r>
    <s v="Europe"/>
    <x v="34"/>
    <x v="10"/>
    <s v="Online"/>
    <x v="2"/>
    <d v="2017-07-03T00:00:00"/>
    <s v="910610234"/>
    <d v="2017-07-31T00:00:00"/>
    <n v="28"/>
    <n v="8659"/>
    <n v="437.2"/>
    <n v="263.33"/>
    <n v="173.87"/>
    <n v="3785714.8"/>
    <n v="2280174.4700000002"/>
    <n v="1505540.33"/>
  </r>
  <r>
    <s v="Europe"/>
    <x v="24"/>
    <x v="6"/>
    <s v="Online"/>
    <x v="1"/>
    <d v="2017-03-03T00:00:00"/>
    <s v="696844613"/>
    <d v="2017-03-22T00:00:00"/>
    <n v="19"/>
    <n v="661"/>
    <n v="421.89"/>
    <n v="364.69"/>
    <n v="57.199999999999989"/>
    <n v="278869.28999999998"/>
    <n v="241060.09"/>
    <n v="37809.199999999997"/>
  </r>
  <r>
    <s v="Europe"/>
    <x v="0"/>
    <x v="11"/>
    <s v="Online"/>
    <x v="1"/>
    <d v="2010-12-04T00:00:00"/>
    <s v="353415429"/>
    <d v="2010-12-08T00:00:00"/>
    <n v="4"/>
    <n v="2334"/>
    <n v="81.73"/>
    <n v="56.67"/>
    <n v="25.060000000000002"/>
    <n v="190757.82"/>
    <n v="132267.78"/>
    <n v="58490.04"/>
  </r>
  <r>
    <s v="Europe"/>
    <x v="39"/>
    <x v="2"/>
    <s v="Online"/>
    <x v="3"/>
    <d v="2010-03-19T00:00:00"/>
    <s v="696197879"/>
    <d v="2010-03-26T00:00:00"/>
    <n v="7"/>
    <n v="9278"/>
    <n v="205.7"/>
    <n v="117.11"/>
    <n v="88.589999999999989"/>
    <n v="1908484.6"/>
    <n v="1086546.58"/>
    <n v="821938.02"/>
  </r>
  <r>
    <s v="Europe"/>
    <x v="40"/>
    <x v="10"/>
    <s v="Online"/>
    <x v="0"/>
    <d v="2012-04-05T00:00:00"/>
    <s v="907349526"/>
    <d v="2012-05-16T00:00:00"/>
    <n v="41"/>
    <n v="3743"/>
    <n v="437.2"/>
    <n v="263.33"/>
    <n v="173.87"/>
    <n v="1636439.6"/>
    <n v="985644.19"/>
    <n v="650795.41"/>
  </r>
  <r>
    <s v="Europe"/>
    <x v="17"/>
    <x v="11"/>
    <s v="Offline"/>
    <x v="0"/>
    <d v="2014-04-05T00:00:00"/>
    <s v="386440074"/>
    <d v="2014-04-25T00:00:00"/>
    <n v="20"/>
    <n v="5060"/>
    <n v="81.73"/>
    <n v="56.67"/>
    <n v="25.060000000000002"/>
    <n v="413553.8"/>
    <n v="286750.2"/>
    <n v="126803.6"/>
  </r>
  <r>
    <s v="Europe"/>
    <x v="8"/>
    <x v="5"/>
    <s v="Online"/>
    <x v="3"/>
    <d v="2012-09-28T00:00:00"/>
    <s v="800352561"/>
    <d v="2012-10-21T00:00:00"/>
    <n v="23"/>
    <n v="963"/>
    <n v="154.06"/>
    <n v="90.93"/>
    <n v="63.129999999999995"/>
    <n v="148359.78"/>
    <n v="87565.59"/>
    <n v="60794.19"/>
  </r>
  <r>
    <s v="Europe"/>
    <x v="17"/>
    <x v="0"/>
    <s v="Offline"/>
    <x v="0"/>
    <d v="2014-01-08T00:00:00"/>
    <s v="714165675"/>
    <d v="2014-02-02T00:00:00"/>
    <n v="25"/>
    <n v="6348"/>
    <n v="47.45"/>
    <n v="31.79"/>
    <n v="15.660000000000004"/>
    <n v="301212.59999999998"/>
    <n v="201802.92"/>
    <n v="99409.68"/>
  </r>
  <r>
    <s v="Europe"/>
    <x v="41"/>
    <x v="0"/>
    <s v="Offline"/>
    <x v="2"/>
    <d v="2013-02-22T00:00:00"/>
    <s v="189924275"/>
    <d v="2013-03-21T00:00:00"/>
    <n v="27"/>
    <n v="1668"/>
    <n v="47.45"/>
    <n v="31.79"/>
    <n v="15.660000000000004"/>
    <n v="79146.600000000006"/>
    <n v="53025.72"/>
    <n v="26120.880000000001"/>
  </r>
  <r>
    <s v="Europe"/>
    <x v="17"/>
    <x v="6"/>
    <s v="Online"/>
    <x v="3"/>
    <d v="2013-04-30T00:00:00"/>
    <s v="546081721"/>
    <d v="2013-05-22T00:00:00"/>
    <n v="22"/>
    <n v="6571"/>
    <n v="421.89"/>
    <n v="364.69"/>
    <n v="57.199999999999989"/>
    <n v="2772239.19"/>
    <n v="2396377.9900000002"/>
    <n v="375861.2"/>
  </r>
  <r>
    <s v="Europe"/>
    <x v="7"/>
    <x v="8"/>
    <s v="Online"/>
    <x v="0"/>
    <d v="2010-06-26T00:00:00"/>
    <s v="979073941"/>
    <d v="2010-07-18T00:00:00"/>
    <n v="22"/>
    <n v="8591"/>
    <n v="255.28"/>
    <n v="159.41999999999999"/>
    <n v="95.860000000000014"/>
    <n v="2193110.48"/>
    <n v="1369577.22"/>
    <n v="823533.26"/>
  </r>
  <r>
    <s v="Europe"/>
    <x v="1"/>
    <x v="11"/>
    <s v="Offline"/>
    <x v="2"/>
    <d v="2010-02-07T00:00:00"/>
    <s v="396718728"/>
    <d v="2010-03-18T00:00:00"/>
    <n v="39"/>
    <n v="6742"/>
    <n v="81.73"/>
    <n v="56.67"/>
    <n v="25.060000000000002"/>
    <n v="551023.66"/>
    <n v="382069.14"/>
    <n v="168954.52"/>
  </r>
  <r>
    <s v="Europe"/>
    <x v="28"/>
    <x v="0"/>
    <s v="Offline"/>
    <x v="1"/>
    <d v="2010-12-03T00:00:00"/>
    <s v="948075759"/>
    <d v="2011-01-04T00:00:00"/>
    <n v="32"/>
    <n v="5540"/>
    <n v="47.45"/>
    <n v="31.79"/>
    <n v="15.660000000000004"/>
    <n v="262873"/>
    <n v="176116.6"/>
    <n v="86756.4"/>
  </r>
  <r>
    <s v="Europe"/>
    <x v="34"/>
    <x v="2"/>
    <s v="Offline"/>
    <x v="2"/>
    <d v="2012-10-19T00:00:00"/>
    <s v="737736070"/>
    <d v="2012-11-03T00:00:00"/>
    <n v="15"/>
    <n v="1352"/>
    <n v="205.7"/>
    <n v="117.11"/>
    <n v="88.589999999999989"/>
    <n v="278106.40000000002"/>
    <n v="158332.72"/>
    <n v="119773.68"/>
  </r>
  <r>
    <s v="Europe"/>
    <x v="42"/>
    <x v="9"/>
    <s v="Offline"/>
    <x v="2"/>
    <d v="2010-02-20T00:00:00"/>
    <s v="585362994"/>
    <d v="2010-04-11T00:00:00"/>
    <n v="50"/>
    <n v="773"/>
    <n v="668.27"/>
    <n v="502.54"/>
    <n v="165.72999999999996"/>
    <n v="516572.71"/>
    <n v="388463.42"/>
    <n v="128109.29"/>
  </r>
  <r>
    <s v="Europe"/>
    <x v="0"/>
    <x v="8"/>
    <s v="Offline"/>
    <x v="3"/>
    <d v="2015-07-18T00:00:00"/>
    <s v="850872075"/>
    <d v="2015-08-01T00:00:00"/>
    <n v="14"/>
    <n v="810"/>
    <n v="255.28"/>
    <n v="159.41999999999999"/>
    <n v="95.860000000000014"/>
    <n v="206776.8"/>
    <n v="129130.2"/>
    <n v="77646.600000000006"/>
  </r>
  <r>
    <s v="Europe"/>
    <x v="1"/>
    <x v="3"/>
    <s v="Offline"/>
    <x v="0"/>
    <d v="2012-11-08T00:00:00"/>
    <s v="575583016"/>
    <d v="2012-11-24T00:00:00"/>
    <n v="16"/>
    <n v="6660"/>
    <n v="651.21"/>
    <n v="524.96"/>
    <n v="126.25"/>
    <n v="4337058.5999999996"/>
    <n v="3496233.6"/>
    <n v="840825"/>
  </r>
  <r>
    <s v="Europe"/>
    <x v="27"/>
    <x v="6"/>
    <s v="Offline"/>
    <x v="3"/>
    <d v="2011-02-01T00:00:00"/>
    <s v="515773189"/>
    <d v="2011-02-17T00:00:00"/>
    <n v="16"/>
    <n v="7603"/>
    <n v="421.89"/>
    <n v="364.69"/>
    <n v="57.199999999999989"/>
    <n v="3207629.67"/>
    <n v="2772738.07"/>
    <n v="434891.6"/>
  </r>
  <r>
    <s v="Europe"/>
    <x v="23"/>
    <x v="11"/>
    <s v="Online"/>
    <x v="3"/>
    <d v="2016-03-29T00:00:00"/>
    <s v="351247346"/>
    <d v="2016-05-08T00:00:00"/>
    <n v="40"/>
    <n v="750"/>
    <n v="81.73"/>
    <n v="56.67"/>
    <n v="25.060000000000002"/>
    <n v="61297.5"/>
    <n v="42502.5"/>
    <n v="18795"/>
  </r>
  <r>
    <s v="Europe"/>
    <x v="16"/>
    <x v="0"/>
    <s v="Offline"/>
    <x v="3"/>
    <d v="2016-01-20T00:00:00"/>
    <s v="554721438"/>
    <d v="2016-01-28T00:00:00"/>
    <n v="8"/>
    <n v="3256"/>
    <n v="47.45"/>
    <n v="31.79"/>
    <n v="15.660000000000004"/>
    <n v="154497.20000000001"/>
    <n v="103508.24"/>
    <n v="50988.959999999999"/>
  </r>
  <r>
    <s v="Europe"/>
    <x v="38"/>
    <x v="2"/>
    <s v="Offline"/>
    <x v="0"/>
    <d v="2010-02-19T00:00:00"/>
    <s v="398333632"/>
    <d v="2010-03-02T00:00:00"/>
    <n v="11"/>
    <n v="4629"/>
    <n v="205.7"/>
    <n v="117.11"/>
    <n v="88.589999999999989"/>
    <n v="952185.3"/>
    <n v="542102.18999999994"/>
    <n v="410083.11"/>
  </r>
  <r>
    <s v="Europe"/>
    <x v="43"/>
    <x v="0"/>
    <s v="Online"/>
    <x v="0"/>
    <d v="2015-12-27T00:00:00"/>
    <s v="370484149"/>
    <d v="2016-01-19T00:00:00"/>
    <n v="23"/>
    <n v="3348"/>
    <n v="47.45"/>
    <n v="31.79"/>
    <n v="15.660000000000004"/>
    <n v="158862.6"/>
    <n v="106432.92"/>
    <n v="52429.68"/>
  </r>
  <r>
    <s v="Europe"/>
    <x v="26"/>
    <x v="8"/>
    <s v="Offline"/>
    <x v="3"/>
    <d v="2013-09-29T00:00:00"/>
    <s v="306839406"/>
    <d v="2013-10-01T00:00:00"/>
    <n v="2"/>
    <n v="9454"/>
    <n v="255.28"/>
    <n v="159.41999999999999"/>
    <n v="95.860000000000014"/>
    <n v="2413417.12"/>
    <n v="1507156.68"/>
    <n v="906260.44"/>
  </r>
  <r>
    <s v="Europe"/>
    <x v="4"/>
    <x v="0"/>
    <s v="Offline"/>
    <x v="0"/>
    <d v="2017-02-09T00:00:00"/>
    <s v="653548610"/>
    <d v="2017-02-21T00:00:00"/>
    <n v="12"/>
    <n v="8412"/>
    <n v="47.45"/>
    <n v="31.79"/>
    <n v="15.660000000000004"/>
    <n v="399149.4"/>
    <n v="267417.48"/>
    <n v="131731.92000000001"/>
  </r>
  <r>
    <s v="Europe"/>
    <x v="44"/>
    <x v="5"/>
    <s v="Online"/>
    <x v="2"/>
    <d v="2012-12-31T00:00:00"/>
    <s v="413078916"/>
    <d v="2013-01-11T00:00:00"/>
    <n v="11"/>
    <n v="8086"/>
    <n v="154.06"/>
    <n v="90.93"/>
    <n v="63.129999999999995"/>
    <n v="1245729.1599999999"/>
    <n v="735259.98"/>
    <n v="510469.18"/>
  </r>
  <r>
    <s v="Europe"/>
    <x v="37"/>
    <x v="7"/>
    <s v="Online"/>
    <x v="1"/>
    <d v="2010-12-14T00:00:00"/>
    <s v="307721745"/>
    <d v="2011-01-01T00:00:00"/>
    <n v="18"/>
    <n v="558"/>
    <n v="152.58000000000001"/>
    <n v="97.44"/>
    <n v="55.140000000000015"/>
    <n v="85139.64"/>
    <n v="54371.519999999997"/>
    <n v="30768.12"/>
  </r>
  <r>
    <s v="Europe"/>
    <x v="27"/>
    <x v="3"/>
    <s v="Online"/>
    <x v="0"/>
    <d v="2011-11-09T00:00:00"/>
    <s v="374663245"/>
    <d v="2011-11-26T00:00:00"/>
    <n v="17"/>
    <n v="35"/>
    <n v="651.21"/>
    <n v="524.96"/>
    <n v="126.25"/>
    <n v="22792.35"/>
    <n v="18373.599999999999"/>
    <n v="4418.75"/>
  </r>
  <r>
    <s v="Europe"/>
    <x v="45"/>
    <x v="5"/>
    <s v="Offline"/>
    <x v="0"/>
    <d v="2010-11-16T00:00:00"/>
    <s v="901670968"/>
    <d v="2010-12-11T00:00:00"/>
    <n v="25"/>
    <n v="3331"/>
    <n v="154.06"/>
    <n v="90.93"/>
    <n v="63.129999999999995"/>
    <n v="513173.86"/>
    <n v="302887.83"/>
    <n v="210286.03"/>
  </r>
  <r>
    <s v="Europe"/>
    <x v="5"/>
    <x v="10"/>
    <s v="Offline"/>
    <x v="2"/>
    <d v="2012-08-19T00:00:00"/>
    <s v="353320157"/>
    <d v="2012-08-22T00:00:00"/>
    <n v="3"/>
    <n v="4141"/>
    <n v="437.2"/>
    <n v="263.33"/>
    <n v="173.87"/>
    <n v="1810445.2"/>
    <n v="1090449.53"/>
    <n v="719995.67"/>
  </r>
  <r>
    <s v="Europe"/>
    <x v="24"/>
    <x v="2"/>
    <s v="Offline"/>
    <x v="2"/>
    <d v="2013-06-20T00:00:00"/>
    <s v="645701968"/>
    <d v="2013-07-21T00:00:00"/>
    <n v="31"/>
    <n v="6416"/>
    <n v="205.7"/>
    <n v="117.11"/>
    <n v="88.589999999999989"/>
    <n v="1319771.2"/>
    <n v="751377.76"/>
    <n v="568393.43999999994"/>
  </r>
  <r>
    <s v="Europe"/>
    <x v="17"/>
    <x v="3"/>
    <s v="Online"/>
    <x v="3"/>
    <d v="2013-09-19T00:00:00"/>
    <s v="148894631"/>
    <d v="2013-09-25T00:00:00"/>
    <n v="6"/>
    <n v="85"/>
    <n v="651.21"/>
    <n v="524.96"/>
    <n v="126.25"/>
    <n v="55352.85"/>
    <n v="44621.599999999999"/>
    <n v="10731.25"/>
  </r>
  <r>
    <s v="Europe"/>
    <x v="34"/>
    <x v="8"/>
    <s v="Online"/>
    <x v="2"/>
    <d v="2013-04-03T00:00:00"/>
    <s v="443551385"/>
    <d v="2013-05-09T00:00:00"/>
    <n v="36"/>
    <n v="5566"/>
    <n v="255.28"/>
    <n v="159.41999999999999"/>
    <n v="95.860000000000014"/>
    <n v="1420888.48"/>
    <n v="887331.72"/>
    <n v="533556.76"/>
  </r>
  <r>
    <s v="Europe"/>
    <x v="43"/>
    <x v="1"/>
    <s v="Offline"/>
    <x v="3"/>
    <d v="2014-03-11T00:00:00"/>
    <s v="508014523"/>
    <d v="2014-03-20T00:00:00"/>
    <n v="9"/>
    <n v="1642"/>
    <n v="109.28"/>
    <n v="35.840000000000003"/>
    <n v="73.44"/>
    <n v="179437.76"/>
    <n v="58849.279999999999"/>
    <n v="120588.48"/>
  </r>
  <r>
    <s v="Europe"/>
    <x v="29"/>
    <x v="3"/>
    <s v="Online"/>
    <x v="0"/>
    <d v="2012-07-08T00:00:00"/>
    <s v="987767302"/>
    <d v="2012-08-01T00:00:00"/>
    <n v="24"/>
    <n v="1150"/>
    <n v="651.21"/>
    <n v="524.96"/>
    <n v="126.25"/>
    <n v="748891.5"/>
    <n v="603704"/>
    <n v="145187.5"/>
  </r>
  <r>
    <s v="Europe"/>
    <x v="41"/>
    <x v="8"/>
    <s v="Offline"/>
    <x v="3"/>
    <d v="2012-09-19T00:00:00"/>
    <s v="103832662"/>
    <d v="2012-10-20T00:00:00"/>
    <n v="31"/>
    <n v="5247"/>
    <n v="255.28"/>
    <n v="159.41999999999999"/>
    <n v="95.860000000000014"/>
    <n v="1339454.1599999999"/>
    <n v="836476.74"/>
    <n v="502977.42"/>
  </r>
  <r>
    <s v="Europe"/>
    <x v="21"/>
    <x v="11"/>
    <s v="Online"/>
    <x v="3"/>
    <d v="2014-02-19T00:00:00"/>
    <s v="445708739"/>
    <d v="2014-02-27T00:00:00"/>
    <n v="8"/>
    <n v="3975"/>
    <n v="81.73"/>
    <n v="56.67"/>
    <n v="25.060000000000002"/>
    <n v="324876.75"/>
    <n v="225263.25"/>
    <n v="99613.5"/>
  </r>
  <r>
    <s v="Europe"/>
    <x v="35"/>
    <x v="0"/>
    <s v="Offline"/>
    <x v="1"/>
    <d v="2012-07-24T00:00:00"/>
    <s v="354655683"/>
    <d v="2012-07-31T00:00:00"/>
    <n v="7"/>
    <n v="9353"/>
    <n v="47.45"/>
    <n v="31.79"/>
    <n v="15.660000000000004"/>
    <n v="443799.85"/>
    <n v="297331.87"/>
    <n v="146467.98000000001"/>
  </r>
  <r>
    <s v="Europe"/>
    <x v="44"/>
    <x v="3"/>
    <s v="Offline"/>
    <x v="0"/>
    <d v="2017-06-30T00:00:00"/>
    <s v="624398362"/>
    <d v="2017-07-24T00:00:00"/>
    <n v="24"/>
    <n v="2206"/>
    <n v="651.21"/>
    <n v="524.96"/>
    <n v="126.25"/>
    <n v="1436569.26"/>
    <n v="1158061.76"/>
    <n v="278507.5"/>
  </r>
  <r>
    <s v="Europe"/>
    <x v="18"/>
    <x v="0"/>
    <s v="Online"/>
    <x v="0"/>
    <d v="2016-09-05T00:00:00"/>
    <s v="264163959"/>
    <d v="2016-09-22T00:00:00"/>
    <n v="17"/>
    <n v="840"/>
    <n v="47.45"/>
    <n v="31.79"/>
    <n v="15.660000000000004"/>
    <n v="39858"/>
    <n v="26703.599999999999"/>
    <n v="13154.4"/>
  </r>
  <r>
    <s v="Europe"/>
    <x v="12"/>
    <x v="3"/>
    <s v="Offline"/>
    <x v="3"/>
    <d v="2011-10-16T00:00:00"/>
    <s v="520915305"/>
    <d v="2011-11-07T00:00:00"/>
    <n v="22"/>
    <n v="9270"/>
    <n v="651.21"/>
    <n v="524.96"/>
    <n v="126.25"/>
    <n v="6036716.7000000002"/>
    <n v="4866379.2"/>
    <n v="1170337.5"/>
  </r>
  <r>
    <s v="Europe"/>
    <x v="25"/>
    <x v="2"/>
    <s v="Online"/>
    <x v="3"/>
    <d v="2013-02-05T00:00:00"/>
    <s v="424181544"/>
    <d v="2013-03-04T00:00:00"/>
    <n v="27"/>
    <n v="3600"/>
    <n v="205.7"/>
    <n v="117.11"/>
    <n v="88.589999999999989"/>
    <n v="740520"/>
    <n v="421596"/>
    <n v="318924"/>
  </r>
  <r>
    <s v="Europe"/>
    <x v="19"/>
    <x v="3"/>
    <s v="Online"/>
    <x v="3"/>
    <d v="2015-07-03T00:00:00"/>
    <s v="560762631"/>
    <d v="2015-07-16T00:00:00"/>
    <n v="13"/>
    <n v="979"/>
    <n v="651.21"/>
    <n v="524.96"/>
    <n v="126.25"/>
    <n v="637534.59"/>
    <n v="513935.84"/>
    <n v="123598.75"/>
  </r>
  <r>
    <s v="Europe"/>
    <x v="31"/>
    <x v="3"/>
    <s v="Offline"/>
    <x v="2"/>
    <d v="2015-04-04T00:00:00"/>
    <s v="458816373"/>
    <d v="2015-04-16T00:00:00"/>
    <n v="12"/>
    <n v="2815"/>
    <n v="651.21"/>
    <n v="524.96"/>
    <n v="126.25"/>
    <n v="1833156.15"/>
    <n v="1477762.4"/>
    <n v="355393.75"/>
  </r>
  <r>
    <s v="Europe"/>
    <x v="11"/>
    <x v="9"/>
    <s v="Offline"/>
    <x v="2"/>
    <d v="2013-08-18T00:00:00"/>
    <s v="142987763"/>
    <d v="2013-09-01T00:00:00"/>
    <n v="14"/>
    <n v="2112"/>
    <n v="668.27"/>
    <n v="502.54"/>
    <n v="165.72999999999996"/>
    <n v="1411386.24"/>
    <n v="1061364.48"/>
    <n v="350021.76"/>
  </r>
  <r>
    <s v="Europe"/>
    <x v="39"/>
    <x v="7"/>
    <s v="Offline"/>
    <x v="0"/>
    <d v="2010-01-23T00:00:00"/>
    <s v="480904042"/>
    <d v="2010-02-05T00:00:00"/>
    <n v="13"/>
    <n v="9048"/>
    <n v="152.58000000000001"/>
    <n v="97.44"/>
    <n v="55.140000000000015"/>
    <n v="1380543.84"/>
    <n v="881637.12"/>
    <n v="498906.72"/>
  </r>
  <r>
    <s v="Europe"/>
    <x v="25"/>
    <x v="5"/>
    <s v="Online"/>
    <x v="1"/>
    <d v="2016-12-07T00:00:00"/>
    <s v="571323239"/>
    <d v="2017-01-01T00:00:00"/>
    <n v="25"/>
    <n v="6097"/>
    <n v="154.06"/>
    <n v="90.93"/>
    <n v="63.129999999999995"/>
    <n v="939303.82"/>
    <n v="554400.21"/>
    <n v="384903.61"/>
  </r>
  <r>
    <s v="Europe"/>
    <x v="37"/>
    <x v="7"/>
    <s v="Online"/>
    <x v="3"/>
    <d v="2012-09-16T00:00:00"/>
    <s v="281100928"/>
    <d v="2012-11-03T00:00:00"/>
    <n v="48"/>
    <n v="2866"/>
    <n v="152.58000000000001"/>
    <n v="97.44"/>
    <n v="55.140000000000015"/>
    <n v="437294.28"/>
    <n v="279263.03999999998"/>
    <n v="158031.24"/>
  </r>
  <r>
    <s v="Europe"/>
    <x v="41"/>
    <x v="9"/>
    <s v="Online"/>
    <x v="2"/>
    <d v="2013-04-26T00:00:00"/>
    <s v="659196269"/>
    <d v="2013-06-01T00:00:00"/>
    <n v="36"/>
    <n v="9680"/>
    <n v="668.27"/>
    <n v="502.54"/>
    <n v="165.72999999999996"/>
    <n v="6468853.5999999996"/>
    <n v="4864587.2"/>
    <n v="1604266.4"/>
  </r>
  <r>
    <s v="Europe"/>
    <x v="3"/>
    <x v="11"/>
    <s v="Offline"/>
    <x v="3"/>
    <d v="2012-10-24T00:00:00"/>
    <s v="595496594"/>
    <d v="2012-11-04T00:00:00"/>
    <n v="11"/>
    <n v="9530"/>
    <n v="81.73"/>
    <n v="56.67"/>
    <n v="25.060000000000002"/>
    <n v="778886.9"/>
    <n v="540065.1"/>
    <n v="238821.8"/>
  </r>
  <r>
    <s v="Europe"/>
    <x v="45"/>
    <x v="11"/>
    <s v="Offline"/>
    <x v="3"/>
    <d v="2010-05-30T00:00:00"/>
    <s v="354931628"/>
    <d v="2010-06-08T00:00:00"/>
    <n v="9"/>
    <n v="1011"/>
    <n v="81.73"/>
    <n v="56.67"/>
    <n v="25.060000000000002"/>
    <n v="82629.03"/>
    <n v="57293.37"/>
    <n v="25335.66"/>
  </r>
  <r>
    <s v="Europe"/>
    <x v="33"/>
    <x v="6"/>
    <s v="Offline"/>
    <x v="0"/>
    <d v="2011-11-29T00:00:00"/>
    <s v="436969029"/>
    <d v="2011-12-17T00:00:00"/>
    <n v="18"/>
    <n v="7701"/>
    <n v="421.89"/>
    <n v="364.69"/>
    <n v="57.199999999999989"/>
    <n v="3248974.89"/>
    <n v="2808477.69"/>
    <n v="440497.2"/>
  </r>
  <r>
    <s v="Europe"/>
    <x v="31"/>
    <x v="5"/>
    <s v="Online"/>
    <x v="2"/>
    <d v="2016-03-28T00:00:00"/>
    <s v="810752236"/>
    <d v="2016-05-04T00:00:00"/>
    <n v="37"/>
    <n v="8458"/>
    <n v="154.06"/>
    <n v="90.93"/>
    <n v="63.129999999999995"/>
    <n v="1303039.48"/>
    <n v="769085.94"/>
    <n v="533953.54"/>
  </r>
  <r>
    <s v="Europe"/>
    <x v="37"/>
    <x v="3"/>
    <s v="Offline"/>
    <x v="0"/>
    <d v="2011-07-08T00:00:00"/>
    <s v="886620128"/>
    <d v="2011-07-25T00:00:00"/>
    <n v="17"/>
    <n v="9453"/>
    <n v="651.21"/>
    <n v="524.96"/>
    <n v="126.25"/>
    <n v="6155888.1299999999"/>
    <n v="4962446.88"/>
    <n v="1193441.25"/>
  </r>
  <r>
    <s v="Europe"/>
    <x v="8"/>
    <x v="2"/>
    <s v="Offline"/>
    <x v="1"/>
    <d v="2010-04-10T00:00:00"/>
    <s v="889093768"/>
    <d v="2010-05-20T00:00:00"/>
    <n v="40"/>
    <n v="1458"/>
    <n v="205.7"/>
    <n v="117.11"/>
    <n v="88.589999999999989"/>
    <n v="299910.59999999998"/>
    <n v="170746.38"/>
    <n v="129164.22"/>
  </r>
  <r>
    <s v="Europe"/>
    <x v="17"/>
    <x v="2"/>
    <s v="Online"/>
    <x v="0"/>
    <d v="2011-08-06T00:00:00"/>
    <s v="454550588"/>
    <d v="2011-09-06T00:00:00"/>
    <n v="31"/>
    <n v="475"/>
    <n v="205.7"/>
    <n v="117.11"/>
    <n v="88.589999999999989"/>
    <n v="97707.5"/>
    <n v="55627.25"/>
    <n v="42080.25"/>
  </r>
  <r>
    <s v="Europe"/>
    <x v="2"/>
    <x v="3"/>
    <s v="Online"/>
    <x v="2"/>
    <d v="2017-02-18T00:00:00"/>
    <s v="926064479"/>
    <d v="2017-03-10T00:00:00"/>
    <n v="20"/>
    <n v="1913"/>
    <n v="651.21"/>
    <n v="524.96"/>
    <n v="126.25"/>
    <n v="1245764.73"/>
    <n v="1004248.48"/>
    <n v="241516.25"/>
  </r>
  <r>
    <s v="Europe"/>
    <x v="39"/>
    <x v="4"/>
    <s v="Offline"/>
    <x v="0"/>
    <d v="2016-06-29T00:00:00"/>
    <s v="413245427"/>
    <d v="2016-07-02T00:00:00"/>
    <n v="3"/>
    <n v="7360"/>
    <n v="9.33"/>
    <n v="6.92"/>
    <n v="2.41"/>
    <n v="68668.800000000003"/>
    <n v="50931.199999999997"/>
    <n v="17737.599999999999"/>
  </r>
  <r>
    <s v="Europe"/>
    <x v="8"/>
    <x v="0"/>
    <s v="Online"/>
    <x v="3"/>
    <d v="2011-09-18T00:00:00"/>
    <s v="884147775"/>
    <d v="2011-10-19T00:00:00"/>
    <n v="31"/>
    <n v="7829"/>
    <n v="47.45"/>
    <n v="31.79"/>
    <n v="15.660000000000004"/>
    <n v="371486.05"/>
    <n v="248883.91"/>
    <n v="122602.14"/>
  </r>
  <r>
    <s v="Europe"/>
    <x v="39"/>
    <x v="10"/>
    <s v="Online"/>
    <x v="0"/>
    <d v="2012-06-30T00:00:00"/>
    <s v="328322827"/>
    <d v="2012-07-19T00:00:00"/>
    <n v="19"/>
    <n v="6876"/>
    <n v="437.2"/>
    <n v="263.33"/>
    <n v="173.87"/>
    <n v="3006187.2"/>
    <n v="1810657.08"/>
    <n v="1195530.1200000001"/>
  </r>
  <r>
    <s v="Europe"/>
    <x v="38"/>
    <x v="7"/>
    <s v="Online"/>
    <x v="3"/>
    <d v="2014-03-22T00:00:00"/>
    <s v="158673751"/>
    <d v="2014-05-10T00:00:00"/>
    <n v="49"/>
    <n v="3944"/>
    <n v="152.58000000000001"/>
    <n v="97.44"/>
    <n v="55.140000000000015"/>
    <n v="601775.52"/>
    <n v="384303.35999999999"/>
    <n v="217472.16"/>
  </r>
  <r>
    <s v="Europe"/>
    <x v="37"/>
    <x v="7"/>
    <s v="Offline"/>
    <x v="2"/>
    <d v="2014-01-07T00:00:00"/>
    <s v="464911210"/>
    <d v="2014-02-10T00:00:00"/>
    <n v="34"/>
    <n v="6413"/>
    <n v="152.58000000000001"/>
    <n v="97.44"/>
    <n v="55.140000000000015"/>
    <n v="978495.54"/>
    <n v="624882.72"/>
    <n v="353612.82"/>
  </r>
  <r>
    <s v="Europe"/>
    <x v="15"/>
    <x v="0"/>
    <s v="Online"/>
    <x v="0"/>
    <d v="2010-10-12T00:00:00"/>
    <s v="395562589"/>
    <d v="2010-12-01T00:00:00"/>
    <n v="50"/>
    <n v="4615"/>
    <n v="47.45"/>
    <n v="31.79"/>
    <n v="15.660000000000004"/>
    <n v="218981.75"/>
    <n v="146710.85"/>
    <n v="72270.899999999994"/>
  </r>
  <r>
    <s v="Europe"/>
    <x v="37"/>
    <x v="8"/>
    <s v="Offline"/>
    <x v="3"/>
    <d v="2012-03-01T00:00:00"/>
    <s v="459372985"/>
    <d v="2012-03-22T00:00:00"/>
    <n v="21"/>
    <n v="7529"/>
    <n v="255.28"/>
    <n v="159.41999999999999"/>
    <n v="95.860000000000014"/>
    <n v="1922003.12"/>
    <n v="1200273.18"/>
    <n v="721729.94"/>
  </r>
  <r>
    <s v="Europe"/>
    <x v="25"/>
    <x v="6"/>
    <s v="Online"/>
    <x v="2"/>
    <d v="2012-06-25T00:00:00"/>
    <s v="693210542"/>
    <d v="2012-08-13T00:00:00"/>
    <n v="49"/>
    <n v="5259"/>
    <n v="421.89"/>
    <n v="364.69"/>
    <n v="57.199999999999989"/>
    <n v="2218719.5099999998"/>
    <n v="1917904.71"/>
    <n v="300814.8"/>
  </r>
  <r>
    <s v="Europe"/>
    <x v="34"/>
    <x v="4"/>
    <s v="Offline"/>
    <x v="2"/>
    <d v="2011-08-22T00:00:00"/>
    <s v="153974950"/>
    <d v="2011-09-20T00:00:00"/>
    <n v="29"/>
    <n v="3464"/>
    <n v="9.33"/>
    <n v="6.92"/>
    <n v="2.41"/>
    <n v="32319.119999999999"/>
    <n v="23970.880000000001"/>
    <n v="8348.24"/>
  </r>
  <r>
    <s v="Europe"/>
    <x v="46"/>
    <x v="7"/>
    <s v="Online"/>
    <x v="3"/>
    <d v="2014-08-18T00:00:00"/>
    <s v="747327220"/>
    <d v="2014-09-15T00:00:00"/>
    <n v="28"/>
    <n v="9587"/>
    <n v="152.58000000000001"/>
    <n v="97.44"/>
    <n v="55.140000000000015"/>
    <n v="1462784.46"/>
    <n v="934157.28"/>
    <n v="528627.18000000005"/>
  </r>
  <r>
    <s v="Europe"/>
    <x v="1"/>
    <x v="1"/>
    <s v="Online"/>
    <x v="1"/>
    <d v="2011-10-10T00:00:00"/>
    <s v="166810500"/>
    <d v="2011-11-21T00:00:00"/>
    <n v="42"/>
    <n v="1789"/>
    <n v="109.28"/>
    <n v="35.840000000000003"/>
    <n v="73.44"/>
    <n v="195501.92"/>
    <n v="64117.760000000002"/>
    <n v="131384.16"/>
  </r>
  <r>
    <s v="Europe"/>
    <x v="29"/>
    <x v="11"/>
    <s v="Offline"/>
    <x v="1"/>
    <d v="2013-03-31T00:00:00"/>
    <s v="386009633"/>
    <d v="2013-04-05T00:00:00"/>
    <n v="5"/>
    <n v="7683"/>
    <n v="81.73"/>
    <n v="56.67"/>
    <n v="25.060000000000002"/>
    <n v="627931.59"/>
    <n v="435395.61"/>
    <n v="192535.98"/>
  </r>
  <r>
    <s v="Europe"/>
    <x v="38"/>
    <x v="11"/>
    <s v="Offline"/>
    <x v="3"/>
    <d v="2016-02-08T00:00:00"/>
    <s v="993368613"/>
    <d v="2016-02-16T00:00:00"/>
    <n v="8"/>
    <n v="8702"/>
    <n v="81.73"/>
    <n v="56.67"/>
    <n v="25.060000000000002"/>
    <n v="711214.46"/>
    <n v="493142.34"/>
    <n v="218072.12"/>
  </r>
  <r>
    <s v="Europe"/>
    <x v="38"/>
    <x v="8"/>
    <s v="Online"/>
    <x v="2"/>
    <d v="2014-12-09T00:00:00"/>
    <s v="405986297"/>
    <d v="2015-01-02T00:00:00"/>
    <n v="24"/>
    <n v="9222"/>
    <n v="255.28"/>
    <n v="159.41999999999999"/>
    <n v="95.860000000000014"/>
    <n v="2354192.16"/>
    <n v="1470171.24"/>
    <n v="884020.92"/>
  </r>
  <r>
    <s v="Europe"/>
    <x v="3"/>
    <x v="0"/>
    <s v="Online"/>
    <x v="3"/>
    <d v="2016-02-04T00:00:00"/>
    <s v="476794040"/>
    <d v="2016-03-07T00:00:00"/>
    <n v="32"/>
    <n v="2807"/>
    <n v="47.45"/>
    <n v="31.79"/>
    <n v="15.660000000000004"/>
    <n v="133192.15"/>
    <n v="89234.53"/>
    <n v="43957.62"/>
  </r>
  <r>
    <s v="Europe"/>
    <x v="15"/>
    <x v="6"/>
    <s v="Offline"/>
    <x v="0"/>
    <d v="2011-12-21T00:00:00"/>
    <s v="380610454"/>
    <d v="2011-12-29T00:00:00"/>
    <n v="8"/>
    <n v="9946"/>
    <n v="421.89"/>
    <n v="364.69"/>
    <n v="57.199999999999989"/>
    <n v="4196117.9400000004"/>
    <n v="3627206.74"/>
    <n v="568911.19999999995"/>
  </r>
  <r>
    <s v="Europe"/>
    <x v="32"/>
    <x v="5"/>
    <s v="Offline"/>
    <x v="2"/>
    <d v="2012-02-01T00:00:00"/>
    <s v="455040681"/>
    <d v="2012-02-02T00:00:00"/>
    <n v="1"/>
    <n v="5504"/>
    <n v="154.06"/>
    <n v="90.93"/>
    <n v="63.129999999999995"/>
    <n v="847946.23999999999"/>
    <n v="500478.71999999997"/>
    <n v="347467.52000000002"/>
  </r>
  <r>
    <s v="Europe"/>
    <x v="40"/>
    <x v="1"/>
    <s v="Online"/>
    <x v="1"/>
    <d v="2013-09-10T00:00:00"/>
    <s v="917792117"/>
    <d v="2013-10-07T00:00:00"/>
    <n v="27"/>
    <n v="3938"/>
    <n v="109.28"/>
    <n v="35.840000000000003"/>
    <n v="73.44"/>
    <n v="430344.64"/>
    <n v="141137.92000000001"/>
    <n v="289206.71999999997"/>
  </r>
  <r>
    <s v="Europe"/>
    <x v="30"/>
    <x v="10"/>
    <s v="Offline"/>
    <x v="2"/>
    <d v="2011-06-27T00:00:00"/>
    <s v="728793370"/>
    <d v="2011-08-12T00:00:00"/>
    <n v="46"/>
    <n v="5009"/>
    <n v="437.2"/>
    <n v="263.33"/>
    <n v="173.87"/>
    <n v="2189934.7999999998"/>
    <n v="1319019.97"/>
    <n v="870914.83"/>
  </r>
  <r>
    <s v="Europe"/>
    <x v="2"/>
    <x v="4"/>
    <s v="Offline"/>
    <x v="1"/>
    <d v="2011-04-20T00:00:00"/>
    <s v="185960614"/>
    <d v="2011-05-28T00:00:00"/>
    <n v="38"/>
    <n v="8733"/>
    <n v="9.33"/>
    <n v="6.92"/>
    <n v="2.41"/>
    <n v="81478.89"/>
    <n v="60432.36"/>
    <n v="21046.53"/>
  </r>
  <r>
    <s v="Europe"/>
    <x v="8"/>
    <x v="3"/>
    <s v="Offline"/>
    <x v="3"/>
    <d v="2011-11-29T00:00:00"/>
    <s v="445273578"/>
    <d v="2012-01-09T00:00:00"/>
    <n v="41"/>
    <n v="5201"/>
    <n v="651.21"/>
    <n v="524.96"/>
    <n v="126.25"/>
    <n v="3386943.21"/>
    <n v="2730316.96"/>
    <n v="656626.25"/>
  </r>
  <r>
    <s v="Europe"/>
    <x v="47"/>
    <x v="8"/>
    <s v="Online"/>
    <x v="2"/>
    <d v="2014-01-26T00:00:00"/>
    <s v="359197413"/>
    <d v="2014-03-08T00:00:00"/>
    <n v="41"/>
    <n v="3352"/>
    <n v="255.28"/>
    <n v="159.41999999999999"/>
    <n v="95.860000000000014"/>
    <n v="855698.56"/>
    <n v="534375.84"/>
    <n v="321322.71999999997"/>
  </r>
  <r>
    <s v="Europe"/>
    <x v="46"/>
    <x v="11"/>
    <s v="Offline"/>
    <x v="2"/>
    <d v="2013-05-14T00:00:00"/>
    <s v="853036296"/>
    <d v="2013-06-01T00:00:00"/>
    <n v="18"/>
    <n v="1251"/>
    <n v="81.73"/>
    <n v="56.67"/>
    <n v="25.060000000000002"/>
    <n v="102244.23"/>
    <n v="70894.17"/>
    <n v="31350.06"/>
  </r>
  <r>
    <s v="Europe"/>
    <x v="7"/>
    <x v="4"/>
    <s v="Offline"/>
    <x v="1"/>
    <d v="2012-03-21T00:00:00"/>
    <s v="567412793"/>
    <d v="2012-03-27T00:00:00"/>
    <n v="6"/>
    <n v="8910"/>
    <n v="9.33"/>
    <n v="6.92"/>
    <n v="2.41"/>
    <n v="83130.3"/>
    <n v="61657.2"/>
    <n v="21473.1"/>
  </r>
  <r>
    <s v="Europe"/>
    <x v="45"/>
    <x v="10"/>
    <s v="Offline"/>
    <x v="3"/>
    <d v="2016-08-27T00:00:00"/>
    <s v="139201343"/>
    <d v="2016-09-06T00:00:00"/>
    <n v="10"/>
    <n v="1625"/>
    <n v="437.2"/>
    <n v="263.33"/>
    <n v="173.87"/>
    <n v="710450"/>
    <n v="427911.25"/>
    <n v="282538.75"/>
  </r>
  <r>
    <s v="Europe"/>
    <x v="13"/>
    <x v="10"/>
    <s v="Online"/>
    <x v="0"/>
    <d v="2014-06-09T00:00:00"/>
    <s v="183910119"/>
    <d v="2014-06-11T00:00:00"/>
    <n v="2"/>
    <n v="1946"/>
    <n v="437.2"/>
    <n v="263.33"/>
    <n v="173.87"/>
    <n v="850791.2"/>
    <n v="512440.18"/>
    <n v="338351.02"/>
  </r>
  <r>
    <s v="Europe"/>
    <x v="6"/>
    <x v="1"/>
    <s v="Online"/>
    <x v="3"/>
    <d v="2013-11-07T00:00:00"/>
    <s v="922363460"/>
    <d v="2013-11-23T00:00:00"/>
    <n v="16"/>
    <n v="6700"/>
    <n v="109.28"/>
    <n v="35.840000000000003"/>
    <n v="73.44"/>
    <n v="732176"/>
    <n v="240128"/>
    <n v="492048"/>
  </r>
  <r>
    <s v="Europe"/>
    <x v="2"/>
    <x v="0"/>
    <s v="Offline"/>
    <x v="0"/>
    <d v="2012-04-02T00:00:00"/>
    <s v="192922341"/>
    <d v="2012-05-01T00:00:00"/>
    <n v="29"/>
    <n v="8863"/>
    <n v="47.45"/>
    <n v="31.79"/>
    <n v="15.660000000000004"/>
    <n v="420549.35"/>
    <n v="281754.77"/>
    <n v="138794.57999999999"/>
  </r>
  <r>
    <s v="Europe"/>
    <x v="23"/>
    <x v="2"/>
    <s v="Online"/>
    <x v="2"/>
    <d v="2017-06-03T00:00:00"/>
    <s v="792178905"/>
    <d v="2017-07-21T00:00:00"/>
    <n v="48"/>
    <n v="2197"/>
    <n v="205.7"/>
    <n v="117.11"/>
    <n v="88.589999999999989"/>
    <n v="451922.9"/>
    <n v="257290.67"/>
    <n v="194632.23"/>
  </r>
  <r>
    <s v="Europe"/>
    <x v="15"/>
    <x v="0"/>
    <s v="Online"/>
    <x v="1"/>
    <d v="2011-12-20T00:00:00"/>
    <s v="424297845"/>
    <d v="2012-01-08T00:00:00"/>
    <n v="19"/>
    <n v="8016"/>
    <n v="47.45"/>
    <n v="31.79"/>
    <n v="15.660000000000004"/>
    <n v="380359.2"/>
    <n v="254828.64"/>
    <n v="125530.56"/>
  </r>
  <r>
    <s v="Europe"/>
    <x v="45"/>
    <x v="8"/>
    <s v="Online"/>
    <x v="3"/>
    <d v="2017-05-23T00:00:00"/>
    <s v="243684327"/>
    <d v="2017-05-30T00:00:00"/>
    <n v="7"/>
    <n v="462"/>
    <n v="255.28"/>
    <n v="159.41999999999999"/>
    <n v="95.860000000000014"/>
    <n v="117939.36"/>
    <n v="73652.039999999994"/>
    <n v="44287.32"/>
  </r>
  <r>
    <s v="Europe"/>
    <x v="10"/>
    <x v="1"/>
    <s v="Offline"/>
    <x v="1"/>
    <d v="2012-05-07T00:00:00"/>
    <s v="152505099"/>
    <d v="2012-05-19T00:00:00"/>
    <n v="12"/>
    <n v="8503"/>
    <n v="109.28"/>
    <n v="35.840000000000003"/>
    <n v="73.44"/>
    <n v="929207.84"/>
    <n v="304747.52000000002"/>
    <n v="624460.31999999995"/>
  </r>
  <r>
    <s v="Europe"/>
    <x v="47"/>
    <x v="8"/>
    <s v="Online"/>
    <x v="2"/>
    <d v="2015-06-24T00:00:00"/>
    <s v="203036630"/>
    <d v="2015-07-28T00:00:00"/>
    <n v="34"/>
    <n v="1905"/>
    <n v="255.28"/>
    <n v="159.41999999999999"/>
    <n v="95.860000000000014"/>
    <n v="486308.4"/>
    <n v="303695.09999999998"/>
    <n v="182613.3"/>
  </r>
  <r>
    <s v="Europe"/>
    <x v="13"/>
    <x v="7"/>
    <s v="Offline"/>
    <x v="0"/>
    <d v="2016-01-25T00:00:00"/>
    <s v="611791121"/>
    <d v="2016-03-03T00:00:00"/>
    <n v="38"/>
    <n v="1443"/>
    <n v="152.58000000000001"/>
    <n v="97.44"/>
    <n v="55.140000000000015"/>
    <n v="220172.94"/>
    <n v="140605.92000000001"/>
    <n v="79567.02"/>
  </r>
  <r>
    <s v="Europe"/>
    <x v="10"/>
    <x v="2"/>
    <s v="Offline"/>
    <x v="0"/>
    <d v="2012-07-22T00:00:00"/>
    <s v="554554927"/>
    <d v="2012-08-06T00:00:00"/>
    <n v="15"/>
    <n v="3981"/>
    <n v="205.7"/>
    <n v="117.11"/>
    <n v="88.589999999999989"/>
    <n v="818891.7"/>
    <n v="466214.91"/>
    <n v="352676.79"/>
  </r>
  <r>
    <s v="Europe"/>
    <x v="1"/>
    <x v="3"/>
    <s v="Offline"/>
    <x v="3"/>
    <d v="2012-07-11T00:00:00"/>
    <s v="434275662"/>
    <d v="2012-08-13T00:00:00"/>
    <n v="33"/>
    <n v="674"/>
    <n v="651.21"/>
    <n v="524.96"/>
    <n v="126.25"/>
    <n v="438915.54"/>
    <n v="353823.04"/>
    <n v="85092.5"/>
  </r>
  <r>
    <s v="Europe"/>
    <x v="38"/>
    <x v="11"/>
    <s v="Offline"/>
    <x v="3"/>
    <d v="2014-07-27T00:00:00"/>
    <s v="835093390"/>
    <d v="2014-07-29T00:00:00"/>
    <n v="2"/>
    <n v="1547"/>
    <n v="81.73"/>
    <n v="56.67"/>
    <n v="25.060000000000002"/>
    <n v="126436.31"/>
    <n v="87668.49"/>
    <n v="38767.82"/>
  </r>
  <r>
    <s v="Europe"/>
    <x v="41"/>
    <x v="0"/>
    <s v="Online"/>
    <x v="1"/>
    <d v="2017-02-06T00:00:00"/>
    <s v="976323497"/>
    <d v="2017-02-10T00:00:00"/>
    <n v="4"/>
    <n v="4674"/>
    <n v="47.45"/>
    <n v="31.79"/>
    <n v="15.660000000000004"/>
    <n v="221781.3"/>
    <n v="148586.46"/>
    <n v="73194.84"/>
  </r>
  <r>
    <s v="Europe"/>
    <x v="29"/>
    <x v="0"/>
    <s v="Online"/>
    <x v="3"/>
    <d v="2014-01-09T00:00:00"/>
    <s v="732703387"/>
    <d v="2014-01-28T00:00:00"/>
    <n v="19"/>
    <n v="2069"/>
    <n v="47.45"/>
    <n v="31.79"/>
    <n v="15.660000000000004"/>
    <n v="98174.05"/>
    <n v="65773.509999999995"/>
    <n v="32400.54"/>
  </r>
  <r>
    <s v="Europe"/>
    <x v="20"/>
    <x v="9"/>
    <s v="Online"/>
    <x v="0"/>
    <d v="2014-09-10T00:00:00"/>
    <s v="873432672"/>
    <d v="2014-09-17T00:00:00"/>
    <n v="7"/>
    <n v="6992"/>
    <n v="668.27"/>
    <n v="502.54"/>
    <n v="165.72999999999996"/>
    <n v="4672543.84"/>
    <n v="3513759.68"/>
    <n v="1158784.1599999999"/>
  </r>
  <r>
    <s v="Europe"/>
    <x v="15"/>
    <x v="1"/>
    <s v="Online"/>
    <x v="0"/>
    <d v="2011-06-25T00:00:00"/>
    <s v="523580348"/>
    <d v="2011-08-04T00:00:00"/>
    <n v="40"/>
    <n v="7915"/>
    <n v="109.28"/>
    <n v="35.840000000000003"/>
    <n v="73.44"/>
    <n v="864951.2"/>
    <n v="283673.59999999998"/>
    <n v="581277.6"/>
  </r>
  <r>
    <s v="Europe"/>
    <x v="36"/>
    <x v="11"/>
    <s v="Online"/>
    <x v="1"/>
    <d v="2017-04-16T00:00:00"/>
    <s v="800045716"/>
    <d v="2017-05-14T00:00:00"/>
    <n v="28"/>
    <n v="161"/>
    <n v="81.73"/>
    <n v="56.67"/>
    <n v="25.060000000000002"/>
    <n v="13158.53"/>
    <n v="9123.8700000000008"/>
    <n v="4034.66"/>
  </r>
  <r>
    <s v="Europe"/>
    <x v="21"/>
    <x v="5"/>
    <s v="Online"/>
    <x v="1"/>
    <d v="2016-05-10T00:00:00"/>
    <s v="743769109"/>
    <d v="2016-05-11T00:00:00"/>
    <n v="1"/>
    <n v="6662"/>
    <n v="154.06"/>
    <n v="90.93"/>
    <n v="63.129999999999995"/>
    <n v="1026347.72"/>
    <n v="605775.66"/>
    <n v="420572.06"/>
  </r>
  <r>
    <s v="Europe"/>
    <x v="10"/>
    <x v="7"/>
    <s v="Offline"/>
    <x v="2"/>
    <d v="2013-01-09T00:00:00"/>
    <s v="201294267"/>
    <d v="2013-02-09T00:00:00"/>
    <n v="31"/>
    <n v="6302"/>
    <n v="152.58000000000001"/>
    <n v="97.44"/>
    <n v="55.140000000000015"/>
    <n v="961559.16"/>
    <n v="614066.88"/>
    <n v="347492.28"/>
  </r>
  <r>
    <s v="Europe"/>
    <x v="16"/>
    <x v="6"/>
    <s v="Online"/>
    <x v="2"/>
    <d v="2013-02-11T00:00:00"/>
    <s v="668280589"/>
    <d v="2013-03-28T00:00:00"/>
    <n v="45"/>
    <n v="7932"/>
    <n v="421.89"/>
    <n v="364.69"/>
    <n v="57.199999999999989"/>
    <n v="3346431.48"/>
    <n v="2892721.08"/>
    <n v="453710.4"/>
  </r>
  <r>
    <s v="Europe"/>
    <x v="30"/>
    <x v="9"/>
    <s v="Online"/>
    <x v="0"/>
    <d v="2017-07-14T00:00:00"/>
    <s v="380379998"/>
    <d v="2017-07-16T00:00:00"/>
    <n v="2"/>
    <n v="1749"/>
    <n v="668.27"/>
    <n v="502.54"/>
    <n v="165.72999999999996"/>
    <n v="1168804.23"/>
    <n v="878942.46"/>
    <n v="289861.77"/>
  </r>
  <r>
    <s v="Europe"/>
    <x v="11"/>
    <x v="1"/>
    <s v="Online"/>
    <x v="3"/>
    <d v="2016-01-16T00:00:00"/>
    <s v="767490565"/>
    <d v="2016-02-23T00:00:00"/>
    <n v="38"/>
    <n v="6368"/>
    <n v="109.28"/>
    <n v="35.840000000000003"/>
    <n v="73.44"/>
    <n v="695895.04000000004"/>
    <n v="228229.12"/>
    <n v="467665.91999999998"/>
  </r>
  <r>
    <s v="Europe"/>
    <x v="40"/>
    <x v="7"/>
    <s v="Offline"/>
    <x v="2"/>
    <d v="2012-10-30T00:00:00"/>
    <s v="720931279"/>
    <d v="2012-11-18T00:00:00"/>
    <n v="19"/>
    <n v="8441"/>
    <n v="152.58000000000001"/>
    <n v="97.44"/>
    <n v="55.140000000000015"/>
    <n v="1287927.78"/>
    <n v="822491.04"/>
    <n v="465436.74"/>
  </r>
  <r>
    <s v="Europe"/>
    <x v="19"/>
    <x v="7"/>
    <s v="Online"/>
    <x v="2"/>
    <d v="2013-07-13T00:00:00"/>
    <s v="138025033"/>
    <d v="2013-08-03T00:00:00"/>
    <n v="21"/>
    <n v="3529"/>
    <n v="152.58000000000001"/>
    <n v="97.44"/>
    <n v="55.140000000000015"/>
    <n v="538454.81999999995"/>
    <n v="343865.76"/>
    <n v="194589.06"/>
  </r>
  <r>
    <s v="Europe"/>
    <x v="39"/>
    <x v="6"/>
    <s v="Offline"/>
    <x v="3"/>
    <d v="2016-08-16T00:00:00"/>
    <s v="552931869"/>
    <d v="2016-09-09T00:00:00"/>
    <n v="24"/>
    <n v="3682"/>
    <n v="421.89"/>
    <n v="364.69"/>
    <n v="57.199999999999989"/>
    <n v="1553398.98"/>
    <n v="1342788.58"/>
    <n v="210610.4"/>
  </r>
  <r>
    <s v="Europe"/>
    <x v="18"/>
    <x v="4"/>
    <s v="Online"/>
    <x v="2"/>
    <d v="2014-02-08T00:00:00"/>
    <s v="142375361"/>
    <d v="2014-02-19T00:00:00"/>
    <n v="11"/>
    <n v="888"/>
    <n v="9.33"/>
    <n v="6.92"/>
    <n v="2.41"/>
    <n v="8285.0400000000009"/>
    <n v="6144.96"/>
    <n v="2140.08"/>
  </r>
  <r>
    <s v="Europe"/>
    <x v="9"/>
    <x v="10"/>
    <s v="Offline"/>
    <x v="0"/>
    <d v="2014-06-27T00:00:00"/>
    <s v="916089236"/>
    <d v="2014-07-28T00:00:00"/>
    <n v="31"/>
    <n v="17"/>
    <n v="437.2"/>
    <n v="263.33"/>
    <n v="173.87"/>
    <n v="7432.4"/>
    <n v="4476.6099999999997"/>
    <n v="2955.79"/>
  </r>
  <r>
    <s v="Europe"/>
    <x v="6"/>
    <x v="4"/>
    <s v="Offline"/>
    <x v="2"/>
    <d v="2011-12-06T00:00:00"/>
    <s v="242265546"/>
    <d v="2012-01-07T00:00:00"/>
    <n v="32"/>
    <n v="614"/>
    <n v="9.33"/>
    <n v="6.92"/>
    <n v="2.41"/>
    <n v="5728.62"/>
    <n v="4248.88"/>
    <n v="1479.74"/>
  </r>
  <r>
    <s v="Europe"/>
    <x v="21"/>
    <x v="10"/>
    <s v="Online"/>
    <x v="1"/>
    <d v="2015-01-12T00:00:00"/>
    <s v="265914475"/>
    <d v="2015-02-21T00:00:00"/>
    <n v="40"/>
    <n v="8857"/>
    <n v="437.2"/>
    <n v="263.33"/>
    <n v="173.87"/>
    <n v="3872280.4"/>
    <n v="2332313.81"/>
    <n v="1539966.59"/>
  </r>
  <r>
    <s v="Europe"/>
    <x v="42"/>
    <x v="7"/>
    <s v="Online"/>
    <x v="2"/>
    <d v="2015-07-26T00:00:00"/>
    <s v="637040793"/>
    <d v="2015-08-04T00:00:00"/>
    <n v="9"/>
    <n v="3382"/>
    <n v="152.58000000000001"/>
    <n v="97.44"/>
    <n v="55.140000000000015"/>
    <n v="516025.56"/>
    <n v="329542.08"/>
    <n v="186483.48"/>
  </r>
  <r>
    <s v="Europe"/>
    <x v="39"/>
    <x v="11"/>
    <s v="Offline"/>
    <x v="2"/>
    <d v="2014-12-12T00:00:00"/>
    <s v="754541289"/>
    <d v="2014-12-19T00:00:00"/>
    <n v="7"/>
    <n v="4390"/>
    <n v="81.73"/>
    <n v="56.67"/>
    <n v="25.060000000000002"/>
    <n v="358794.7"/>
    <n v="248781.3"/>
    <n v="110013.4"/>
  </r>
  <r>
    <s v="Europe"/>
    <x v="15"/>
    <x v="5"/>
    <s v="Offline"/>
    <x v="2"/>
    <d v="2015-03-16T00:00:00"/>
    <s v="697638976"/>
    <d v="2015-03-26T00:00:00"/>
    <n v="10"/>
    <n v="5731"/>
    <n v="154.06"/>
    <n v="90.93"/>
    <n v="63.129999999999995"/>
    <n v="882917.86"/>
    <n v="521119.83"/>
    <n v="361798.03"/>
  </r>
  <r>
    <s v="Europe"/>
    <x v="0"/>
    <x v="8"/>
    <s v="Online"/>
    <x v="0"/>
    <d v="2016-03-10T00:00:00"/>
    <s v="467312324"/>
    <d v="2016-04-08T00:00:00"/>
    <n v="29"/>
    <n v="6956"/>
    <n v="255.28"/>
    <n v="159.41999999999999"/>
    <n v="95.860000000000014"/>
    <n v="1775727.68"/>
    <n v="1108925.52"/>
    <n v="666802.16"/>
  </r>
  <r>
    <s v="Europe"/>
    <x v="20"/>
    <x v="1"/>
    <s v="Online"/>
    <x v="2"/>
    <d v="2012-05-26T00:00:00"/>
    <s v="622441852"/>
    <d v="2012-05-28T00:00:00"/>
    <n v="2"/>
    <n v="3231"/>
    <n v="109.28"/>
    <n v="35.840000000000003"/>
    <n v="73.44"/>
    <n v="353083.68"/>
    <n v="115799.03999999999"/>
    <n v="237284.64"/>
  </r>
  <r>
    <s v="Europe"/>
    <x v="3"/>
    <x v="6"/>
    <s v="Online"/>
    <x v="0"/>
    <d v="2016-07-27T00:00:00"/>
    <s v="349212729"/>
    <d v="2016-09-11T00:00:00"/>
    <n v="46"/>
    <n v="8662"/>
    <n v="421.89"/>
    <n v="364.69"/>
    <n v="57.199999999999989"/>
    <n v="3654411.18"/>
    <n v="3158944.78"/>
    <n v="495466.4"/>
  </r>
  <r>
    <s v="Europe"/>
    <x v="28"/>
    <x v="10"/>
    <s v="Online"/>
    <x v="3"/>
    <d v="2010-10-06T00:00:00"/>
    <s v="332353007"/>
    <d v="2010-11-22T00:00:00"/>
    <n v="47"/>
    <n v="9495"/>
    <n v="437.2"/>
    <n v="263.33"/>
    <n v="173.87"/>
    <n v="4151214"/>
    <n v="2500318.35"/>
    <n v="1650895.65"/>
  </r>
  <r>
    <s v="Europe"/>
    <x v="42"/>
    <x v="6"/>
    <s v="Offline"/>
    <x v="3"/>
    <d v="2013-08-08T00:00:00"/>
    <s v="876856458"/>
    <d v="2013-08-29T00:00:00"/>
    <n v="21"/>
    <n v="166"/>
    <n v="421.89"/>
    <n v="364.69"/>
    <n v="57.199999999999989"/>
    <n v="70033.740000000005"/>
    <n v="60538.54"/>
    <n v="9495.2000000000007"/>
  </r>
  <r>
    <s v="Europe"/>
    <x v="3"/>
    <x v="0"/>
    <s v="Offline"/>
    <x v="0"/>
    <d v="2013-10-19T00:00:00"/>
    <s v="313178002"/>
    <d v="2013-12-06T00:00:00"/>
    <n v="48"/>
    <n v="5185"/>
    <n v="47.45"/>
    <n v="31.79"/>
    <n v="15.660000000000004"/>
    <n v="246028.25"/>
    <n v="164831.15"/>
    <n v="81197.100000000006"/>
  </r>
  <r>
    <s v="Europe"/>
    <x v="27"/>
    <x v="11"/>
    <s v="Online"/>
    <x v="2"/>
    <d v="2016-02-17T00:00:00"/>
    <s v="461445796"/>
    <d v="2016-03-22T00:00:00"/>
    <n v="34"/>
    <n v="920"/>
    <n v="81.73"/>
    <n v="56.67"/>
    <n v="25.060000000000002"/>
    <n v="75191.600000000006"/>
    <n v="52136.4"/>
    <n v="23055.200000000001"/>
  </r>
  <r>
    <s v="Europe"/>
    <x v="33"/>
    <x v="10"/>
    <s v="Offline"/>
    <x v="0"/>
    <d v="2017-01-03T00:00:00"/>
    <s v="391026866"/>
    <d v="2017-01-08T00:00:00"/>
    <n v="5"/>
    <n v="2394"/>
    <n v="437.2"/>
    <n v="263.33"/>
    <n v="173.87"/>
    <n v="1046656.8"/>
    <n v="630412.02"/>
    <n v="416244.78"/>
  </r>
  <r>
    <s v="Europe"/>
    <x v="38"/>
    <x v="5"/>
    <s v="Offline"/>
    <x v="0"/>
    <d v="2015-08-07T00:00:00"/>
    <s v="204418504"/>
    <d v="2015-09-03T00:00:00"/>
    <n v="27"/>
    <n v="833"/>
    <n v="154.06"/>
    <n v="90.93"/>
    <n v="63.129999999999995"/>
    <n v="128331.98"/>
    <n v="75744.69"/>
    <n v="52587.29"/>
  </r>
  <r>
    <s v="Europe"/>
    <x v="46"/>
    <x v="6"/>
    <s v="Offline"/>
    <x v="2"/>
    <d v="2012-12-22T00:00:00"/>
    <s v="524972951"/>
    <d v="2013-01-17T00:00:00"/>
    <n v="26"/>
    <n v="17"/>
    <n v="421.89"/>
    <n v="364.69"/>
    <n v="57.199999999999989"/>
    <n v="7172.13"/>
    <n v="6199.73"/>
    <n v="972.4"/>
  </r>
  <r>
    <s v="Europe"/>
    <x v="14"/>
    <x v="0"/>
    <s v="Online"/>
    <x v="0"/>
    <d v="2013-11-27T00:00:00"/>
    <s v="469197165"/>
    <d v="2013-12-11T00:00:00"/>
    <n v="14"/>
    <n v="4723"/>
    <n v="47.45"/>
    <n v="31.79"/>
    <n v="15.660000000000004"/>
    <n v="224106.35"/>
    <n v="150144.17000000001"/>
    <n v="73962.179999999993"/>
  </r>
  <r>
    <s v="Europe"/>
    <x v="34"/>
    <x v="9"/>
    <s v="Offline"/>
    <x v="3"/>
    <d v="2010-06-23T00:00:00"/>
    <s v="688650786"/>
    <d v="2010-08-07T00:00:00"/>
    <n v="45"/>
    <n v="5926"/>
    <n v="668.27"/>
    <n v="502.54"/>
    <n v="165.72999999999996"/>
    <n v="3960168.02"/>
    <n v="2978052.04"/>
    <n v="982115.98"/>
  </r>
  <r>
    <s v="Europe"/>
    <x v="35"/>
    <x v="3"/>
    <s v="Online"/>
    <x v="1"/>
    <d v="2016-06-17T00:00:00"/>
    <s v="823236739"/>
    <d v="2016-08-01T00:00:00"/>
    <n v="45"/>
    <n v="2900"/>
    <n v="651.21"/>
    <n v="524.96"/>
    <n v="126.25"/>
    <n v="1888509"/>
    <n v="1522384"/>
    <n v="366125"/>
  </r>
  <r>
    <s v="Europe"/>
    <x v="25"/>
    <x v="4"/>
    <s v="Offline"/>
    <x v="2"/>
    <d v="2015-03-17T00:00:00"/>
    <s v="439725911"/>
    <d v="2015-04-07T00:00:00"/>
    <n v="21"/>
    <n v="3524"/>
    <n v="9.33"/>
    <n v="6.92"/>
    <n v="2.41"/>
    <n v="32878.92"/>
    <n v="24386.080000000002"/>
    <n v="8492.84"/>
  </r>
  <r>
    <s v="Europe"/>
    <x v="22"/>
    <x v="7"/>
    <s v="Online"/>
    <x v="3"/>
    <d v="2012-10-01T00:00:00"/>
    <s v="255047452"/>
    <d v="2012-10-30T00:00:00"/>
    <n v="29"/>
    <n v="3064"/>
    <n v="152.58000000000001"/>
    <n v="97.44"/>
    <n v="55.140000000000015"/>
    <n v="467505.12"/>
    <n v="298556.15999999997"/>
    <n v="168948.96"/>
  </r>
  <r>
    <s v="Europe"/>
    <x v="21"/>
    <x v="6"/>
    <s v="Offline"/>
    <x v="0"/>
    <d v="2014-06-26T00:00:00"/>
    <s v="662623488"/>
    <d v="2014-07-11T00:00:00"/>
    <n v="15"/>
    <n v="3870"/>
    <n v="421.89"/>
    <n v="364.69"/>
    <n v="57.199999999999989"/>
    <n v="1632714.3"/>
    <n v="1411350.3"/>
    <n v="221364"/>
  </r>
  <r>
    <s v="Europe"/>
    <x v="10"/>
    <x v="5"/>
    <s v="Offline"/>
    <x v="1"/>
    <d v="2016-01-22T00:00:00"/>
    <s v="560389268"/>
    <d v="2016-02-22T00:00:00"/>
    <n v="31"/>
    <n v="492"/>
    <n v="154.06"/>
    <n v="90.93"/>
    <n v="63.129999999999995"/>
    <n v="75797.52"/>
    <n v="44737.56"/>
    <n v="31059.96"/>
  </r>
  <r>
    <s v="Europe"/>
    <x v="32"/>
    <x v="3"/>
    <s v="Offline"/>
    <x v="0"/>
    <d v="2011-07-12T00:00:00"/>
    <s v="867138278"/>
    <d v="2011-08-04T00:00:00"/>
    <n v="23"/>
    <n v="4341"/>
    <n v="651.21"/>
    <n v="524.96"/>
    <n v="126.25"/>
    <n v="2826902.61"/>
    <n v="2278851.36"/>
    <n v="548051.25"/>
  </r>
  <r>
    <s v="Europe"/>
    <x v="5"/>
    <x v="9"/>
    <s v="Online"/>
    <x v="3"/>
    <d v="2014-12-25T00:00:00"/>
    <s v="525321424"/>
    <d v="2014-12-31T00:00:00"/>
    <n v="6"/>
    <n v="3138"/>
    <n v="668.27"/>
    <n v="502.54"/>
    <n v="165.72999999999996"/>
    <n v="2097031.26"/>
    <n v="1576970.52"/>
    <n v="520060.74"/>
  </r>
  <r>
    <s v="Europe"/>
    <x v="22"/>
    <x v="1"/>
    <s v="Online"/>
    <x v="3"/>
    <d v="2014-06-10T00:00:00"/>
    <s v="497554337"/>
    <d v="2014-07-28T00:00:00"/>
    <n v="48"/>
    <n v="6240"/>
    <n v="109.28"/>
    <n v="35.840000000000003"/>
    <n v="73.44"/>
    <n v="681907.19999999995"/>
    <n v="223641.60000000001"/>
    <n v="458265.59999999998"/>
  </r>
  <r>
    <s v="Europe"/>
    <x v="43"/>
    <x v="11"/>
    <s v="Offline"/>
    <x v="1"/>
    <d v="2016-04-15T00:00:00"/>
    <s v="626322257"/>
    <d v="2016-05-05T00:00:00"/>
    <n v="20"/>
    <n v="1529"/>
    <n v="81.73"/>
    <n v="56.67"/>
    <n v="25.060000000000002"/>
    <n v="124965.17"/>
    <n v="86648.43"/>
    <n v="38316.74"/>
  </r>
  <r>
    <s v="Europe"/>
    <x v="11"/>
    <x v="8"/>
    <s v="Offline"/>
    <x v="0"/>
    <d v="2011-01-21T00:00:00"/>
    <s v="611766231"/>
    <d v="2011-02-26T00:00:00"/>
    <n v="36"/>
    <n v="4077"/>
    <n v="255.28"/>
    <n v="159.41999999999999"/>
    <n v="95.860000000000014"/>
    <n v="1040776.56"/>
    <n v="649955.34"/>
    <n v="390821.22"/>
  </r>
  <r>
    <s v="Europe"/>
    <x v="5"/>
    <x v="8"/>
    <s v="Offline"/>
    <x v="3"/>
    <d v="2013-03-03T00:00:00"/>
    <s v="630931794"/>
    <d v="2013-04-01T00:00:00"/>
    <n v="29"/>
    <n v="5593"/>
    <n v="255.28"/>
    <n v="159.41999999999999"/>
    <n v="95.860000000000014"/>
    <n v="1427781.04"/>
    <n v="891636.06"/>
    <n v="536144.98"/>
  </r>
  <r>
    <s v="Europe"/>
    <x v="10"/>
    <x v="3"/>
    <s v="Offline"/>
    <x v="2"/>
    <d v="2017-03-04T00:00:00"/>
    <s v="239386355"/>
    <d v="2017-04-20T00:00:00"/>
    <n v="47"/>
    <n v="8597"/>
    <n v="651.21"/>
    <n v="524.96"/>
    <n v="126.25"/>
    <n v="5598452.3700000001"/>
    <n v="4513081.12"/>
    <n v="1085371.25"/>
  </r>
  <r>
    <s v="Europe"/>
    <x v="38"/>
    <x v="9"/>
    <s v="Offline"/>
    <x v="1"/>
    <d v="2016-08-21T00:00:00"/>
    <s v="874172532"/>
    <d v="2016-10-02T00:00:00"/>
    <n v="42"/>
    <n v="5933"/>
    <n v="668.27"/>
    <n v="502.54"/>
    <n v="165.72999999999996"/>
    <n v="3964845.91"/>
    <n v="2981569.82"/>
    <n v="983276.09"/>
  </r>
  <r>
    <s v="Europe"/>
    <x v="40"/>
    <x v="11"/>
    <s v="Offline"/>
    <x v="0"/>
    <d v="2010-09-19T00:00:00"/>
    <s v="570703542"/>
    <d v="2010-11-03T00:00:00"/>
    <n v="45"/>
    <n v="2715"/>
    <n v="81.73"/>
    <n v="56.67"/>
    <n v="25.060000000000002"/>
    <n v="221896.95"/>
    <n v="153859.04999999999"/>
    <n v="68037.899999999994"/>
  </r>
  <r>
    <s v="Europe"/>
    <x v="28"/>
    <x v="10"/>
    <s v="Online"/>
    <x v="1"/>
    <d v="2012-09-20T00:00:00"/>
    <s v="132603538"/>
    <d v="2012-11-06T00:00:00"/>
    <n v="47"/>
    <n v="9188"/>
    <n v="437.2"/>
    <n v="263.33"/>
    <n v="173.87"/>
    <n v="4016993.6"/>
    <n v="2419476.04"/>
    <n v="1597517.56"/>
  </r>
  <r>
    <s v="Europe"/>
    <x v="0"/>
    <x v="6"/>
    <s v="Offline"/>
    <x v="2"/>
    <d v="2011-08-06T00:00:00"/>
    <s v="552276551"/>
    <d v="2011-09-24T00:00:00"/>
    <n v="49"/>
    <n v="9759"/>
    <n v="421.89"/>
    <n v="364.69"/>
    <n v="57.199999999999989"/>
    <n v="4117224.51"/>
    <n v="3559009.71"/>
    <n v="558214.80000000005"/>
  </r>
  <r>
    <s v="Europe"/>
    <x v="35"/>
    <x v="7"/>
    <s v="Offline"/>
    <x v="1"/>
    <d v="2016-03-22T00:00:00"/>
    <s v="163587558"/>
    <d v="2016-04-19T00:00:00"/>
    <n v="28"/>
    <n v="8048"/>
    <n v="152.58000000000001"/>
    <n v="97.44"/>
    <n v="55.140000000000015"/>
    <n v="1227963.8400000001"/>
    <n v="784197.12"/>
    <n v="443766.72"/>
  </r>
  <r>
    <s v="Europe"/>
    <x v="39"/>
    <x v="8"/>
    <s v="Offline"/>
    <x v="1"/>
    <d v="2012-01-10T00:00:00"/>
    <s v="415837943"/>
    <d v="2012-02-23T00:00:00"/>
    <n v="44"/>
    <n v="4543"/>
    <n v="255.28"/>
    <n v="159.41999999999999"/>
    <n v="95.860000000000014"/>
    <n v="1159737.04"/>
    <n v="724245.06"/>
    <n v="435491.98"/>
  </r>
  <r>
    <s v="Europe"/>
    <x v="28"/>
    <x v="8"/>
    <s v="Offline"/>
    <x v="3"/>
    <d v="2014-05-17T00:00:00"/>
    <s v="398645198"/>
    <d v="2014-05-26T00:00:00"/>
    <n v="9"/>
    <n v="6828"/>
    <n v="255.28"/>
    <n v="159.41999999999999"/>
    <n v="95.860000000000014"/>
    <n v="1743051.84"/>
    <n v="1088519.76"/>
    <n v="654532.07999999996"/>
  </r>
  <r>
    <s v="Europe"/>
    <x v="14"/>
    <x v="11"/>
    <s v="Offline"/>
    <x v="3"/>
    <d v="2013-11-02T00:00:00"/>
    <s v="913074433"/>
    <d v="2013-12-17T00:00:00"/>
    <n v="45"/>
    <n v="7870"/>
    <n v="81.73"/>
    <n v="56.67"/>
    <n v="25.060000000000002"/>
    <n v="643215.1"/>
    <n v="445992.9"/>
    <n v="197222.2"/>
  </r>
  <r>
    <s v="Europe"/>
    <x v="39"/>
    <x v="4"/>
    <s v="Offline"/>
    <x v="3"/>
    <d v="2014-05-27T00:00:00"/>
    <s v="889125955"/>
    <d v="2014-06-15T00:00:00"/>
    <n v="19"/>
    <n v="983"/>
    <n v="9.33"/>
    <n v="6.92"/>
    <n v="2.41"/>
    <n v="9171.39"/>
    <n v="6802.36"/>
    <n v="2369.0300000000002"/>
  </r>
  <r>
    <s v="Europe"/>
    <x v="2"/>
    <x v="4"/>
    <s v="Offline"/>
    <x v="3"/>
    <d v="2011-08-06T00:00:00"/>
    <s v="263427960"/>
    <d v="2011-09-20T00:00:00"/>
    <n v="45"/>
    <n v="3042"/>
    <n v="9.33"/>
    <n v="6.92"/>
    <n v="2.41"/>
    <n v="28381.86"/>
    <n v="21050.639999999999"/>
    <n v="7331.22"/>
  </r>
  <r>
    <s v="Europe"/>
    <x v="18"/>
    <x v="6"/>
    <s v="Online"/>
    <x v="3"/>
    <d v="2010-07-12T00:00:00"/>
    <s v="730490243"/>
    <d v="2010-07-14T00:00:00"/>
    <n v="2"/>
    <n v="7151"/>
    <n v="421.89"/>
    <n v="364.69"/>
    <n v="57.199999999999989"/>
    <n v="3016935.39"/>
    <n v="2607898.19"/>
    <n v="409037.2"/>
  </r>
  <r>
    <s v="Europe"/>
    <x v="17"/>
    <x v="2"/>
    <s v="Online"/>
    <x v="2"/>
    <d v="2016-11-01T00:00:00"/>
    <s v="905036389"/>
    <d v="2016-11-20T00:00:00"/>
    <n v="19"/>
    <n v="9234"/>
    <n v="205.7"/>
    <n v="117.11"/>
    <n v="88.589999999999989"/>
    <n v="1899433.8"/>
    <n v="1081393.74"/>
    <n v="818040.06"/>
  </r>
  <r>
    <s v="Europe"/>
    <x v="5"/>
    <x v="1"/>
    <s v="Online"/>
    <x v="0"/>
    <d v="2012-03-04T00:00:00"/>
    <s v="381759297"/>
    <d v="2012-03-25T00:00:00"/>
    <n v="21"/>
    <n v="9914"/>
    <n v="109.28"/>
    <n v="35.840000000000003"/>
    <n v="73.44"/>
    <n v="1083401.92"/>
    <n v="355317.76000000001"/>
    <n v="728084.16"/>
  </r>
  <r>
    <s v="Europe"/>
    <x v="44"/>
    <x v="10"/>
    <s v="Offline"/>
    <x v="1"/>
    <d v="2011-09-02T00:00:00"/>
    <s v="613166129"/>
    <d v="2011-10-21T00:00:00"/>
    <n v="49"/>
    <n v="8338"/>
    <n v="437.2"/>
    <n v="263.33"/>
    <n v="173.87"/>
    <n v="3645373.6"/>
    <n v="2195645.54"/>
    <n v="1449728.06"/>
  </r>
  <r>
    <s v="Europe"/>
    <x v="13"/>
    <x v="3"/>
    <s v="Offline"/>
    <x v="1"/>
    <d v="2017-05-03T00:00:00"/>
    <s v="181260526"/>
    <d v="2017-06-03T00:00:00"/>
    <n v="31"/>
    <n v="7872"/>
    <n v="651.21"/>
    <n v="524.96"/>
    <n v="126.25"/>
    <n v="5126325.12"/>
    <n v="4132485.1200000001"/>
    <n v="993840"/>
  </r>
  <r>
    <s v="Europe"/>
    <x v="47"/>
    <x v="7"/>
    <s v="Online"/>
    <x v="0"/>
    <d v="2013-09-01T00:00:00"/>
    <s v="264959609"/>
    <d v="2013-10-18T00:00:00"/>
    <n v="47"/>
    <n v="6291"/>
    <n v="152.58000000000001"/>
    <n v="97.44"/>
    <n v="55.140000000000015"/>
    <n v="959880.78"/>
    <n v="612995.04"/>
    <n v="346885.74"/>
  </r>
  <r>
    <s v="Europe"/>
    <x v="21"/>
    <x v="4"/>
    <s v="Online"/>
    <x v="2"/>
    <d v="2010-07-31T00:00:00"/>
    <s v="475176560"/>
    <d v="2010-09-04T00:00:00"/>
    <n v="35"/>
    <n v="4159"/>
    <n v="9.33"/>
    <n v="6.92"/>
    <n v="2.41"/>
    <n v="38803.47"/>
    <n v="28780.28"/>
    <n v="10023.19"/>
  </r>
  <r>
    <s v="Europe"/>
    <x v="25"/>
    <x v="8"/>
    <s v="Offline"/>
    <x v="3"/>
    <d v="2012-01-23T00:00:00"/>
    <s v="194922626"/>
    <d v="2012-02-07T00:00:00"/>
    <n v="15"/>
    <n v="791"/>
    <n v="255.28"/>
    <n v="159.41999999999999"/>
    <n v="95.860000000000014"/>
    <n v="201926.48"/>
    <n v="126101.22"/>
    <n v="75825.259999999995"/>
  </r>
  <r>
    <s v="Europe"/>
    <x v="32"/>
    <x v="7"/>
    <s v="Offline"/>
    <x v="1"/>
    <d v="2016-07-03T00:00:00"/>
    <s v="447684133"/>
    <d v="2016-08-14T00:00:00"/>
    <n v="42"/>
    <n v="8538"/>
    <n v="152.58000000000001"/>
    <n v="97.44"/>
    <n v="55.140000000000015"/>
    <n v="1302728.04"/>
    <n v="831942.72"/>
    <n v="470785.32"/>
  </r>
  <r>
    <s v="Europe"/>
    <x v="18"/>
    <x v="11"/>
    <s v="Online"/>
    <x v="3"/>
    <d v="2012-01-04T00:00:00"/>
    <s v="527259910"/>
    <d v="2012-01-11T00:00:00"/>
    <n v="7"/>
    <n v="6779"/>
    <n v="81.73"/>
    <n v="56.67"/>
    <n v="25.060000000000002"/>
    <n v="554047.67000000004"/>
    <n v="384165.93"/>
    <n v="169881.74"/>
  </r>
  <r>
    <s v="Europe"/>
    <x v="28"/>
    <x v="8"/>
    <s v="Online"/>
    <x v="1"/>
    <d v="2014-08-10T00:00:00"/>
    <s v="879923617"/>
    <d v="2014-09-15T00:00:00"/>
    <n v="36"/>
    <n v="7807"/>
    <n v="255.28"/>
    <n v="159.41999999999999"/>
    <n v="95.860000000000014"/>
    <n v="1992970.96"/>
    <n v="1244591.94"/>
    <n v="748379.02"/>
  </r>
  <r>
    <s v="Europe"/>
    <x v="16"/>
    <x v="7"/>
    <s v="Offline"/>
    <x v="3"/>
    <d v="2014-03-09T00:00:00"/>
    <s v="279816472"/>
    <d v="2014-04-14T00:00:00"/>
    <n v="36"/>
    <n v="2767"/>
    <n v="152.58000000000001"/>
    <n v="97.44"/>
    <n v="55.140000000000015"/>
    <n v="422188.86"/>
    <n v="269616.48"/>
    <n v="152572.38"/>
  </r>
  <r>
    <s v="Europe"/>
    <x v="22"/>
    <x v="7"/>
    <s v="Online"/>
    <x v="1"/>
    <d v="2012-11-05T00:00:00"/>
    <s v="593018233"/>
    <d v="2012-12-11T00:00:00"/>
    <n v="36"/>
    <n v="6128"/>
    <n v="152.58000000000001"/>
    <n v="97.44"/>
    <n v="55.140000000000015"/>
    <n v="935010.24"/>
    <n v="597112.31999999995"/>
    <n v="337897.92"/>
  </r>
  <r>
    <s v="Europe"/>
    <x v="35"/>
    <x v="8"/>
    <s v="Online"/>
    <x v="3"/>
    <d v="2016-09-16T00:00:00"/>
    <s v="349060380"/>
    <d v="2016-09-28T00:00:00"/>
    <n v="12"/>
    <n v="3578"/>
    <n v="255.28"/>
    <n v="159.41999999999999"/>
    <n v="95.860000000000014"/>
    <n v="913391.84"/>
    <n v="570404.76"/>
    <n v="342987.08"/>
  </r>
  <r>
    <s v="Europe"/>
    <x v="14"/>
    <x v="9"/>
    <s v="Offline"/>
    <x v="0"/>
    <d v="2010-12-18T00:00:00"/>
    <s v="863890445"/>
    <d v="2010-12-25T00:00:00"/>
    <n v="7"/>
    <n v="3235"/>
    <n v="668.27"/>
    <n v="502.54"/>
    <n v="165.72999999999996"/>
    <n v="2161853.4500000002"/>
    <n v="1625716.9"/>
    <n v="536136.55000000005"/>
  </r>
  <r>
    <s v="Europe"/>
    <x v="25"/>
    <x v="11"/>
    <s v="Online"/>
    <x v="0"/>
    <d v="2010-01-16T00:00:00"/>
    <s v="667420995"/>
    <d v="2010-01-18T00:00:00"/>
    <n v="2"/>
    <n v="3559"/>
    <n v="81.73"/>
    <n v="56.67"/>
    <n v="25.060000000000002"/>
    <n v="290877.07"/>
    <n v="201688.53"/>
    <n v="89188.54"/>
  </r>
  <r>
    <s v="Europe"/>
    <x v="5"/>
    <x v="5"/>
    <s v="Offline"/>
    <x v="3"/>
    <d v="2011-04-10T00:00:00"/>
    <s v="842687690"/>
    <d v="2011-05-26T00:00:00"/>
    <n v="46"/>
    <n v="8869"/>
    <n v="154.06"/>
    <n v="90.93"/>
    <n v="63.129999999999995"/>
    <n v="1366358.14"/>
    <n v="806458.17"/>
    <n v="559899.97"/>
  </r>
  <r>
    <s v="Europe"/>
    <x v="10"/>
    <x v="0"/>
    <s v="Offline"/>
    <x v="2"/>
    <d v="2012-01-02T00:00:00"/>
    <s v="772893178"/>
    <d v="2012-01-02T00:00:00"/>
    <n v="0"/>
    <n v="5122"/>
    <n v="47.45"/>
    <n v="31.79"/>
    <n v="15.660000000000004"/>
    <n v="243038.9"/>
    <n v="162828.38"/>
    <n v="80210.52"/>
  </r>
  <r>
    <s v="Europe"/>
    <x v="0"/>
    <x v="7"/>
    <s v="Online"/>
    <x v="1"/>
    <d v="2011-07-05T00:00:00"/>
    <s v="789484250"/>
    <d v="2011-07-30T00:00:00"/>
    <n v="25"/>
    <n v="4789"/>
    <n v="152.58000000000001"/>
    <n v="97.44"/>
    <n v="55.140000000000015"/>
    <n v="730705.62"/>
    <n v="466640.16"/>
    <n v="264065.46000000002"/>
  </r>
  <r>
    <s v="Europe"/>
    <x v="43"/>
    <x v="11"/>
    <s v="Offline"/>
    <x v="1"/>
    <d v="2012-05-24T00:00:00"/>
    <s v="336111962"/>
    <d v="2012-06-16T00:00:00"/>
    <n v="23"/>
    <n v="1854"/>
    <n v="81.73"/>
    <n v="56.67"/>
    <n v="25.060000000000002"/>
    <n v="151527.42000000001"/>
    <n v="105066.18"/>
    <n v="46461.24"/>
  </r>
  <r>
    <s v="Europe"/>
    <x v="10"/>
    <x v="9"/>
    <s v="Offline"/>
    <x v="3"/>
    <d v="2015-12-09T00:00:00"/>
    <s v="821131742"/>
    <d v="2015-12-09T00:00:00"/>
    <n v="0"/>
    <n v="9985"/>
    <n v="668.27"/>
    <n v="502.54"/>
    <n v="165.72999999999996"/>
    <n v="6672675.9500000002"/>
    <n v="5017861.9000000004"/>
    <n v="1654814.05"/>
  </r>
  <r>
    <s v="Europe"/>
    <x v="18"/>
    <x v="9"/>
    <s v="Online"/>
    <x v="1"/>
    <d v="2014-04-27T00:00:00"/>
    <s v="679108560"/>
    <d v="2014-06-11T00:00:00"/>
    <n v="45"/>
    <n v="2169"/>
    <n v="668.27"/>
    <n v="502.54"/>
    <n v="165.72999999999996"/>
    <n v="1449477.63"/>
    <n v="1090009.26"/>
    <n v="359468.37"/>
  </r>
  <r>
    <s v="Europe"/>
    <x v="29"/>
    <x v="11"/>
    <s v="Offline"/>
    <x v="2"/>
    <d v="2011-04-19T00:00:00"/>
    <s v="129875409"/>
    <d v="2011-04-26T00:00:00"/>
    <n v="7"/>
    <n v="1875"/>
    <n v="81.73"/>
    <n v="56.67"/>
    <n v="25.060000000000002"/>
    <n v="153243.75"/>
    <n v="106256.25"/>
    <n v="46987.5"/>
  </r>
  <r>
    <s v="Europe"/>
    <x v="45"/>
    <x v="4"/>
    <s v="Offline"/>
    <x v="3"/>
    <d v="2015-03-12T00:00:00"/>
    <s v="155914723"/>
    <d v="2015-03-29T00:00:00"/>
    <n v="17"/>
    <n v="7486"/>
    <n v="9.33"/>
    <n v="6.92"/>
    <n v="2.41"/>
    <n v="69844.38"/>
    <n v="51803.12"/>
    <n v="18041.259999999998"/>
  </r>
  <r>
    <s v="Europe"/>
    <x v="33"/>
    <x v="4"/>
    <s v="Online"/>
    <x v="3"/>
    <d v="2011-10-09T00:00:00"/>
    <s v="753166282"/>
    <d v="2011-11-25T00:00:00"/>
    <n v="47"/>
    <n v="7495"/>
    <n v="9.33"/>
    <n v="6.92"/>
    <n v="2.41"/>
    <n v="69928.350000000006"/>
    <n v="51865.4"/>
    <n v="18062.95"/>
  </r>
  <r>
    <s v="Europe"/>
    <x v="39"/>
    <x v="2"/>
    <s v="Offline"/>
    <x v="1"/>
    <d v="2015-03-20T00:00:00"/>
    <s v="443347108"/>
    <d v="2015-04-09T00:00:00"/>
    <n v="20"/>
    <n v="5116"/>
    <n v="205.7"/>
    <n v="117.11"/>
    <n v="88.589999999999989"/>
    <n v="1052361.2"/>
    <n v="599134.76"/>
    <n v="453226.44"/>
  </r>
  <r>
    <s v="Europe"/>
    <x v="40"/>
    <x v="3"/>
    <s v="Online"/>
    <x v="0"/>
    <d v="2013-06-19T00:00:00"/>
    <s v="527509677"/>
    <d v="2013-07-10T00:00:00"/>
    <n v="21"/>
    <n v="691"/>
    <n v="651.21"/>
    <n v="524.96"/>
    <n v="126.25"/>
    <n v="449986.11"/>
    <n v="362747.36"/>
    <n v="87238.75"/>
  </r>
  <r>
    <s v="Europe"/>
    <x v="45"/>
    <x v="0"/>
    <s v="Offline"/>
    <x v="3"/>
    <d v="2016-09-20T00:00:00"/>
    <s v="416953313"/>
    <d v="2016-10-29T00:00:00"/>
    <n v="39"/>
    <n v="4606"/>
    <n v="47.45"/>
    <n v="31.79"/>
    <n v="15.660000000000004"/>
    <n v="218554.7"/>
    <n v="146424.74"/>
    <n v="72129.960000000006"/>
  </r>
  <r>
    <s v="Europe"/>
    <x v="1"/>
    <x v="2"/>
    <s v="Online"/>
    <x v="0"/>
    <d v="2011-03-30T00:00:00"/>
    <s v="639126908"/>
    <d v="2011-05-10T00:00:00"/>
    <n v="41"/>
    <n v="710"/>
    <n v="205.7"/>
    <n v="117.11"/>
    <n v="88.589999999999989"/>
    <n v="146047"/>
    <n v="83148.100000000006"/>
    <n v="62898.9"/>
  </r>
  <r>
    <s v="Europe"/>
    <x v="44"/>
    <x v="0"/>
    <s v="Online"/>
    <x v="2"/>
    <d v="2014-06-03T00:00:00"/>
    <s v="879405200"/>
    <d v="2014-07-20T00:00:00"/>
    <n v="47"/>
    <n v="4396"/>
    <n v="47.45"/>
    <n v="31.79"/>
    <n v="15.660000000000004"/>
    <n v="208590.2"/>
    <n v="139748.84"/>
    <n v="68841.36"/>
  </r>
  <r>
    <s v="Europe"/>
    <x v="20"/>
    <x v="0"/>
    <s v="Offline"/>
    <x v="3"/>
    <d v="2010-03-17T00:00:00"/>
    <s v="844105184"/>
    <d v="2010-04-20T00:00:00"/>
    <n v="34"/>
    <n v="8337"/>
    <n v="47.45"/>
    <n v="31.79"/>
    <n v="15.660000000000004"/>
    <n v="395590.65"/>
    <n v="265033.23"/>
    <n v="130557.42"/>
  </r>
  <r>
    <s v="Europe"/>
    <x v="11"/>
    <x v="4"/>
    <s v="Offline"/>
    <x v="0"/>
    <d v="2013-09-20T00:00:00"/>
    <s v="127838218"/>
    <d v="2013-10-29T00:00:00"/>
    <n v="39"/>
    <n v="9024"/>
    <n v="9.33"/>
    <n v="6.92"/>
    <n v="2.41"/>
    <n v="84193.919999999998"/>
    <n v="62446.080000000002"/>
    <n v="21747.84"/>
  </r>
  <r>
    <s v="Europe"/>
    <x v="9"/>
    <x v="7"/>
    <s v="Online"/>
    <x v="1"/>
    <d v="2010-11-22T00:00:00"/>
    <s v="881717050"/>
    <d v="2010-12-23T00:00:00"/>
    <n v="31"/>
    <n v="8524"/>
    <n v="152.58000000000001"/>
    <n v="97.44"/>
    <n v="55.140000000000015"/>
    <n v="1300591.92"/>
    <n v="830578.56"/>
    <n v="470013.36"/>
  </r>
  <r>
    <s v="Europe"/>
    <x v="35"/>
    <x v="9"/>
    <s v="Offline"/>
    <x v="2"/>
    <d v="2015-10-13T00:00:00"/>
    <s v="905509746"/>
    <d v="2015-10-20T00:00:00"/>
    <n v="7"/>
    <n v="9311"/>
    <n v="668.27"/>
    <n v="502.54"/>
    <n v="165.72999999999996"/>
    <n v="6222261.9699999997"/>
    <n v="4679149.9400000004"/>
    <n v="1543112.03"/>
  </r>
  <r>
    <s v="Europe"/>
    <x v="18"/>
    <x v="8"/>
    <s v="Online"/>
    <x v="3"/>
    <d v="2012-06-22T00:00:00"/>
    <s v="720878922"/>
    <d v="2012-08-01T00:00:00"/>
    <n v="40"/>
    <n v="2948"/>
    <n v="255.28"/>
    <n v="159.41999999999999"/>
    <n v="95.860000000000014"/>
    <n v="752565.44"/>
    <n v="469970.16"/>
    <n v="282595.28000000003"/>
  </r>
  <r>
    <s v="Europe"/>
    <x v="37"/>
    <x v="11"/>
    <s v="Offline"/>
    <x v="2"/>
    <d v="2012-11-14T00:00:00"/>
    <s v="306256616"/>
    <d v="2012-11-18T00:00:00"/>
    <n v="4"/>
    <n v="6993"/>
    <n v="81.73"/>
    <n v="56.67"/>
    <n v="25.060000000000002"/>
    <n v="571537.89"/>
    <n v="396293.31"/>
    <n v="175244.58"/>
  </r>
  <r>
    <s v="Europe"/>
    <x v="33"/>
    <x v="2"/>
    <s v="Offline"/>
    <x v="1"/>
    <d v="2015-01-04T00:00:00"/>
    <s v="392252957"/>
    <d v="2015-02-22T00:00:00"/>
    <n v="49"/>
    <n v="5222"/>
    <n v="205.7"/>
    <n v="117.11"/>
    <n v="88.589999999999989"/>
    <n v="1074165.3999999999"/>
    <n v="611548.42000000004"/>
    <n v="462616.98"/>
  </r>
  <r>
    <s v="Europe"/>
    <x v="24"/>
    <x v="10"/>
    <s v="Offline"/>
    <x v="0"/>
    <d v="2014-03-14T00:00:00"/>
    <s v="746563756"/>
    <d v="2014-04-12T00:00:00"/>
    <n v="29"/>
    <n v="3661"/>
    <n v="437.2"/>
    <n v="263.33"/>
    <n v="173.87"/>
    <n v="1600589.2"/>
    <n v="964051.13"/>
    <n v="636538.06999999995"/>
  </r>
  <r>
    <s v="Europe"/>
    <x v="3"/>
    <x v="9"/>
    <s v="Online"/>
    <x v="0"/>
    <d v="2014-03-21T00:00:00"/>
    <s v="129902875"/>
    <d v="2014-04-24T00:00:00"/>
    <n v="34"/>
    <n v="2"/>
    <n v="668.27"/>
    <n v="502.54"/>
    <n v="165.72999999999996"/>
    <n v="1336.54"/>
    <n v="1005.08"/>
    <n v="331.46"/>
  </r>
  <r>
    <s v="Europe"/>
    <x v="10"/>
    <x v="0"/>
    <s v="Offline"/>
    <x v="1"/>
    <d v="2014-05-10T00:00:00"/>
    <s v="595395314"/>
    <d v="2014-05-30T00:00:00"/>
    <n v="20"/>
    <n v="9559"/>
    <n v="47.45"/>
    <n v="31.79"/>
    <n v="15.660000000000004"/>
    <n v="453574.55"/>
    <n v="303880.61"/>
    <n v="149693.94"/>
  </r>
  <r>
    <s v="Europe"/>
    <x v="26"/>
    <x v="4"/>
    <s v="Online"/>
    <x v="2"/>
    <d v="2011-03-04T00:00:00"/>
    <s v="272425591"/>
    <d v="2011-03-21T00:00:00"/>
    <n v="17"/>
    <n v="5641"/>
    <n v="9.33"/>
    <n v="6.92"/>
    <n v="2.41"/>
    <n v="52630.53"/>
    <n v="39035.72"/>
    <n v="13594.81"/>
  </r>
  <r>
    <s v="Europe"/>
    <x v="38"/>
    <x v="8"/>
    <s v="Offline"/>
    <x v="3"/>
    <d v="2013-11-27T00:00:00"/>
    <s v="596166074"/>
    <d v="2014-01-13T00:00:00"/>
    <n v="47"/>
    <n v="7644"/>
    <n v="255.28"/>
    <n v="159.41999999999999"/>
    <n v="95.860000000000014"/>
    <n v="1951360.32"/>
    <n v="1218606.48"/>
    <n v="732753.84"/>
  </r>
  <r>
    <s v="Europe"/>
    <x v="11"/>
    <x v="0"/>
    <s v="Offline"/>
    <x v="0"/>
    <d v="2012-10-18T00:00:00"/>
    <s v="906345736"/>
    <d v="2012-11-21T00:00:00"/>
    <n v="34"/>
    <n v="6699"/>
    <n v="47.45"/>
    <n v="31.79"/>
    <n v="15.660000000000004"/>
    <n v="317867.55"/>
    <n v="212961.21"/>
    <n v="104906.34"/>
  </r>
  <r>
    <s v="Europe"/>
    <x v="38"/>
    <x v="10"/>
    <s v="Offline"/>
    <x v="1"/>
    <d v="2012-02-26T00:00:00"/>
    <s v="385340154"/>
    <d v="2012-03-18T00:00:00"/>
    <n v="21"/>
    <n v="9569"/>
    <n v="437.2"/>
    <n v="263.33"/>
    <n v="173.87"/>
    <n v="4183566.8"/>
    <n v="2519804.77"/>
    <n v="1663762.03"/>
  </r>
  <r>
    <s v="Europe"/>
    <x v="34"/>
    <x v="10"/>
    <s v="Offline"/>
    <x v="3"/>
    <d v="2012-06-03T00:00:00"/>
    <s v="679039466"/>
    <d v="2012-07-05T00:00:00"/>
    <n v="32"/>
    <n v="1723"/>
    <n v="437.2"/>
    <n v="263.33"/>
    <n v="173.87"/>
    <n v="753295.6"/>
    <n v="453717.59"/>
    <n v="299578.01"/>
  </r>
  <r>
    <s v="Europe"/>
    <x v="10"/>
    <x v="8"/>
    <s v="Offline"/>
    <x v="2"/>
    <d v="2011-02-15T00:00:00"/>
    <s v="587799727"/>
    <d v="2011-03-27T00:00:00"/>
    <n v="40"/>
    <n v="1856"/>
    <n v="255.28"/>
    <n v="159.41999999999999"/>
    <n v="95.860000000000014"/>
    <n v="473799.67999999999"/>
    <n v="295883.52000000002"/>
    <n v="177916.16"/>
  </r>
  <r>
    <s v="Europe"/>
    <x v="47"/>
    <x v="7"/>
    <s v="Offline"/>
    <x v="2"/>
    <d v="2017-01-22T00:00:00"/>
    <s v="341398274"/>
    <d v="2017-03-07T00:00:00"/>
    <n v="44"/>
    <n v="6191"/>
    <n v="152.58000000000001"/>
    <n v="97.44"/>
    <n v="55.140000000000015"/>
    <n v="944622.78"/>
    <n v="603251.04"/>
    <n v="341371.74"/>
  </r>
  <r>
    <s v="Europe"/>
    <x v="36"/>
    <x v="4"/>
    <s v="Offline"/>
    <x v="3"/>
    <d v="2015-06-14T00:00:00"/>
    <s v="516994559"/>
    <d v="2015-06-20T00:00:00"/>
    <n v="6"/>
    <n v="9034"/>
    <n v="9.33"/>
    <n v="6.92"/>
    <n v="2.41"/>
    <n v="84287.22"/>
    <n v="62515.28"/>
    <n v="21771.94"/>
  </r>
  <r>
    <s v="Europe"/>
    <x v="20"/>
    <x v="3"/>
    <s v="Online"/>
    <x v="3"/>
    <d v="2010-04-09T00:00:00"/>
    <s v="483981502"/>
    <d v="2010-05-04T00:00:00"/>
    <n v="25"/>
    <n v="9736"/>
    <n v="651.21"/>
    <n v="524.96"/>
    <n v="126.25"/>
    <n v="6340180.5599999996"/>
    <n v="5111010.5599999996"/>
    <n v="1229170"/>
  </r>
  <r>
    <s v="Europe"/>
    <x v="42"/>
    <x v="10"/>
    <s v="Online"/>
    <x v="3"/>
    <d v="2015-05-30T00:00:00"/>
    <s v="549187934"/>
    <d v="2015-07-17T00:00:00"/>
    <n v="48"/>
    <n v="5769"/>
    <n v="437.2"/>
    <n v="263.33"/>
    <n v="173.87"/>
    <n v="2522206.7999999998"/>
    <n v="1519150.77"/>
    <n v="1003056.03"/>
  </r>
  <r>
    <s v="Europe"/>
    <x v="35"/>
    <x v="1"/>
    <s v="Online"/>
    <x v="1"/>
    <d v="2015-04-22T00:00:00"/>
    <s v="989403665"/>
    <d v="2015-05-25T00:00:00"/>
    <n v="33"/>
    <n v="5386"/>
    <n v="109.28"/>
    <n v="35.840000000000003"/>
    <n v="73.44"/>
    <n v="588582.07999999996"/>
    <n v="193034.23999999999"/>
    <n v="395547.84"/>
  </r>
  <r>
    <s v="Europe"/>
    <x v="29"/>
    <x v="9"/>
    <s v="Online"/>
    <x v="3"/>
    <d v="2012-01-25T00:00:00"/>
    <s v="516635358"/>
    <d v="2012-02-26T00:00:00"/>
    <n v="32"/>
    <n v="2738"/>
    <n v="668.27"/>
    <n v="502.54"/>
    <n v="165.72999999999996"/>
    <n v="1829723.26"/>
    <n v="1375954.52"/>
    <n v="453768.74"/>
  </r>
  <r>
    <s v="Europe"/>
    <x v="44"/>
    <x v="1"/>
    <s v="Offline"/>
    <x v="1"/>
    <d v="2015-06-08T00:00:00"/>
    <s v="173122918"/>
    <d v="2015-07-25T00:00:00"/>
    <n v="47"/>
    <n v="9773"/>
    <n v="109.28"/>
    <n v="35.840000000000003"/>
    <n v="73.44"/>
    <n v="1067993.44"/>
    <n v="350264.32000000001"/>
    <n v="717729.12"/>
  </r>
  <r>
    <s v="Europe"/>
    <x v="45"/>
    <x v="0"/>
    <s v="Online"/>
    <x v="0"/>
    <d v="2014-07-14T00:00:00"/>
    <s v="357482516"/>
    <d v="2014-07-28T00:00:00"/>
    <n v="14"/>
    <n v="5875"/>
    <n v="47.45"/>
    <n v="31.79"/>
    <n v="15.660000000000004"/>
    <n v="278768.75"/>
    <n v="186766.25"/>
    <n v="92002.5"/>
  </r>
  <r>
    <s v="Europe"/>
    <x v="20"/>
    <x v="4"/>
    <s v="Online"/>
    <x v="2"/>
    <d v="2010-01-18T00:00:00"/>
    <s v="756252324"/>
    <d v="2010-02-09T00:00:00"/>
    <n v="22"/>
    <n v="723"/>
    <n v="9.33"/>
    <n v="6.92"/>
    <n v="2.41"/>
    <n v="6745.59"/>
    <n v="5003.16"/>
    <n v="1742.43"/>
  </r>
  <r>
    <s v="Europe"/>
    <x v="23"/>
    <x v="1"/>
    <s v="Offline"/>
    <x v="3"/>
    <d v="2016-11-16T00:00:00"/>
    <s v="926763570"/>
    <d v="2016-11-25T00:00:00"/>
    <n v="9"/>
    <n v="8790"/>
    <n v="109.28"/>
    <n v="35.840000000000003"/>
    <n v="73.44"/>
    <n v="960571.2"/>
    <n v="315033.59999999998"/>
    <n v="645537.6"/>
  </r>
  <r>
    <s v="Europe"/>
    <x v="41"/>
    <x v="9"/>
    <s v="Online"/>
    <x v="1"/>
    <d v="2013-10-28T00:00:00"/>
    <s v="107651269"/>
    <d v="2013-11-11T00:00:00"/>
    <n v="14"/>
    <n v="5258"/>
    <n v="668.27"/>
    <n v="502.54"/>
    <n v="165.72999999999996"/>
    <n v="3513763.66"/>
    <n v="2642355.3199999998"/>
    <n v="871408.34"/>
  </r>
  <r>
    <s v="Europe"/>
    <x v="39"/>
    <x v="0"/>
    <s v="Online"/>
    <x v="3"/>
    <d v="2010-08-19T00:00:00"/>
    <s v="425547969"/>
    <d v="2010-09-11T00:00:00"/>
    <n v="23"/>
    <n v="7955"/>
    <n v="47.45"/>
    <n v="31.79"/>
    <n v="15.660000000000004"/>
    <n v="377464.75"/>
    <n v="252889.45"/>
    <n v="124575.3"/>
  </r>
  <r>
    <s v="Europe"/>
    <x v="4"/>
    <x v="1"/>
    <s v="Offline"/>
    <x v="2"/>
    <d v="2016-01-24T00:00:00"/>
    <s v="264928710"/>
    <d v="2016-01-27T00:00:00"/>
    <n v="3"/>
    <n v="7147"/>
    <n v="109.28"/>
    <n v="35.840000000000003"/>
    <n v="73.44"/>
    <n v="781024.16"/>
    <n v="256148.48000000001"/>
    <n v="524875.68000000005"/>
  </r>
  <r>
    <s v="Europe"/>
    <x v="39"/>
    <x v="0"/>
    <s v="Offline"/>
    <x v="2"/>
    <d v="2010-01-13T00:00:00"/>
    <s v="861180341"/>
    <d v="2010-02-20T00:00:00"/>
    <n v="38"/>
    <n v="1255"/>
    <n v="47.45"/>
    <n v="31.79"/>
    <n v="15.660000000000004"/>
    <n v="59549.75"/>
    <n v="39896.449999999997"/>
    <n v="19653.3"/>
  </r>
  <r>
    <s v="Europe"/>
    <x v="45"/>
    <x v="0"/>
    <s v="Offline"/>
    <x v="1"/>
    <d v="2011-06-10T00:00:00"/>
    <s v="580569350"/>
    <d v="2011-07-03T00:00:00"/>
    <n v="23"/>
    <n v="2227"/>
    <n v="47.45"/>
    <n v="31.79"/>
    <n v="15.660000000000004"/>
    <n v="105671.15"/>
    <n v="70796.33"/>
    <n v="34874.82"/>
  </r>
  <r>
    <s v="Europe"/>
    <x v="15"/>
    <x v="5"/>
    <s v="Offline"/>
    <x v="1"/>
    <d v="2013-02-25T00:00:00"/>
    <s v="559417665"/>
    <d v="2013-02-28T00:00:00"/>
    <n v="3"/>
    <n v="2973"/>
    <n v="154.06"/>
    <n v="90.93"/>
    <n v="63.129999999999995"/>
    <n v="458020.38"/>
    <n v="270334.89"/>
    <n v="187685.49"/>
  </r>
  <r>
    <s v="Europe"/>
    <x v="18"/>
    <x v="9"/>
    <s v="Online"/>
    <x v="0"/>
    <d v="2015-08-21T00:00:00"/>
    <s v="184976994"/>
    <d v="2015-09-21T00:00:00"/>
    <n v="31"/>
    <n v="7658"/>
    <n v="668.27"/>
    <n v="502.54"/>
    <n v="165.72999999999996"/>
    <n v="5117611.66"/>
    <n v="3848451.32"/>
    <n v="1269160.3400000001"/>
  </r>
  <r>
    <s v="Europe"/>
    <x v="22"/>
    <x v="0"/>
    <s v="Online"/>
    <x v="1"/>
    <d v="2013-12-08T00:00:00"/>
    <s v="874349772"/>
    <d v="2014-01-04T00:00:00"/>
    <n v="27"/>
    <n v="8383"/>
    <n v="47.45"/>
    <n v="31.79"/>
    <n v="15.660000000000004"/>
    <n v="397773.35"/>
    <n v="266495.57"/>
    <n v="131277.78"/>
  </r>
  <r>
    <s v="Europe"/>
    <x v="39"/>
    <x v="9"/>
    <s v="Online"/>
    <x v="3"/>
    <d v="2016-11-15T00:00:00"/>
    <s v="713009965"/>
    <d v="2016-12-16T00:00:00"/>
    <n v="31"/>
    <n v="4348"/>
    <n v="668.27"/>
    <n v="502.54"/>
    <n v="165.72999999999996"/>
    <n v="2905637.96"/>
    <n v="2185043.92"/>
    <n v="720594.04"/>
  </r>
  <r>
    <s v="Europe"/>
    <x v="39"/>
    <x v="8"/>
    <s v="Online"/>
    <x v="1"/>
    <d v="2016-10-24T00:00:00"/>
    <s v="569941365"/>
    <d v="2016-11-26T00:00:00"/>
    <n v="33"/>
    <n v="7170"/>
    <n v="255.28"/>
    <n v="159.41999999999999"/>
    <n v="95.860000000000014"/>
    <n v="1830357.6"/>
    <n v="1143041.3999999999"/>
    <n v="687316.2"/>
  </r>
  <r>
    <s v="Europe"/>
    <x v="21"/>
    <x v="9"/>
    <s v="Online"/>
    <x v="3"/>
    <d v="2010-09-09T00:00:00"/>
    <s v="845067346"/>
    <d v="2010-09-13T00:00:00"/>
    <n v="4"/>
    <n v="3062"/>
    <n v="668.27"/>
    <n v="502.54"/>
    <n v="165.72999999999996"/>
    <n v="2046242.74"/>
    <n v="1538777.48"/>
    <n v="507465.26"/>
  </r>
  <r>
    <s v="Europe"/>
    <x v="0"/>
    <x v="4"/>
    <s v="Offline"/>
    <x v="1"/>
    <d v="2014-11-24T00:00:00"/>
    <s v="774926936"/>
    <d v="2014-11-27T00:00:00"/>
    <n v="3"/>
    <n v="6956"/>
    <n v="9.33"/>
    <n v="6.92"/>
    <n v="2.41"/>
    <n v="64899.48"/>
    <n v="48135.519999999997"/>
    <n v="16763.96"/>
  </r>
  <r>
    <s v="Europe"/>
    <x v="28"/>
    <x v="8"/>
    <s v="Online"/>
    <x v="3"/>
    <d v="2011-05-06T00:00:00"/>
    <s v="217920958"/>
    <d v="2011-06-25T00:00:00"/>
    <n v="50"/>
    <n v="6509"/>
    <n v="255.28"/>
    <n v="159.41999999999999"/>
    <n v="95.860000000000014"/>
    <n v="1661617.52"/>
    <n v="1037664.78"/>
    <n v="623952.74"/>
  </r>
  <r>
    <s v="Europe"/>
    <x v="29"/>
    <x v="1"/>
    <s v="Online"/>
    <x v="0"/>
    <d v="2013-02-06T00:00:00"/>
    <s v="523836123"/>
    <d v="2013-03-22T00:00:00"/>
    <n v="44"/>
    <n v="3605"/>
    <n v="109.28"/>
    <n v="35.840000000000003"/>
    <n v="73.44"/>
    <n v="393954.4"/>
    <n v="129203.2"/>
    <n v="264751.2"/>
  </r>
  <r>
    <s v="Europe"/>
    <x v="13"/>
    <x v="5"/>
    <s v="Online"/>
    <x v="0"/>
    <d v="2011-11-06T00:00:00"/>
    <s v="446019017"/>
    <d v="2011-11-25T00:00:00"/>
    <n v="19"/>
    <n v="5794"/>
    <n v="154.06"/>
    <n v="90.93"/>
    <n v="63.129999999999995"/>
    <n v="892623.64"/>
    <n v="526848.42000000004"/>
    <n v="365775.22"/>
  </r>
  <r>
    <s v="Europe"/>
    <x v="6"/>
    <x v="1"/>
    <s v="Online"/>
    <x v="3"/>
    <d v="2011-05-14T00:00:00"/>
    <s v="475992381"/>
    <d v="2011-05-26T00:00:00"/>
    <n v="12"/>
    <n v="5578"/>
    <n v="109.28"/>
    <n v="35.840000000000003"/>
    <n v="73.44"/>
    <n v="609563.84"/>
    <n v="199915.51999999999"/>
    <n v="409648.32"/>
  </r>
  <r>
    <s v="Europe"/>
    <x v="15"/>
    <x v="3"/>
    <s v="Offline"/>
    <x v="0"/>
    <d v="2017-03-01T00:00:00"/>
    <s v="410514724"/>
    <d v="2017-04-10T00:00:00"/>
    <n v="40"/>
    <n v="9284"/>
    <n v="651.21"/>
    <n v="524.96"/>
    <n v="126.25"/>
    <n v="6045833.6399999997"/>
    <n v="4873728.6399999997"/>
    <n v="1172105"/>
  </r>
  <r>
    <s v="Europe"/>
    <x v="38"/>
    <x v="11"/>
    <s v="Offline"/>
    <x v="0"/>
    <d v="2010-03-14T00:00:00"/>
    <s v="938209950"/>
    <d v="2010-03-16T00:00:00"/>
    <n v="2"/>
    <n v="6028"/>
    <n v="81.73"/>
    <n v="56.67"/>
    <n v="25.060000000000002"/>
    <n v="492668.44"/>
    <n v="341606.76"/>
    <n v="151061.68"/>
  </r>
  <r>
    <s v="Europe"/>
    <x v="13"/>
    <x v="1"/>
    <s v="Offline"/>
    <x v="3"/>
    <d v="2016-09-27T00:00:00"/>
    <s v="747955071"/>
    <d v="2016-10-25T00:00:00"/>
    <n v="28"/>
    <n v="5382"/>
    <n v="109.28"/>
    <n v="35.840000000000003"/>
    <n v="73.44"/>
    <n v="588144.96"/>
    <n v="192890.88"/>
    <n v="395254.08"/>
  </r>
  <r>
    <s v="Europe"/>
    <x v="39"/>
    <x v="1"/>
    <s v="Offline"/>
    <x v="2"/>
    <d v="2017-05-14T00:00:00"/>
    <s v="923160398"/>
    <d v="2017-06-15T00:00:00"/>
    <n v="32"/>
    <n v="2531"/>
    <n v="109.28"/>
    <n v="35.840000000000003"/>
    <n v="73.44"/>
    <n v="276587.68"/>
    <n v="90711.039999999994"/>
    <n v="185876.64"/>
  </r>
  <r>
    <s v="Europe"/>
    <x v="23"/>
    <x v="3"/>
    <s v="Online"/>
    <x v="3"/>
    <d v="2012-10-20T00:00:00"/>
    <s v="754227149"/>
    <d v="2012-11-24T00:00:00"/>
    <n v="35"/>
    <n v="1429"/>
    <n v="651.21"/>
    <n v="524.96"/>
    <n v="126.25"/>
    <n v="930579.09"/>
    <n v="750167.84"/>
    <n v="180411.25"/>
  </r>
  <r>
    <s v="Europe"/>
    <x v="24"/>
    <x v="8"/>
    <s v="Offline"/>
    <x v="2"/>
    <d v="2013-02-24T00:00:00"/>
    <s v="357943856"/>
    <d v="2013-03-17T00:00:00"/>
    <n v="21"/>
    <n v="2396"/>
    <n v="255.28"/>
    <n v="159.41999999999999"/>
    <n v="95.860000000000014"/>
    <n v="611650.88"/>
    <n v="381970.32"/>
    <n v="229680.56"/>
  </r>
  <r>
    <s v="Europe"/>
    <x v="45"/>
    <x v="10"/>
    <s v="Online"/>
    <x v="1"/>
    <d v="2011-01-28T00:00:00"/>
    <s v="815917098"/>
    <d v="2011-02-13T00:00:00"/>
    <n v="16"/>
    <n v="6856"/>
    <n v="437.2"/>
    <n v="263.33"/>
    <n v="173.87"/>
    <n v="2997443.2"/>
    <n v="1805390.48"/>
    <n v="1192052.72"/>
  </r>
  <r>
    <s v="Europe"/>
    <x v="23"/>
    <x v="1"/>
    <s v="Offline"/>
    <x v="2"/>
    <d v="2011-01-02T00:00:00"/>
    <s v="626011979"/>
    <d v="2011-01-11T00:00:00"/>
    <n v="9"/>
    <n v="9711"/>
    <n v="109.28"/>
    <n v="35.840000000000003"/>
    <n v="73.44"/>
    <n v="1061218.08"/>
    <n v="348042.23999999999"/>
    <n v="713175.84"/>
  </r>
  <r>
    <s v="Europe"/>
    <x v="1"/>
    <x v="8"/>
    <s v="Online"/>
    <x v="1"/>
    <d v="2015-04-01T00:00:00"/>
    <s v="640295922"/>
    <d v="2015-04-03T00:00:00"/>
    <n v="2"/>
    <n v="6647"/>
    <n v="255.28"/>
    <n v="159.41999999999999"/>
    <n v="95.860000000000014"/>
    <n v="1696846.16"/>
    <n v="1059664.74"/>
    <n v="637181.42000000004"/>
  </r>
  <r>
    <s v="Europe"/>
    <x v="46"/>
    <x v="7"/>
    <s v="Online"/>
    <x v="0"/>
    <d v="2010-01-11T00:00:00"/>
    <s v="653920686"/>
    <d v="2010-01-18T00:00:00"/>
    <n v="7"/>
    <n v="8517"/>
    <n v="152.58000000000001"/>
    <n v="97.44"/>
    <n v="55.140000000000015"/>
    <n v="1299523.8600000001"/>
    <n v="829896.48"/>
    <n v="469627.38"/>
  </r>
  <r>
    <s v="Europe"/>
    <x v="34"/>
    <x v="4"/>
    <s v="Online"/>
    <x v="1"/>
    <d v="2017-01-10T00:00:00"/>
    <s v="994504153"/>
    <d v="2017-01-13T00:00:00"/>
    <n v="3"/>
    <n v="4734"/>
    <n v="9.33"/>
    <n v="6.92"/>
    <n v="2.41"/>
    <n v="44168.22"/>
    <n v="32759.279999999999"/>
    <n v="11408.94"/>
  </r>
  <r>
    <s v="Europe"/>
    <x v="0"/>
    <x v="6"/>
    <s v="Offline"/>
    <x v="1"/>
    <d v="2017-05-09T00:00:00"/>
    <s v="920011270"/>
    <d v="2017-06-12T00:00:00"/>
    <n v="34"/>
    <n v="634"/>
    <n v="421.89"/>
    <n v="364.69"/>
    <n v="57.199999999999989"/>
    <n v="267478.26"/>
    <n v="231213.46"/>
    <n v="36264.800000000003"/>
  </r>
  <r>
    <s v="Europe"/>
    <x v="1"/>
    <x v="5"/>
    <s v="Online"/>
    <x v="1"/>
    <d v="2013-11-25T00:00:00"/>
    <s v="523707807"/>
    <d v="2013-12-16T00:00:00"/>
    <n v="21"/>
    <n v="5633"/>
    <n v="154.06"/>
    <n v="90.93"/>
    <n v="63.129999999999995"/>
    <n v="867819.98"/>
    <n v="512208.69"/>
    <n v="355611.29"/>
  </r>
  <r>
    <s v="Europe"/>
    <x v="9"/>
    <x v="4"/>
    <s v="Online"/>
    <x v="2"/>
    <d v="2013-10-17T00:00:00"/>
    <s v="791692674"/>
    <d v="2013-11-24T00:00:00"/>
    <n v="38"/>
    <n v="8310"/>
    <n v="9.33"/>
    <n v="6.92"/>
    <n v="2.41"/>
    <n v="77532.3"/>
    <n v="57505.2"/>
    <n v="20027.099999999999"/>
  </r>
  <r>
    <s v="Europe"/>
    <x v="34"/>
    <x v="5"/>
    <s v="Online"/>
    <x v="0"/>
    <d v="2012-01-07T00:00:00"/>
    <s v="715863835"/>
    <d v="2012-01-26T00:00:00"/>
    <n v="19"/>
    <n v="8872"/>
    <n v="154.06"/>
    <n v="90.93"/>
    <n v="63.129999999999995"/>
    <n v="1366820.32"/>
    <n v="806730.96"/>
    <n v="560089.36"/>
  </r>
  <r>
    <s v="Europe"/>
    <x v="30"/>
    <x v="10"/>
    <s v="Offline"/>
    <x v="0"/>
    <d v="2010-08-23T00:00:00"/>
    <s v="694914710"/>
    <d v="2010-09-25T00:00:00"/>
    <n v="33"/>
    <n v="9560"/>
    <n v="437.2"/>
    <n v="263.33"/>
    <n v="173.87"/>
    <n v="4179632"/>
    <n v="2517434.7999999998"/>
    <n v="1662197.2"/>
  </r>
  <r>
    <s v="Europe"/>
    <x v="35"/>
    <x v="8"/>
    <s v="Online"/>
    <x v="1"/>
    <d v="2015-11-21T00:00:00"/>
    <s v="525472486"/>
    <d v="2015-11-23T00:00:00"/>
    <n v="2"/>
    <n v="7840"/>
    <n v="255.28"/>
    <n v="159.41999999999999"/>
    <n v="95.860000000000014"/>
    <n v="2001395.2"/>
    <n v="1249852.8"/>
    <n v="751542.4"/>
  </r>
  <r>
    <s v="Europe"/>
    <x v="47"/>
    <x v="4"/>
    <s v="Online"/>
    <x v="2"/>
    <d v="2012-10-28T00:00:00"/>
    <s v="496826493"/>
    <d v="2012-12-11T00:00:00"/>
    <n v="44"/>
    <n v="855"/>
    <n v="9.33"/>
    <n v="6.92"/>
    <n v="2.41"/>
    <n v="7977.15"/>
    <n v="5916.6"/>
    <n v="2060.5500000000002"/>
  </r>
  <r>
    <s v="Europe"/>
    <x v="18"/>
    <x v="2"/>
    <s v="Online"/>
    <x v="2"/>
    <d v="2010-01-01T00:00:00"/>
    <s v="940682303"/>
    <d v="2010-02-09T00:00:00"/>
    <n v="39"/>
    <n v="7652"/>
    <n v="205.7"/>
    <n v="117.11"/>
    <n v="88.589999999999989"/>
    <n v="1574016.4"/>
    <n v="896125.72"/>
    <n v="677890.68"/>
  </r>
  <r>
    <s v="Europe"/>
    <x v="24"/>
    <x v="4"/>
    <s v="Offline"/>
    <x v="0"/>
    <d v="2014-10-06T00:00:00"/>
    <s v="381774747"/>
    <d v="2014-10-23T00:00:00"/>
    <n v="17"/>
    <n v="4486"/>
    <n v="9.33"/>
    <n v="6.92"/>
    <n v="2.41"/>
    <n v="41854.379999999997"/>
    <n v="31043.119999999999"/>
    <n v="10811.26"/>
  </r>
  <r>
    <s v="Europe"/>
    <x v="45"/>
    <x v="5"/>
    <s v="Online"/>
    <x v="3"/>
    <d v="2015-12-02T00:00:00"/>
    <s v="934718358"/>
    <d v="2015-12-16T00:00:00"/>
    <n v="14"/>
    <n v="2789"/>
    <n v="154.06"/>
    <n v="90.93"/>
    <n v="63.129999999999995"/>
    <n v="429673.34"/>
    <n v="253603.77"/>
    <n v="176069.57"/>
  </r>
  <r>
    <s v="Europe"/>
    <x v="46"/>
    <x v="6"/>
    <s v="Offline"/>
    <x v="0"/>
    <d v="2012-03-23T00:00:00"/>
    <s v="741690289"/>
    <d v="2012-05-10T00:00:00"/>
    <n v="48"/>
    <n v="1494"/>
    <n v="421.89"/>
    <n v="364.69"/>
    <n v="57.199999999999989"/>
    <n v="630303.66"/>
    <n v="544846.86"/>
    <n v="85456.8"/>
  </r>
  <r>
    <s v="Europe"/>
    <x v="15"/>
    <x v="1"/>
    <s v="Offline"/>
    <x v="2"/>
    <d v="2010-01-12T00:00:00"/>
    <s v="393842971"/>
    <d v="2010-01-31T00:00:00"/>
    <n v="19"/>
    <n v="5742"/>
    <n v="109.28"/>
    <n v="35.840000000000003"/>
    <n v="73.44"/>
    <n v="627485.76"/>
    <n v="205793.28"/>
    <n v="421692.48"/>
  </r>
  <r>
    <s v="Europe"/>
    <x v="45"/>
    <x v="9"/>
    <s v="Offline"/>
    <x v="3"/>
    <d v="2012-05-21T00:00:00"/>
    <s v="143414771"/>
    <d v="2012-06-03T00:00:00"/>
    <n v="13"/>
    <n v="8473"/>
    <n v="668.27"/>
    <n v="502.54"/>
    <n v="165.72999999999996"/>
    <n v="5662251.71"/>
    <n v="4258021.42"/>
    <n v="1404230.29"/>
  </r>
  <r>
    <s v="Europe"/>
    <x v="16"/>
    <x v="7"/>
    <s v="Offline"/>
    <x v="0"/>
    <d v="2010-06-26T00:00:00"/>
    <s v="272361218"/>
    <d v="2010-07-03T00:00:00"/>
    <n v="7"/>
    <n v="6592"/>
    <n v="152.58000000000001"/>
    <n v="97.44"/>
    <n v="55.140000000000015"/>
    <n v="1005807.36"/>
    <n v="642324.47999999998"/>
    <n v="363482.88"/>
  </r>
  <r>
    <s v="Europe"/>
    <x v="29"/>
    <x v="5"/>
    <s v="Online"/>
    <x v="1"/>
    <d v="2017-05-01T00:00:00"/>
    <s v="146349751"/>
    <d v="2017-06-13T00:00:00"/>
    <n v="43"/>
    <n v="6999"/>
    <n v="154.06"/>
    <n v="90.93"/>
    <n v="63.129999999999995"/>
    <n v="1078265.94"/>
    <n v="636419.06999999995"/>
    <n v="441846.87"/>
  </r>
  <r>
    <s v="Europe"/>
    <x v="47"/>
    <x v="6"/>
    <s v="Offline"/>
    <x v="0"/>
    <d v="2017-02-22T00:00:00"/>
    <s v="104190576"/>
    <d v="2017-03-12T00:00:00"/>
    <n v="18"/>
    <n v="1162"/>
    <n v="421.89"/>
    <n v="364.69"/>
    <n v="57.199999999999989"/>
    <n v="490236.18"/>
    <n v="423769.78"/>
    <n v="66466.399999999994"/>
  </r>
  <r>
    <s v="Europe"/>
    <x v="17"/>
    <x v="2"/>
    <s v="Online"/>
    <x v="0"/>
    <d v="2013-11-06T00:00:00"/>
    <s v="332268464"/>
    <d v="2013-12-14T00:00:00"/>
    <n v="38"/>
    <n v="4477"/>
    <n v="205.7"/>
    <n v="117.11"/>
    <n v="88.589999999999989"/>
    <n v="920918.9"/>
    <n v="524301.47"/>
    <n v="396617.43"/>
  </r>
  <r>
    <s v="Europe"/>
    <x v="33"/>
    <x v="6"/>
    <s v="Online"/>
    <x v="1"/>
    <d v="2013-11-15T00:00:00"/>
    <s v="459277713"/>
    <d v="2013-12-04T00:00:00"/>
    <n v="19"/>
    <n v="9336"/>
    <n v="421.89"/>
    <n v="364.69"/>
    <n v="57.199999999999989"/>
    <n v="3938765.04"/>
    <n v="3404745.84"/>
    <n v="534019.19999999995"/>
  </r>
  <r>
    <s v="Europe"/>
    <x v="46"/>
    <x v="4"/>
    <s v="Offline"/>
    <x v="2"/>
    <d v="2010-07-24T00:00:00"/>
    <s v="665786778"/>
    <d v="2010-08-15T00:00:00"/>
    <n v="22"/>
    <n v="9958"/>
    <n v="9.33"/>
    <n v="6.92"/>
    <n v="2.41"/>
    <n v="92908.14"/>
    <n v="68909.36"/>
    <n v="23998.78"/>
  </r>
  <r>
    <s v="Europe"/>
    <x v="14"/>
    <x v="8"/>
    <s v="Online"/>
    <x v="2"/>
    <d v="2010-09-01T00:00:00"/>
    <s v="917485272"/>
    <d v="2010-10-03T00:00:00"/>
    <n v="32"/>
    <n v="3136"/>
    <n v="255.28"/>
    <n v="159.41999999999999"/>
    <n v="95.860000000000014"/>
    <n v="800558.07999999996"/>
    <n v="499941.12"/>
    <n v="300616.96000000002"/>
  </r>
  <r>
    <s v="Europe"/>
    <x v="45"/>
    <x v="11"/>
    <s v="Offline"/>
    <x v="2"/>
    <d v="2012-04-28T00:00:00"/>
    <s v="547225844"/>
    <d v="2012-05-30T00:00:00"/>
    <n v="32"/>
    <n v="5143"/>
    <n v="81.73"/>
    <n v="56.67"/>
    <n v="25.060000000000002"/>
    <n v="420337.39"/>
    <n v="291453.81"/>
    <n v="128883.58"/>
  </r>
  <r>
    <s v="Europe"/>
    <x v="7"/>
    <x v="9"/>
    <s v="Offline"/>
    <x v="2"/>
    <d v="2015-07-19T00:00:00"/>
    <s v="869291770"/>
    <d v="2015-08-21T00:00:00"/>
    <n v="33"/>
    <n v="1607"/>
    <n v="668.27"/>
    <n v="502.54"/>
    <n v="165.72999999999996"/>
    <n v="1073909.8899999999"/>
    <n v="807581.78"/>
    <n v="266328.11"/>
  </r>
  <r>
    <s v="Europe"/>
    <x v="46"/>
    <x v="1"/>
    <s v="Offline"/>
    <x v="2"/>
    <d v="2017-01-12T00:00:00"/>
    <s v="709276759"/>
    <d v="2017-03-01T00:00:00"/>
    <n v="48"/>
    <n v="9610"/>
    <n v="109.28"/>
    <n v="35.840000000000003"/>
    <n v="73.44"/>
    <n v="1050180.8"/>
    <n v="344422.40000000002"/>
    <n v="705758.4"/>
  </r>
  <r>
    <s v="Europe"/>
    <x v="30"/>
    <x v="0"/>
    <s v="Online"/>
    <x v="0"/>
    <d v="2012-10-09T00:00:00"/>
    <s v="877062451"/>
    <d v="2012-10-29T00:00:00"/>
    <n v="20"/>
    <n v="1124"/>
    <n v="47.45"/>
    <n v="31.79"/>
    <n v="15.660000000000004"/>
    <n v="53333.8"/>
    <n v="35731.96"/>
    <n v="17601.84"/>
  </r>
  <r>
    <s v="Europe"/>
    <x v="20"/>
    <x v="8"/>
    <s v="Online"/>
    <x v="2"/>
    <d v="2016-10-28T00:00:00"/>
    <s v="111893022"/>
    <d v="2016-12-02T00:00:00"/>
    <n v="35"/>
    <n v="486"/>
    <n v="255.28"/>
    <n v="159.41999999999999"/>
    <n v="95.860000000000014"/>
    <n v="124066.08"/>
    <n v="77478.12"/>
    <n v="46587.96"/>
  </r>
  <r>
    <s v="Europe"/>
    <x v="42"/>
    <x v="0"/>
    <s v="Online"/>
    <x v="1"/>
    <d v="2014-10-29T00:00:00"/>
    <s v="397874438"/>
    <d v="2014-12-01T00:00:00"/>
    <n v="33"/>
    <n v="8743"/>
    <n v="47.45"/>
    <n v="31.79"/>
    <n v="15.660000000000004"/>
    <n v="414855.35"/>
    <n v="277939.96999999997"/>
    <n v="136915.38"/>
  </r>
  <r>
    <s v="Europe"/>
    <x v="3"/>
    <x v="1"/>
    <s v="Offline"/>
    <x v="0"/>
    <d v="2010-03-02T00:00:00"/>
    <s v="520777547"/>
    <d v="2010-04-15T00:00:00"/>
    <n v="44"/>
    <n v="8504"/>
    <n v="109.28"/>
    <n v="35.840000000000003"/>
    <n v="73.44"/>
    <n v="929317.12"/>
    <n v="304783.35999999999"/>
    <n v="624533.76000000001"/>
  </r>
  <r>
    <s v="Europe"/>
    <x v="43"/>
    <x v="9"/>
    <s v="Online"/>
    <x v="0"/>
    <d v="2014-06-27T00:00:00"/>
    <s v="672856652"/>
    <d v="2014-08-03T00:00:00"/>
    <n v="37"/>
    <n v="2091"/>
    <n v="668.27"/>
    <n v="502.54"/>
    <n v="165.72999999999996"/>
    <n v="1397352.57"/>
    <n v="1050811.1399999999"/>
    <n v="346541.43"/>
  </r>
  <r>
    <s v="Europe"/>
    <x v="27"/>
    <x v="3"/>
    <s v="Online"/>
    <x v="2"/>
    <d v="2014-05-15T00:00:00"/>
    <s v="353383243"/>
    <d v="2014-06-09T00:00:00"/>
    <n v="25"/>
    <n v="2809"/>
    <n v="651.21"/>
    <n v="524.96"/>
    <n v="126.25"/>
    <n v="1829248.89"/>
    <n v="1474612.64"/>
    <n v="354636.25"/>
  </r>
  <r>
    <s v="Europe"/>
    <x v="41"/>
    <x v="3"/>
    <s v="Offline"/>
    <x v="2"/>
    <d v="2012-11-21T00:00:00"/>
    <s v="354667699"/>
    <d v="2012-12-29T00:00:00"/>
    <n v="38"/>
    <n v="2908"/>
    <n v="651.21"/>
    <n v="524.96"/>
    <n v="126.25"/>
    <n v="1893718.68"/>
    <n v="1526583.68"/>
    <n v="367135"/>
  </r>
  <r>
    <s v="Europe"/>
    <x v="7"/>
    <x v="7"/>
    <s v="Online"/>
    <x v="2"/>
    <d v="2012-03-20T00:00:00"/>
    <s v="214292466"/>
    <d v="2012-04-13T00:00:00"/>
    <n v="24"/>
    <n v="2758"/>
    <n v="152.58000000000001"/>
    <n v="97.44"/>
    <n v="55.140000000000015"/>
    <n v="420815.64"/>
    <n v="268739.52"/>
    <n v="152076.12"/>
  </r>
  <r>
    <s v="Europe"/>
    <x v="16"/>
    <x v="9"/>
    <s v="Offline"/>
    <x v="3"/>
    <d v="2015-02-18T00:00:00"/>
    <s v="655287110"/>
    <d v="2015-02-22T00:00:00"/>
    <n v="4"/>
    <n v="2873"/>
    <n v="668.27"/>
    <n v="502.54"/>
    <n v="165.72999999999996"/>
    <n v="1919939.71"/>
    <n v="1443797.42"/>
    <n v="476142.29"/>
  </r>
  <r>
    <s v="Europe"/>
    <x v="18"/>
    <x v="8"/>
    <s v="Online"/>
    <x v="3"/>
    <d v="2015-01-18T00:00:00"/>
    <s v="295787847"/>
    <d v="2015-02-16T00:00:00"/>
    <n v="29"/>
    <n v="9052"/>
    <n v="255.28"/>
    <n v="159.41999999999999"/>
    <n v="95.860000000000014"/>
    <n v="2310794.56"/>
    <n v="1443069.84"/>
    <n v="867724.72"/>
  </r>
  <r>
    <s v="Europe"/>
    <x v="27"/>
    <x v="8"/>
    <s v="Offline"/>
    <x v="2"/>
    <d v="2012-06-10T00:00:00"/>
    <s v="263852393"/>
    <d v="2012-06-29T00:00:00"/>
    <n v="19"/>
    <n v="8641"/>
    <n v="255.28"/>
    <n v="159.41999999999999"/>
    <n v="95.860000000000014"/>
    <n v="2205874.48"/>
    <n v="1377548.22"/>
    <n v="828326.26"/>
  </r>
  <r>
    <s v="Europe"/>
    <x v="12"/>
    <x v="4"/>
    <s v="Offline"/>
    <x v="3"/>
    <d v="2013-03-24T00:00:00"/>
    <s v="578666484"/>
    <d v="2013-04-11T00:00:00"/>
    <n v="18"/>
    <n v="9127"/>
    <n v="9.33"/>
    <n v="6.92"/>
    <n v="2.41"/>
    <n v="85154.91"/>
    <n v="63158.84"/>
    <n v="21996.07"/>
  </r>
  <r>
    <s v="Europe"/>
    <x v="26"/>
    <x v="11"/>
    <s v="Offline"/>
    <x v="0"/>
    <d v="2014-06-18T00:00:00"/>
    <s v="597839343"/>
    <d v="2014-07-26T00:00:00"/>
    <n v="38"/>
    <n v="2802"/>
    <n v="81.73"/>
    <n v="56.67"/>
    <n v="25.060000000000002"/>
    <n v="229007.46"/>
    <n v="158789.34"/>
    <n v="70218.12"/>
  </r>
  <r>
    <s v="Europe"/>
    <x v="46"/>
    <x v="10"/>
    <s v="Offline"/>
    <x v="1"/>
    <d v="2011-12-12T00:00:00"/>
    <s v="299335229"/>
    <d v="2011-12-24T00:00:00"/>
    <n v="12"/>
    <n v="8801"/>
    <n v="437.2"/>
    <n v="263.33"/>
    <n v="173.87"/>
    <n v="3847797.2"/>
    <n v="2317567.33"/>
    <n v="1530229.87"/>
  </r>
  <r>
    <s v="Europe"/>
    <x v="43"/>
    <x v="5"/>
    <s v="Offline"/>
    <x v="2"/>
    <d v="2016-01-10T00:00:00"/>
    <s v="700069701"/>
    <d v="2016-01-21T00:00:00"/>
    <n v="11"/>
    <n v="5037"/>
    <n v="154.06"/>
    <n v="90.93"/>
    <n v="63.129999999999995"/>
    <n v="776000.22"/>
    <n v="458014.41"/>
    <n v="317985.81"/>
  </r>
  <r>
    <s v="Europe"/>
    <x v="13"/>
    <x v="9"/>
    <s v="Online"/>
    <x v="3"/>
    <d v="2010-07-28T00:00:00"/>
    <s v="741866242"/>
    <d v="2010-09-13T00:00:00"/>
    <n v="47"/>
    <n v="3562"/>
    <n v="668.27"/>
    <n v="502.54"/>
    <n v="165.72999999999996"/>
    <n v="2380377.7400000002"/>
    <n v="1790047.48"/>
    <n v="590330.26"/>
  </r>
  <r>
    <s v="Europe"/>
    <x v="3"/>
    <x v="7"/>
    <s v="Offline"/>
    <x v="2"/>
    <d v="2010-03-01T00:00:00"/>
    <s v="211344611"/>
    <d v="2010-03-23T00:00:00"/>
    <n v="22"/>
    <n v="422"/>
    <n v="152.58000000000001"/>
    <n v="97.44"/>
    <n v="55.140000000000015"/>
    <n v="64388.76"/>
    <n v="41119.68"/>
    <n v="23269.08"/>
  </r>
  <r>
    <s v="Europe"/>
    <x v="10"/>
    <x v="11"/>
    <s v="Offline"/>
    <x v="3"/>
    <d v="2015-09-29T00:00:00"/>
    <s v="625751483"/>
    <d v="2015-10-01T00:00:00"/>
    <n v="2"/>
    <n v="2624"/>
    <n v="81.73"/>
    <n v="56.67"/>
    <n v="25.060000000000002"/>
    <n v="214459.51999999999"/>
    <n v="148702.07999999999"/>
    <n v="65757.440000000002"/>
  </r>
  <r>
    <s v="Europe"/>
    <x v="15"/>
    <x v="4"/>
    <s v="Online"/>
    <x v="0"/>
    <d v="2015-09-26T00:00:00"/>
    <s v="665817677"/>
    <d v="2015-10-10T00:00:00"/>
    <n v="14"/>
    <n v="9102"/>
    <n v="9.33"/>
    <n v="6.92"/>
    <n v="2.41"/>
    <n v="84921.66"/>
    <n v="62985.84"/>
    <n v="21935.82"/>
  </r>
  <r>
    <s v="Europe"/>
    <x v="12"/>
    <x v="8"/>
    <s v="Offline"/>
    <x v="2"/>
    <d v="2010-09-20T00:00:00"/>
    <s v="996754205"/>
    <d v="2010-09-22T00:00:00"/>
    <n v="2"/>
    <n v="574"/>
    <n v="255.28"/>
    <n v="159.41999999999999"/>
    <n v="95.860000000000014"/>
    <n v="146530.72"/>
    <n v="91507.08"/>
    <n v="55023.64"/>
  </r>
  <r>
    <s v="Europe"/>
    <x v="38"/>
    <x v="2"/>
    <s v="Online"/>
    <x v="3"/>
    <d v="2014-11-10T00:00:00"/>
    <s v="734189975"/>
    <d v="2014-11-29T00:00:00"/>
    <n v="19"/>
    <n v="1984"/>
    <n v="205.7"/>
    <n v="117.11"/>
    <n v="88.589999999999989"/>
    <n v="408108.79999999999"/>
    <n v="232346.23999999999"/>
    <n v="175762.56"/>
  </r>
  <r>
    <s v="Europe"/>
    <x v="44"/>
    <x v="0"/>
    <s v="Online"/>
    <x v="2"/>
    <d v="2010-10-03T00:00:00"/>
    <s v="935789954"/>
    <d v="2010-11-18T00:00:00"/>
    <n v="46"/>
    <n v="9898"/>
    <n v="47.45"/>
    <n v="31.79"/>
    <n v="15.660000000000004"/>
    <n v="469660.1"/>
    <n v="314657.42"/>
    <n v="155002.68"/>
  </r>
  <r>
    <s v="Europe"/>
    <x v="38"/>
    <x v="2"/>
    <s v="Online"/>
    <x v="1"/>
    <d v="2011-01-23T00:00:00"/>
    <s v="104008615"/>
    <d v="2011-02-22T00:00:00"/>
    <n v="30"/>
    <n v="7315"/>
    <n v="205.7"/>
    <n v="117.11"/>
    <n v="88.589999999999989"/>
    <n v="1504695.5"/>
    <n v="856659.65"/>
    <n v="648035.85"/>
  </r>
  <r>
    <s v="Europe"/>
    <x v="44"/>
    <x v="0"/>
    <s v="Online"/>
    <x v="3"/>
    <d v="2017-03-24T00:00:00"/>
    <s v="122967326"/>
    <d v="2017-04-25T00:00:00"/>
    <n v="32"/>
    <n v="7619"/>
    <n v="47.45"/>
    <n v="31.79"/>
    <n v="15.660000000000004"/>
    <n v="361521.55"/>
    <n v="242208.01"/>
    <n v="119313.54"/>
  </r>
  <r>
    <s v="Europe"/>
    <x v="5"/>
    <x v="2"/>
    <s v="Offline"/>
    <x v="1"/>
    <d v="2010-06-06T00:00:00"/>
    <s v="305616748"/>
    <d v="2010-07-01T00:00:00"/>
    <n v="25"/>
    <n v="7642"/>
    <n v="205.7"/>
    <n v="117.11"/>
    <n v="88.589999999999989"/>
    <n v="1571959.4"/>
    <n v="894954.62"/>
    <n v="677004.78"/>
  </r>
  <r>
    <s v="Europe"/>
    <x v="21"/>
    <x v="3"/>
    <s v="Offline"/>
    <x v="1"/>
    <d v="2011-05-05T00:00:00"/>
    <s v="243070638"/>
    <d v="2011-05-22T00:00:00"/>
    <n v="17"/>
    <n v="8858"/>
    <n v="651.21"/>
    <n v="524.96"/>
    <n v="126.25"/>
    <n v="5768418.1799999997"/>
    <n v="4650095.68"/>
    <n v="1118322.5"/>
  </r>
  <r>
    <s v="Europe"/>
    <x v="3"/>
    <x v="1"/>
    <s v="Offline"/>
    <x v="2"/>
    <d v="2010-05-04T00:00:00"/>
    <s v="505867040"/>
    <d v="2010-06-12T00:00:00"/>
    <n v="39"/>
    <n v="6153"/>
    <n v="109.28"/>
    <n v="35.840000000000003"/>
    <n v="73.44"/>
    <n v="672399.84"/>
    <n v="220523.51999999999"/>
    <n v="451876.32"/>
  </r>
  <r>
    <s v="Europe"/>
    <x v="32"/>
    <x v="10"/>
    <s v="Online"/>
    <x v="0"/>
    <d v="2014-03-20T00:00:00"/>
    <s v="637188422"/>
    <d v="2014-04-29T00:00:00"/>
    <n v="40"/>
    <n v="7069"/>
    <n v="437.2"/>
    <n v="263.33"/>
    <n v="173.87"/>
    <n v="3090566.8"/>
    <n v="1861479.77"/>
    <n v="1229087.03"/>
  </r>
  <r>
    <s v="Europe"/>
    <x v="10"/>
    <x v="2"/>
    <s v="Online"/>
    <x v="3"/>
    <d v="2016-10-22T00:00:00"/>
    <s v="518421494"/>
    <d v="2016-10-22T00:00:00"/>
    <n v="0"/>
    <n v="1296"/>
    <n v="205.7"/>
    <n v="117.11"/>
    <n v="88.589999999999989"/>
    <n v="266587.2"/>
    <n v="151774.56"/>
    <n v="114812.64"/>
  </r>
  <r>
    <s v="Europe"/>
    <x v="19"/>
    <x v="4"/>
    <s v="Offline"/>
    <x v="1"/>
    <d v="2013-03-27T00:00:00"/>
    <s v="104245078"/>
    <d v="2013-04-21T00:00:00"/>
    <n v="25"/>
    <n v="7290"/>
    <n v="9.33"/>
    <n v="6.92"/>
    <n v="2.41"/>
    <n v="68015.7"/>
    <n v="50446.8"/>
    <n v="17568.900000000001"/>
  </r>
  <r>
    <s v="Europe"/>
    <x v="33"/>
    <x v="5"/>
    <s v="Online"/>
    <x v="0"/>
    <d v="2010-12-16T00:00:00"/>
    <s v="386319911"/>
    <d v="2011-01-02T00:00:00"/>
    <n v="17"/>
    <n v="9501"/>
    <n v="154.06"/>
    <n v="90.93"/>
    <n v="63.129999999999995"/>
    <n v="1463724.06"/>
    <n v="863925.93"/>
    <n v="599798.13"/>
  </r>
  <r>
    <s v="Europe"/>
    <x v="22"/>
    <x v="8"/>
    <s v="Online"/>
    <x v="1"/>
    <d v="2016-03-17T00:00:00"/>
    <s v="740300261"/>
    <d v="2016-04-23T00:00:00"/>
    <n v="37"/>
    <n v="153"/>
    <n v="255.28"/>
    <n v="159.41999999999999"/>
    <n v="95.860000000000014"/>
    <n v="39057.839999999997"/>
    <n v="24391.26"/>
    <n v="14666.58"/>
  </r>
  <r>
    <s v="Europe"/>
    <x v="35"/>
    <x v="3"/>
    <s v="Offline"/>
    <x v="0"/>
    <d v="2017-07-17T00:00:00"/>
    <s v="747826755"/>
    <d v="2017-07-22T00:00:00"/>
    <n v="5"/>
    <n v="7410"/>
    <n v="651.21"/>
    <n v="524.96"/>
    <n v="126.25"/>
    <n v="4825466.0999999996"/>
    <n v="3889953.6"/>
    <n v="935512.5"/>
  </r>
  <r>
    <s v="Europe"/>
    <x v="46"/>
    <x v="11"/>
    <s v="Offline"/>
    <x v="1"/>
    <d v="2012-12-21T00:00:00"/>
    <s v="215540015"/>
    <d v="2012-12-24T00:00:00"/>
    <n v="3"/>
    <n v="1935"/>
    <n v="81.73"/>
    <n v="56.67"/>
    <n v="25.060000000000002"/>
    <n v="158147.54999999999"/>
    <n v="109656.45"/>
    <n v="48491.1"/>
  </r>
  <r>
    <s v="Europe"/>
    <x v="27"/>
    <x v="5"/>
    <s v="Offline"/>
    <x v="0"/>
    <d v="2017-07-23T00:00:00"/>
    <s v="975080668"/>
    <d v="2017-08-20T00:00:00"/>
    <n v="28"/>
    <n v="6893"/>
    <n v="154.06"/>
    <n v="90.93"/>
    <n v="63.129999999999995"/>
    <n v="1061935.58"/>
    <n v="626780.49"/>
    <n v="435155.09"/>
  </r>
  <r>
    <s v="Europe"/>
    <x v="1"/>
    <x v="8"/>
    <s v="Online"/>
    <x v="2"/>
    <d v="2012-10-09T00:00:00"/>
    <s v="638041150"/>
    <d v="2012-11-28T00:00:00"/>
    <n v="50"/>
    <n v="9410"/>
    <n v="255.28"/>
    <n v="159.41999999999999"/>
    <n v="95.860000000000014"/>
    <n v="2402184.7999999998"/>
    <n v="1500142.2"/>
    <n v="902042.6"/>
  </r>
  <r>
    <s v="Europe"/>
    <x v="36"/>
    <x v="10"/>
    <s v="Online"/>
    <x v="0"/>
    <d v="2010-05-22T00:00:00"/>
    <s v="583089339"/>
    <d v="2010-06-26T00:00:00"/>
    <n v="35"/>
    <n v="7948"/>
    <n v="437.2"/>
    <n v="263.33"/>
    <n v="173.87"/>
    <n v="3474865.6"/>
    <n v="2092946.84"/>
    <n v="1381918.76"/>
  </r>
  <r>
    <s v="Europe"/>
    <x v="24"/>
    <x v="7"/>
    <s v="Online"/>
    <x v="1"/>
    <d v="2016-02-19T00:00:00"/>
    <s v="118086564"/>
    <d v="2016-03-13T00:00:00"/>
    <n v="23"/>
    <n v="3293"/>
    <n v="152.58000000000001"/>
    <n v="97.44"/>
    <n v="55.140000000000015"/>
    <n v="502445.94"/>
    <n v="320869.92"/>
    <n v="181576.02"/>
  </r>
  <r>
    <s v="Europe"/>
    <x v="21"/>
    <x v="8"/>
    <s v="Offline"/>
    <x v="0"/>
    <d v="2015-04-27T00:00:00"/>
    <s v="296073234"/>
    <d v="2015-06-04T00:00:00"/>
    <n v="38"/>
    <n v="3504"/>
    <n v="255.28"/>
    <n v="159.41999999999999"/>
    <n v="95.860000000000014"/>
    <n v="894501.12"/>
    <n v="558607.68000000005"/>
    <n v="335893.44"/>
  </r>
  <r>
    <s v="Europe"/>
    <x v="17"/>
    <x v="7"/>
    <s v="Online"/>
    <x v="1"/>
    <d v="2013-01-09T00:00:00"/>
    <s v="968185460"/>
    <d v="2013-02-03T00:00:00"/>
    <n v="25"/>
    <n v="6448"/>
    <n v="152.58000000000001"/>
    <n v="97.44"/>
    <n v="55.140000000000015"/>
    <n v="983835.84"/>
    <n v="628293.12"/>
    <n v="355542.72"/>
  </r>
  <r>
    <s v="Europe"/>
    <x v="27"/>
    <x v="8"/>
    <s v="Offline"/>
    <x v="1"/>
    <d v="2012-09-13T00:00:00"/>
    <s v="364854514"/>
    <d v="2012-10-03T00:00:00"/>
    <n v="20"/>
    <n v="7413"/>
    <n v="255.28"/>
    <n v="159.41999999999999"/>
    <n v="95.860000000000014"/>
    <n v="1892390.64"/>
    <n v="1181780.46"/>
    <n v="710610.18"/>
  </r>
  <r>
    <s v="Europe"/>
    <x v="6"/>
    <x v="10"/>
    <s v="Online"/>
    <x v="0"/>
    <d v="2013-09-06T00:00:00"/>
    <s v="980961358"/>
    <d v="2013-10-08T00:00:00"/>
    <n v="32"/>
    <n v="7120"/>
    <n v="437.2"/>
    <n v="263.33"/>
    <n v="173.87"/>
    <n v="3112864"/>
    <n v="1874909.6"/>
    <n v="1237954.3999999999"/>
  </r>
  <r>
    <s v="Europe"/>
    <x v="32"/>
    <x v="4"/>
    <s v="Offline"/>
    <x v="0"/>
    <d v="2014-04-09T00:00:00"/>
    <s v="601886260"/>
    <d v="2014-05-27T00:00:00"/>
    <n v="48"/>
    <n v="374"/>
    <n v="9.33"/>
    <n v="6.92"/>
    <n v="2.41"/>
    <n v="3489.42"/>
    <n v="2588.08"/>
    <n v="901.34"/>
  </r>
  <r>
    <s v="Europe"/>
    <x v="17"/>
    <x v="9"/>
    <s v="Online"/>
    <x v="2"/>
    <d v="2011-04-27T00:00:00"/>
    <s v="321628463"/>
    <d v="2011-05-14T00:00:00"/>
    <n v="17"/>
    <n v="5864"/>
    <n v="668.27"/>
    <n v="502.54"/>
    <n v="165.72999999999996"/>
    <n v="3918735.28"/>
    <n v="2946894.56"/>
    <n v="971840.72"/>
  </r>
  <r>
    <s v="Europe"/>
    <x v="16"/>
    <x v="6"/>
    <s v="Online"/>
    <x v="2"/>
    <d v="2014-01-30T00:00:00"/>
    <s v="944609057"/>
    <d v="2014-03-16T00:00:00"/>
    <n v="45"/>
    <n v="9666"/>
    <n v="421.89"/>
    <n v="364.69"/>
    <n v="57.199999999999989"/>
    <n v="4077988.74"/>
    <n v="3525093.54"/>
    <n v="552895.19999999995"/>
  </r>
  <r>
    <s v="Europe"/>
    <x v="21"/>
    <x v="10"/>
    <s v="Offline"/>
    <x v="3"/>
    <d v="2012-12-14T00:00:00"/>
    <s v="310588920"/>
    <d v="2013-01-06T00:00:00"/>
    <n v="23"/>
    <n v="9018"/>
    <n v="437.2"/>
    <n v="263.33"/>
    <n v="173.87"/>
    <n v="3942669.6"/>
    <n v="2374709.94"/>
    <n v="1567959.66"/>
  </r>
  <r>
    <s v="Europe"/>
    <x v="25"/>
    <x v="6"/>
    <s v="Offline"/>
    <x v="1"/>
    <d v="2015-06-02T00:00:00"/>
    <s v="251208674"/>
    <d v="2015-07-19T00:00:00"/>
    <n v="47"/>
    <n v="7084"/>
    <n v="421.89"/>
    <n v="364.69"/>
    <n v="57.199999999999989"/>
    <n v="2988668.76"/>
    <n v="2583463.96"/>
    <n v="405204.8"/>
  </r>
  <r>
    <s v="Europe"/>
    <x v="36"/>
    <x v="4"/>
    <s v="Online"/>
    <x v="2"/>
    <d v="2015-10-31T00:00:00"/>
    <s v="488316380"/>
    <d v="2015-11-18T00:00:00"/>
    <n v="18"/>
    <n v="2523"/>
    <n v="9.33"/>
    <n v="6.92"/>
    <n v="2.41"/>
    <n v="23539.59"/>
    <n v="17459.16"/>
    <n v="6080.43"/>
  </r>
  <r>
    <s v="Europe"/>
    <x v="43"/>
    <x v="1"/>
    <s v="Online"/>
    <x v="1"/>
    <d v="2012-03-23T00:00:00"/>
    <s v="263647687"/>
    <d v="2012-03-30T00:00:00"/>
    <n v="7"/>
    <n v="8064"/>
    <n v="109.28"/>
    <n v="35.840000000000003"/>
    <n v="73.44"/>
    <n v="881233.92000000004"/>
    <n v="289013.76000000001"/>
    <n v="592220.16000000003"/>
  </r>
  <r>
    <s v="Europe"/>
    <x v="7"/>
    <x v="11"/>
    <s v="Offline"/>
    <x v="3"/>
    <d v="2014-04-19T00:00:00"/>
    <s v="653800523"/>
    <d v="2014-04-23T00:00:00"/>
    <n v="4"/>
    <n v="2958"/>
    <n v="81.73"/>
    <n v="56.67"/>
    <n v="25.060000000000002"/>
    <n v="241757.34"/>
    <n v="167629.85999999999"/>
    <n v="74127.48"/>
  </r>
  <r>
    <s v="Europe"/>
    <x v="34"/>
    <x v="10"/>
    <s v="Online"/>
    <x v="2"/>
    <d v="2013-08-24T00:00:00"/>
    <s v="684239947"/>
    <d v="2013-08-31T00:00:00"/>
    <n v="7"/>
    <n v="661"/>
    <n v="437.2"/>
    <n v="263.33"/>
    <n v="173.87"/>
    <n v="288989.2"/>
    <n v="174061.13"/>
    <n v="114928.07"/>
  </r>
  <r>
    <s v="Europe"/>
    <x v="43"/>
    <x v="11"/>
    <s v="Online"/>
    <x v="3"/>
    <d v="2016-01-27T00:00:00"/>
    <s v="133276450"/>
    <d v="2016-03-15T00:00:00"/>
    <n v="48"/>
    <n v="8318"/>
    <n v="81.73"/>
    <n v="56.67"/>
    <n v="25.060000000000002"/>
    <n v="679830.14"/>
    <n v="471381.06"/>
    <n v="208449.08"/>
  </r>
  <r>
    <s v="Europe"/>
    <x v="31"/>
    <x v="11"/>
    <s v="Offline"/>
    <x v="2"/>
    <d v="2014-02-17T00:00:00"/>
    <s v="838895261"/>
    <d v="2014-02-19T00:00:00"/>
    <n v="2"/>
    <n v="6605"/>
    <n v="81.73"/>
    <n v="56.67"/>
    <n v="25.060000000000002"/>
    <n v="539826.65"/>
    <n v="374305.35"/>
    <n v="165521.29999999999"/>
  </r>
  <r>
    <s v="Europe"/>
    <x v="26"/>
    <x v="6"/>
    <s v="Online"/>
    <x v="0"/>
    <d v="2011-11-26T00:00:00"/>
    <s v="198537814"/>
    <d v="2011-12-19T00:00:00"/>
    <n v="23"/>
    <n v="606"/>
    <n v="421.89"/>
    <n v="364.69"/>
    <n v="57.199999999999989"/>
    <n v="255665.34"/>
    <n v="221002.14"/>
    <n v="34663.199999999997"/>
  </r>
  <r>
    <s v="Europe"/>
    <x v="20"/>
    <x v="6"/>
    <s v="Online"/>
    <x v="1"/>
    <d v="2015-10-10T00:00:00"/>
    <s v="885397469"/>
    <d v="2015-11-18T00:00:00"/>
    <n v="39"/>
    <n v="7642"/>
    <n v="421.89"/>
    <n v="364.69"/>
    <n v="57.199999999999989"/>
    <n v="3224083.38"/>
    <n v="2786960.98"/>
    <n v="437122.4"/>
  </r>
  <r>
    <s v="Europe"/>
    <x v="28"/>
    <x v="11"/>
    <s v="Offline"/>
    <x v="3"/>
    <d v="2014-10-16T00:00:00"/>
    <s v="302744853"/>
    <d v="2014-11-02T00:00:00"/>
    <n v="17"/>
    <n v="7785"/>
    <n v="81.73"/>
    <n v="56.67"/>
    <n v="25.060000000000002"/>
    <n v="636268.05000000005"/>
    <n v="441175.95"/>
    <n v="195092.1"/>
  </r>
  <r>
    <s v="Europe"/>
    <x v="36"/>
    <x v="3"/>
    <s v="Online"/>
    <x v="2"/>
    <d v="2014-03-11T00:00:00"/>
    <s v="975823962"/>
    <d v="2014-04-08T00:00:00"/>
    <n v="28"/>
    <n v="6850"/>
    <n v="651.21"/>
    <n v="524.96"/>
    <n v="126.25"/>
    <n v="4460788.5"/>
    <n v="3595976"/>
    <n v="864812.5"/>
  </r>
  <r>
    <s v="Europe"/>
    <x v="26"/>
    <x v="10"/>
    <s v="Offline"/>
    <x v="1"/>
    <d v="2013-12-27T00:00:00"/>
    <s v="860104024"/>
    <d v="2013-12-30T00:00:00"/>
    <n v="3"/>
    <n v="2749"/>
    <n v="437.2"/>
    <n v="263.33"/>
    <n v="173.87"/>
    <n v="1201862.8"/>
    <n v="723894.17"/>
    <n v="477968.63"/>
  </r>
  <r>
    <s v="Europe"/>
    <x v="5"/>
    <x v="10"/>
    <s v="Offline"/>
    <x v="1"/>
    <d v="2012-11-16T00:00:00"/>
    <s v="378714883"/>
    <d v="2012-12-16T00:00:00"/>
    <n v="30"/>
    <n v="9005"/>
    <n v="437.2"/>
    <n v="263.33"/>
    <n v="173.87"/>
    <n v="3936986"/>
    <n v="2371286.65"/>
    <n v="1565699.35"/>
  </r>
  <r>
    <s v="Europe"/>
    <x v="32"/>
    <x v="11"/>
    <s v="Offline"/>
    <x v="0"/>
    <d v="2017-03-13T00:00:00"/>
    <s v="131585586"/>
    <d v="2017-04-13T00:00:00"/>
    <n v="31"/>
    <n v="7954"/>
    <n v="81.73"/>
    <n v="56.67"/>
    <n v="25.060000000000002"/>
    <n v="650080.42000000004"/>
    <n v="450753.18"/>
    <n v="199327.24"/>
  </r>
  <r>
    <s v="Europe"/>
    <x v="36"/>
    <x v="11"/>
    <s v="Online"/>
    <x v="2"/>
    <d v="2011-09-11T00:00:00"/>
    <s v="588528859"/>
    <d v="2011-10-12T00:00:00"/>
    <n v="31"/>
    <n v="7623"/>
    <n v="81.73"/>
    <n v="56.67"/>
    <n v="25.060000000000002"/>
    <n v="623027.79"/>
    <n v="431995.41"/>
    <n v="191032.38"/>
  </r>
  <r>
    <s v="Europe"/>
    <x v="35"/>
    <x v="6"/>
    <s v="Online"/>
    <x v="2"/>
    <d v="2017-02-12T00:00:00"/>
    <s v="796418511"/>
    <d v="2017-03-23T00:00:00"/>
    <n v="39"/>
    <n v="6791"/>
    <n v="421.89"/>
    <n v="364.69"/>
    <n v="57.199999999999989"/>
    <n v="2865054.99"/>
    <n v="2476609.79"/>
    <n v="388445.2"/>
  </r>
  <r>
    <s v="Europe"/>
    <x v="27"/>
    <x v="10"/>
    <s v="Online"/>
    <x v="1"/>
    <d v="2011-06-03T00:00:00"/>
    <s v="526018369"/>
    <d v="2011-06-21T00:00:00"/>
    <n v="18"/>
    <n v="9379"/>
    <n v="437.2"/>
    <n v="263.33"/>
    <n v="173.87"/>
    <n v="4100498.8"/>
    <n v="2469772.0699999998"/>
    <n v="1630726.73"/>
  </r>
  <r>
    <s v="Europe"/>
    <x v="5"/>
    <x v="0"/>
    <s v="Offline"/>
    <x v="0"/>
    <d v="2017-04-27T00:00:00"/>
    <s v="122144210"/>
    <d v="2017-05-24T00:00:00"/>
    <n v="27"/>
    <n v="4041"/>
    <n v="47.45"/>
    <n v="31.79"/>
    <n v="15.660000000000004"/>
    <n v="191745.45"/>
    <n v="128463.39"/>
    <n v="63282.06"/>
  </r>
  <r>
    <s v="Europe"/>
    <x v="44"/>
    <x v="3"/>
    <s v="Offline"/>
    <x v="3"/>
    <d v="2016-07-06T00:00:00"/>
    <s v="644592607"/>
    <d v="2016-07-31T00:00:00"/>
    <n v="25"/>
    <n v="8131"/>
    <n v="651.21"/>
    <n v="524.96"/>
    <n v="126.25"/>
    <n v="5294988.51"/>
    <n v="4268449.76"/>
    <n v="1026538.75"/>
  </r>
  <r>
    <s v="Europe"/>
    <x v="31"/>
    <x v="4"/>
    <s v="Online"/>
    <x v="3"/>
    <d v="2014-11-03T00:00:00"/>
    <s v="598404109"/>
    <d v="2014-11-18T00:00:00"/>
    <n v="15"/>
    <n v="9929"/>
    <n v="9.33"/>
    <n v="6.92"/>
    <n v="2.41"/>
    <n v="92637.57"/>
    <n v="68708.679999999993"/>
    <n v="23928.89"/>
  </r>
  <r>
    <s v="Europe"/>
    <x v="0"/>
    <x v="11"/>
    <s v="Online"/>
    <x v="0"/>
    <d v="2012-04-22T00:00:00"/>
    <s v="577530944"/>
    <d v="2012-05-15T00:00:00"/>
    <n v="23"/>
    <n v="3095"/>
    <n v="81.73"/>
    <n v="56.67"/>
    <n v="25.060000000000002"/>
    <n v="252954.35"/>
    <n v="175393.65"/>
    <n v="77560.7"/>
  </r>
  <r>
    <s v="Europe"/>
    <x v="8"/>
    <x v="4"/>
    <s v="Offline"/>
    <x v="3"/>
    <d v="2016-01-12T00:00:00"/>
    <s v="182078921"/>
    <d v="2016-02-14T00:00:00"/>
    <n v="33"/>
    <n v="54"/>
    <n v="9.33"/>
    <n v="6.92"/>
    <n v="2.41"/>
    <n v="503.82"/>
    <n v="373.68"/>
    <n v="130.13999999999999"/>
  </r>
  <r>
    <s v="Europe"/>
    <x v="15"/>
    <x v="8"/>
    <s v="Online"/>
    <x v="3"/>
    <d v="2014-03-22T00:00:00"/>
    <s v="302015721"/>
    <d v="2014-04-17T00:00:00"/>
    <n v="26"/>
    <n v="2018"/>
    <n v="255.28"/>
    <n v="159.41999999999999"/>
    <n v="95.860000000000014"/>
    <n v="515155.04"/>
    <n v="321709.56"/>
    <n v="193445.48"/>
  </r>
  <r>
    <s v="Europe"/>
    <x v="14"/>
    <x v="1"/>
    <s v="Offline"/>
    <x v="1"/>
    <d v="2014-09-28T00:00:00"/>
    <s v="233709084"/>
    <d v="2014-10-16T00:00:00"/>
    <n v="18"/>
    <n v="8566"/>
    <n v="109.28"/>
    <n v="35.840000000000003"/>
    <n v="73.44"/>
    <n v="936092.48"/>
    <n v="307005.44"/>
    <n v="629087.04"/>
  </r>
  <r>
    <s v="Europe"/>
    <x v="4"/>
    <x v="6"/>
    <s v="Offline"/>
    <x v="1"/>
    <d v="2010-08-25T00:00:00"/>
    <s v="966800153"/>
    <d v="2010-09-10T00:00:00"/>
    <n v="16"/>
    <n v="6505"/>
    <n v="421.89"/>
    <n v="364.69"/>
    <n v="57.199999999999989"/>
    <n v="2744394.45"/>
    <n v="2372308.4500000002"/>
    <n v="372086"/>
  </r>
  <r>
    <s v="Europe"/>
    <x v="3"/>
    <x v="1"/>
    <s v="Online"/>
    <x v="3"/>
    <d v="2014-04-24T00:00:00"/>
    <s v="380498874"/>
    <d v="2014-05-13T00:00:00"/>
    <n v="19"/>
    <n v="6927"/>
    <n v="109.28"/>
    <n v="35.840000000000003"/>
    <n v="73.44"/>
    <n v="756982.56"/>
    <n v="248263.67999999999"/>
    <n v="508718.88"/>
  </r>
  <r>
    <s v="Europe"/>
    <x v="6"/>
    <x v="11"/>
    <s v="Offline"/>
    <x v="1"/>
    <d v="2011-12-07T00:00:00"/>
    <s v="595385873"/>
    <d v="2011-12-21T00:00:00"/>
    <n v="14"/>
    <n v="6765"/>
    <n v="81.73"/>
    <n v="56.67"/>
    <n v="25.060000000000002"/>
    <n v="552903.44999999995"/>
    <n v="383372.55"/>
    <n v="169530.9"/>
  </r>
  <r>
    <s v="Europe"/>
    <x v="6"/>
    <x v="2"/>
    <s v="Online"/>
    <x v="2"/>
    <d v="2012-06-30T00:00:00"/>
    <s v="361659038"/>
    <d v="2012-08-03T00:00:00"/>
    <n v="34"/>
    <n v="1801"/>
    <n v="205.7"/>
    <n v="117.11"/>
    <n v="88.589999999999989"/>
    <n v="370465.7"/>
    <n v="210915.11"/>
    <n v="159550.59"/>
  </r>
  <r>
    <s v="Europe"/>
    <x v="27"/>
    <x v="8"/>
    <s v="Online"/>
    <x v="2"/>
    <d v="2016-12-14T00:00:00"/>
    <s v="328721082"/>
    <d v="2016-12-18T00:00:00"/>
    <n v="4"/>
    <n v="4728"/>
    <n v="255.28"/>
    <n v="159.41999999999999"/>
    <n v="95.860000000000014"/>
    <n v="1206963.8400000001"/>
    <n v="753737.76"/>
    <n v="453226.08"/>
  </r>
  <r>
    <s v="Europe"/>
    <x v="26"/>
    <x v="1"/>
    <s v="Offline"/>
    <x v="3"/>
    <d v="2014-10-27T00:00:00"/>
    <s v="184120833"/>
    <d v="2014-10-31T00:00:00"/>
    <n v="4"/>
    <n v="4301"/>
    <n v="109.28"/>
    <n v="35.840000000000003"/>
    <n v="73.44"/>
    <n v="470013.28"/>
    <n v="154147.84"/>
    <n v="315865.44"/>
  </r>
  <r>
    <s v="Europe"/>
    <x v="18"/>
    <x v="5"/>
    <s v="Offline"/>
    <x v="3"/>
    <d v="2016-08-14T00:00:00"/>
    <s v="933720576"/>
    <d v="2016-10-01T00:00:00"/>
    <n v="48"/>
    <n v="7523"/>
    <n v="154.06"/>
    <n v="90.93"/>
    <n v="63.129999999999995"/>
    <n v="1158993.3799999999"/>
    <n v="684066.39"/>
    <n v="474926.99"/>
  </r>
  <r>
    <s v="Europe"/>
    <x v="14"/>
    <x v="10"/>
    <s v="Online"/>
    <x v="3"/>
    <d v="2014-03-14T00:00:00"/>
    <s v="765101468"/>
    <d v="2014-04-06T00:00:00"/>
    <n v="23"/>
    <n v="9382"/>
    <n v="437.2"/>
    <n v="263.33"/>
    <n v="173.87"/>
    <n v="4101810.4"/>
    <n v="2470562.06"/>
    <n v="1631248.34"/>
  </r>
  <r>
    <s v="Europe"/>
    <x v="25"/>
    <x v="9"/>
    <s v="Offline"/>
    <x v="1"/>
    <d v="2012-09-03T00:00:00"/>
    <s v="516460692"/>
    <d v="2012-09-24T00:00:00"/>
    <n v="21"/>
    <n v="1051"/>
    <n v="668.27"/>
    <n v="502.54"/>
    <n v="165.72999999999996"/>
    <n v="702351.77"/>
    <n v="528169.54"/>
    <n v="174182.23"/>
  </r>
  <r>
    <s v="Europe"/>
    <x v="13"/>
    <x v="6"/>
    <s v="Offline"/>
    <x v="3"/>
    <d v="2017-04-25T00:00:00"/>
    <s v="783594977"/>
    <d v="2017-05-01T00:00:00"/>
    <n v="6"/>
    <n v="2022"/>
    <n v="421.89"/>
    <n v="364.69"/>
    <n v="57.199999999999989"/>
    <n v="853061.58"/>
    <n v="737403.18"/>
    <n v="115658.4"/>
  </r>
  <r>
    <s v="Europe"/>
    <x v="46"/>
    <x v="7"/>
    <s v="Online"/>
    <x v="2"/>
    <d v="2016-04-03T00:00:00"/>
    <s v="406270396"/>
    <d v="2016-05-19T00:00:00"/>
    <n v="46"/>
    <n v="3293"/>
    <n v="152.58000000000001"/>
    <n v="97.44"/>
    <n v="55.140000000000015"/>
    <n v="502445.94"/>
    <n v="320869.92"/>
    <n v="181576.02"/>
  </r>
  <r>
    <s v="Europe"/>
    <x v="27"/>
    <x v="5"/>
    <s v="Online"/>
    <x v="2"/>
    <d v="2010-01-13T00:00:00"/>
    <s v="805095136"/>
    <d v="2010-01-20T00:00:00"/>
    <n v="7"/>
    <n v="4396"/>
    <n v="154.06"/>
    <n v="90.93"/>
    <n v="63.129999999999995"/>
    <n v="677247.76"/>
    <n v="399728.28"/>
    <n v="277519.48"/>
  </r>
  <r>
    <s v="Europe"/>
    <x v="19"/>
    <x v="2"/>
    <s v="Online"/>
    <x v="1"/>
    <d v="2011-10-01T00:00:00"/>
    <s v="985417258"/>
    <d v="2011-10-21T00:00:00"/>
    <n v="20"/>
    <n v="5720"/>
    <n v="205.7"/>
    <n v="117.11"/>
    <n v="88.589999999999989"/>
    <n v="1176604"/>
    <n v="669869.19999999995"/>
    <n v="506734.8"/>
  </r>
  <r>
    <s v="Europe"/>
    <x v="15"/>
    <x v="2"/>
    <s v="Offline"/>
    <x v="1"/>
    <d v="2013-06-15T00:00:00"/>
    <s v="443125665"/>
    <d v="2013-07-09T00:00:00"/>
    <n v="24"/>
    <n v="9586"/>
    <n v="205.7"/>
    <n v="117.11"/>
    <n v="88.589999999999989"/>
    <n v="1971840.2"/>
    <n v="1122616.46"/>
    <n v="849223.74"/>
  </r>
  <r>
    <s v="Europe"/>
    <x v="9"/>
    <x v="0"/>
    <s v="Online"/>
    <x v="2"/>
    <d v="2014-06-23T00:00:00"/>
    <s v="931477820"/>
    <d v="2014-07-19T00:00:00"/>
    <n v="26"/>
    <n v="3841"/>
    <n v="47.45"/>
    <n v="31.79"/>
    <n v="15.660000000000004"/>
    <n v="182255.45"/>
    <n v="122105.39"/>
    <n v="60150.06"/>
  </r>
  <r>
    <s v="Europe"/>
    <x v="19"/>
    <x v="11"/>
    <s v="Offline"/>
    <x v="3"/>
    <d v="2013-12-23T00:00:00"/>
    <s v="387098824"/>
    <d v="2014-01-04T00:00:00"/>
    <n v="12"/>
    <n v="9999"/>
    <n v="81.73"/>
    <n v="56.67"/>
    <n v="25.060000000000002"/>
    <n v="817218.27"/>
    <n v="566643.32999999996"/>
    <n v="250574.94"/>
  </r>
  <r>
    <s v="Europe"/>
    <x v="26"/>
    <x v="6"/>
    <s v="Offline"/>
    <x v="1"/>
    <d v="2012-08-12T00:00:00"/>
    <s v="595922315"/>
    <d v="2012-09-04T00:00:00"/>
    <n v="23"/>
    <n v="5510"/>
    <n v="421.89"/>
    <n v="364.69"/>
    <n v="57.199999999999989"/>
    <n v="2324613.9"/>
    <n v="2009441.9"/>
    <n v="315172"/>
  </r>
  <r>
    <s v="Europe"/>
    <x v="42"/>
    <x v="3"/>
    <s v="Online"/>
    <x v="1"/>
    <d v="2016-03-23T00:00:00"/>
    <s v="653909957"/>
    <d v="2016-04-06T00:00:00"/>
    <n v="14"/>
    <n v="5342"/>
    <n v="651.21"/>
    <n v="524.96"/>
    <n v="126.25"/>
    <n v="3478763.82"/>
    <n v="2804336.32"/>
    <n v="674427.5"/>
  </r>
  <r>
    <s v="Europe"/>
    <x v="15"/>
    <x v="0"/>
    <s v="Offline"/>
    <x v="3"/>
    <d v="2012-08-11T00:00:00"/>
    <s v="103435266"/>
    <d v="2012-09-18T00:00:00"/>
    <n v="38"/>
    <n v="7648"/>
    <n v="47.45"/>
    <n v="31.79"/>
    <n v="15.660000000000004"/>
    <n v="362897.6"/>
    <n v="243129.92"/>
    <n v="119767.67999999999"/>
  </r>
  <r>
    <s v="Europe"/>
    <x v="34"/>
    <x v="6"/>
    <s v="Offline"/>
    <x v="2"/>
    <d v="2016-12-12T00:00:00"/>
    <s v="863202941"/>
    <d v="2016-12-13T00:00:00"/>
    <n v="1"/>
    <n v="9787"/>
    <n v="421.89"/>
    <n v="364.69"/>
    <n v="57.199999999999989"/>
    <n v="4129037.43"/>
    <n v="3569221.03"/>
    <n v="559816.4"/>
  </r>
  <r>
    <s v="Europe"/>
    <x v="22"/>
    <x v="1"/>
    <s v="Offline"/>
    <x v="1"/>
    <d v="2014-03-08T00:00:00"/>
    <s v="396552217"/>
    <d v="2014-04-24T00:00:00"/>
    <n v="47"/>
    <n v="7468"/>
    <n v="109.28"/>
    <n v="35.840000000000003"/>
    <n v="73.44"/>
    <n v="816103.04"/>
    <n v="267653.12"/>
    <n v="548449.92000000004"/>
  </r>
  <r>
    <s v="Europe"/>
    <x v="19"/>
    <x v="10"/>
    <s v="Offline"/>
    <x v="1"/>
    <d v="2015-05-06T00:00:00"/>
    <s v="801352488"/>
    <d v="2015-05-23T00:00:00"/>
    <n v="17"/>
    <n v="6864"/>
    <n v="437.2"/>
    <n v="263.33"/>
    <n v="173.87"/>
    <n v="3000940.8"/>
    <n v="1807497.12"/>
    <n v="1193443.68"/>
  </r>
  <r>
    <s v="Europe"/>
    <x v="6"/>
    <x v="4"/>
    <s v="Online"/>
    <x v="3"/>
    <d v="2011-10-07T00:00:00"/>
    <s v="479234206"/>
    <d v="2011-11-14T00:00:00"/>
    <n v="38"/>
    <n v="4906"/>
    <n v="9.33"/>
    <n v="6.92"/>
    <n v="2.41"/>
    <n v="45772.98"/>
    <n v="33949.519999999997"/>
    <n v="11823.46"/>
  </r>
  <r>
    <s v="Europe"/>
    <x v="46"/>
    <x v="6"/>
    <s v="Offline"/>
    <x v="1"/>
    <d v="2010-02-19T00:00:00"/>
    <s v="627003753"/>
    <d v="2010-03-26T00:00:00"/>
    <n v="35"/>
    <n v="3199"/>
    <n v="421.89"/>
    <n v="364.69"/>
    <n v="57.199999999999989"/>
    <n v="1349626.11"/>
    <n v="1166643.31"/>
    <n v="182982.8"/>
  </r>
  <r>
    <s v="Europe"/>
    <x v="32"/>
    <x v="4"/>
    <s v="Offline"/>
    <x v="0"/>
    <d v="2017-03-12T00:00:00"/>
    <s v="393709933"/>
    <d v="2017-04-25T00:00:00"/>
    <n v="44"/>
    <n v="6373"/>
    <n v="9.33"/>
    <n v="6.92"/>
    <n v="2.41"/>
    <n v="59460.09"/>
    <n v="44101.16"/>
    <n v="15358.93"/>
  </r>
  <r>
    <s v="Europe"/>
    <x v="14"/>
    <x v="0"/>
    <s v="Offline"/>
    <x v="2"/>
    <d v="2016-02-20T00:00:00"/>
    <s v="136624276"/>
    <d v="2016-03-08T00:00:00"/>
    <n v="17"/>
    <n v="9014"/>
    <n v="47.45"/>
    <n v="31.79"/>
    <n v="15.660000000000004"/>
    <n v="427714.3"/>
    <n v="286555.06"/>
    <n v="141159.24"/>
  </r>
  <r>
    <s v="Europe"/>
    <x v="19"/>
    <x v="1"/>
    <s v="Online"/>
    <x v="2"/>
    <d v="2010-09-03T00:00:00"/>
    <s v="251823222"/>
    <d v="2010-10-01T00:00:00"/>
    <n v="28"/>
    <n v="8942"/>
    <n v="109.28"/>
    <n v="35.840000000000003"/>
    <n v="73.44"/>
    <n v="977181.76"/>
    <n v="320481.28000000003"/>
    <n v="656700.48"/>
  </r>
  <r>
    <s v="Europe"/>
    <x v="35"/>
    <x v="8"/>
    <s v="Offline"/>
    <x v="3"/>
    <d v="2014-04-01T00:00:00"/>
    <s v="200354850"/>
    <d v="2014-05-04T00:00:00"/>
    <n v="33"/>
    <n v="8307"/>
    <n v="255.28"/>
    <n v="159.41999999999999"/>
    <n v="95.860000000000014"/>
    <n v="2120610.96"/>
    <n v="1324301.94"/>
    <n v="796309.02"/>
  </r>
  <r>
    <s v="Europe"/>
    <x v="38"/>
    <x v="6"/>
    <s v="Offline"/>
    <x v="3"/>
    <d v="2017-05-02T00:00:00"/>
    <s v="692757356"/>
    <d v="2017-05-12T00:00:00"/>
    <n v="10"/>
    <n v="1151"/>
    <n v="421.89"/>
    <n v="364.69"/>
    <n v="57.199999999999989"/>
    <n v="485595.39"/>
    <n v="419758.19"/>
    <n v="65837.2"/>
  </r>
  <r>
    <s v="Europe"/>
    <x v="18"/>
    <x v="8"/>
    <s v="Offline"/>
    <x v="2"/>
    <d v="2012-10-12T00:00:00"/>
    <s v="651895511"/>
    <d v="2012-11-01T00:00:00"/>
    <n v="20"/>
    <n v="9223"/>
    <n v="255.28"/>
    <n v="159.41999999999999"/>
    <n v="95.860000000000014"/>
    <n v="2354447.44"/>
    <n v="1470330.66"/>
    <n v="884116.78"/>
  </r>
  <r>
    <s v="Europe"/>
    <x v="29"/>
    <x v="1"/>
    <s v="Offline"/>
    <x v="0"/>
    <d v="2016-06-26T00:00:00"/>
    <s v="156158483"/>
    <d v="2016-08-05T00:00:00"/>
    <n v="40"/>
    <n v="9620"/>
    <n v="109.28"/>
    <n v="35.840000000000003"/>
    <n v="73.44"/>
    <n v="1051273.6000000001"/>
    <n v="344780.79999999999"/>
    <n v="706492.8"/>
  </r>
  <r>
    <s v="Europe"/>
    <x v="15"/>
    <x v="7"/>
    <s v="Offline"/>
    <x v="0"/>
    <d v="2013-11-18T00:00:00"/>
    <s v="703966844"/>
    <d v="2013-11-30T00:00:00"/>
    <n v="12"/>
    <n v="8288"/>
    <n v="152.58000000000001"/>
    <n v="97.44"/>
    <n v="55.140000000000015"/>
    <n v="1264583.04"/>
    <n v="807582.71999999997"/>
    <n v="457000.32"/>
  </r>
  <r>
    <s v="Europe"/>
    <x v="20"/>
    <x v="9"/>
    <s v="Offline"/>
    <x v="2"/>
    <d v="2017-02-11T00:00:00"/>
    <s v="736240041"/>
    <d v="2017-02-20T00:00:00"/>
    <n v="9"/>
    <n v="8644"/>
    <n v="668.27"/>
    <n v="502.54"/>
    <n v="165.72999999999996"/>
    <n v="5776525.8799999999"/>
    <n v="4343955.76"/>
    <n v="1432570.12"/>
  </r>
  <r>
    <s v="Europe"/>
    <x v="5"/>
    <x v="10"/>
    <s v="Online"/>
    <x v="0"/>
    <d v="2015-05-22T00:00:00"/>
    <s v="357434880"/>
    <d v="2015-06-29T00:00:00"/>
    <n v="38"/>
    <n v="1779"/>
    <n v="437.2"/>
    <n v="263.33"/>
    <n v="173.87"/>
    <n v="777778.8"/>
    <n v="468464.07"/>
    <n v="309314.73"/>
  </r>
  <r>
    <s v="Europe"/>
    <x v="12"/>
    <x v="1"/>
    <s v="Offline"/>
    <x v="3"/>
    <d v="2015-08-15T00:00:00"/>
    <s v="358624064"/>
    <d v="2015-10-03T00:00:00"/>
    <n v="49"/>
    <n v="3685"/>
    <n v="109.28"/>
    <n v="35.840000000000003"/>
    <n v="73.44"/>
    <n v="402696.8"/>
    <n v="132070.39999999999"/>
    <n v="270626.40000000002"/>
  </r>
  <r>
    <s v="Europe"/>
    <x v="33"/>
    <x v="5"/>
    <s v="Online"/>
    <x v="1"/>
    <d v="2011-11-12T00:00:00"/>
    <s v="103762280"/>
    <d v="2011-12-14T00:00:00"/>
    <n v="32"/>
    <n v="4419"/>
    <n v="154.06"/>
    <n v="90.93"/>
    <n v="63.129999999999995"/>
    <n v="680791.14"/>
    <n v="401819.67"/>
    <n v="278971.46999999997"/>
  </r>
  <r>
    <s v="Europe"/>
    <x v="20"/>
    <x v="8"/>
    <s v="Offline"/>
    <x v="1"/>
    <d v="2013-03-12T00:00:00"/>
    <s v="144743001"/>
    <d v="2013-04-21T00:00:00"/>
    <n v="40"/>
    <n v="1525"/>
    <n v="255.28"/>
    <n v="159.41999999999999"/>
    <n v="95.860000000000014"/>
    <n v="389302"/>
    <n v="243115.5"/>
    <n v="146186.5"/>
  </r>
  <r>
    <s v="Europe"/>
    <x v="40"/>
    <x v="0"/>
    <s v="Online"/>
    <x v="2"/>
    <d v="2017-02-11T00:00:00"/>
    <s v="439204919"/>
    <d v="2017-02-19T00:00:00"/>
    <n v="8"/>
    <n v="9350"/>
    <n v="47.45"/>
    <n v="31.79"/>
    <n v="15.660000000000004"/>
    <n v="443657.5"/>
    <n v="297236.5"/>
    <n v="146421"/>
  </r>
  <r>
    <s v="Europe"/>
    <x v="21"/>
    <x v="4"/>
    <s v="Offline"/>
    <x v="0"/>
    <d v="2010-02-03T00:00:00"/>
    <s v="114954173"/>
    <d v="2010-02-11T00:00:00"/>
    <n v="8"/>
    <n v="6349"/>
    <n v="9.33"/>
    <n v="6.92"/>
    <n v="2.41"/>
    <n v="59236.17"/>
    <n v="43935.08"/>
    <n v="15301.09"/>
  </r>
  <r>
    <s v="Europe"/>
    <x v="24"/>
    <x v="0"/>
    <s v="Offline"/>
    <x v="2"/>
    <d v="2012-12-22T00:00:00"/>
    <s v="238170993"/>
    <d v="2013-02-07T00:00:00"/>
    <n v="47"/>
    <n v="8944"/>
    <n v="47.45"/>
    <n v="31.79"/>
    <n v="15.660000000000004"/>
    <n v="424392.8"/>
    <n v="284329.76"/>
    <n v="140063.04000000001"/>
  </r>
  <r>
    <s v="Europe"/>
    <x v="37"/>
    <x v="1"/>
    <s v="Online"/>
    <x v="1"/>
    <d v="2012-04-02T00:00:00"/>
    <s v="134790503"/>
    <d v="2012-04-26T00:00:00"/>
    <n v="24"/>
    <n v="6360"/>
    <n v="109.28"/>
    <n v="35.840000000000003"/>
    <n v="73.44"/>
    <n v="695020.8"/>
    <n v="227942.39999999999"/>
    <n v="467078.40000000002"/>
  </r>
  <r>
    <s v="Europe"/>
    <x v="5"/>
    <x v="5"/>
    <s v="Online"/>
    <x v="3"/>
    <d v="2013-03-30T00:00:00"/>
    <s v="409112679"/>
    <d v="2013-05-18T00:00:00"/>
    <n v="49"/>
    <n v="4388"/>
    <n v="154.06"/>
    <n v="90.93"/>
    <n v="63.129999999999995"/>
    <n v="676015.28"/>
    <n v="399000.84"/>
    <n v="277014.44"/>
  </r>
  <r>
    <s v="Europe"/>
    <x v="37"/>
    <x v="6"/>
    <s v="Offline"/>
    <x v="3"/>
    <d v="2013-07-19T00:00:00"/>
    <s v="727175891"/>
    <d v="2013-09-07T00:00:00"/>
    <n v="50"/>
    <n v="6360"/>
    <n v="421.89"/>
    <n v="364.69"/>
    <n v="57.199999999999989"/>
    <n v="2683220.4"/>
    <n v="2319428.4"/>
    <n v="363792"/>
  </r>
  <r>
    <s v="Europe"/>
    <x v="34"/>
    <x v="10"/>
    <s v="Online"/>
    <x v="2"/>
    <d v="2012-10-26T00:00:00"/>
    <s v="638593900"/>
    <d v="2012-12-12T00:00:00"/>
    <n v="47"/>
    <n v="2981"/>
    <n v="437.2"/>
    <n v="263.33"/>
    <n v="173.87"/>
    <n v="1303293.2"/>
    <n v="784986.73"/>
    <n v="518306.47"/>
  </r>
  <r>
    <s v="Europe"/>
    <x v="30"/>
    <x v="0"/>
    <s v="Offline"/>
    <x v="3"/>
    <d v="2013-04-28T00:00:00"/>
    <s v="833473765"/>
    <d v="2013-05-25T00:00:00"/>
    <n v="27"/>
    <n v="2264"/>
    <n v="47.45"/>
    <n v="31.79"/>
    <n v="15.660000000000004"/>
    <n v="107426.8"/>
    <n v="71972.56"/>
    <n v="35454.239999999998"/>
  </r>
  <r>
    <s v="Europe"/>
    <x v="26"/>
    <x v="10"/>
    <s v="Offline"/>
    <x v="1"/>
    <d v="2014-07-08T00:00:00"/>
    <s v="606224572"/>
    <d v="2014-07-15T00:00:00"/>
    <n v="7"/>
    <n v="4177"/>
    <n v="437.2"/>
    <n v="263.33"/>
    <n v="173.87"/>
    <n v="1826184.4"/>
    <n v="1099929.4099999999"/>
    <n v="726254.99"/>
  </r>
  <r>
    <s v="Europe"/>
    <x v="22"/>
    <x v="1"/>
    <s v="Online"/>
    <x v="3"/>
    <d v="2012-01-06T00:00:00"/>
    <s v="325314033"/>
    <d v="2012-01-30T00:00:00"/>
    <n v="24"/>
    <n v="6506"/>
    <n v="109.28"/>
    <n v="35.840000000000003"/>
    <n v="73.44"/>
    <n v="710975.68"/>
    <n v="233175.04000000001"/>
    <n v="477800.64"/>
  </r>
  <r>
    <s v="Europe"/>
    <x v="27"/>
    <x v="6"/>
    <s v="Offline"/>
    <x v="1"/>
    <d v="2012-11-19T00:00:00"/>
    <s v="159805858"/>
    <d v="2012-12-17T00:00:00"/>
    <n v="28"/>
    <n v="8959"/>
    <n v="421.89"/>
    <n v="364.69"/>
    <n v="57.199999999999989"/>
    <n v="3779712.51"/>
    <n v="3267257.71"/>
    <n v="512454.8"/>
  </r>
  <r>
    <s v="Europe"/>
    <x v="7"/>
    <x v="7"/>
    <s v="Online"/>
    <x v="3"/>
    <d v="2012-04-06T00:00:00"/>
    <s v="722248780"/>
    <d v="2012-04-08T00:00:00"/>
    <n v="2"/>
    <n v="8319"/>
    <n v="152.58000000000001"/>
    <n v="97.44"/>
    <n v="55.140000000000015"/>
    <n v="1269313.02"/>
    <n v="810603.36"/>
    <n v="458709.66"/>
  </r>
  <r>
    <s v="Europe"/>
    <x v="33"/>
    <x v="5"/>
    <s v="Online"/>
    <x v="3"/>
    <d v="2015-06-01T00:00:00"/>
    <s v="399115979"/>
    <d v="2015-06-24T00:00:00"/>
    <n v="23"/>
    <n v="6142"/>
    <n v="154.06"/>
    <n v="90.93"/>
    <n v="63.129999999999995"/>
    <n v="946236.52"/>
    <n v="558492.06000000006"/>
    <n v="387744.46"/>
  </r>
  <r>
    <s v="Europe"/>
    <x v="27"/>
    <x v="9"/>
    <s v="Offline"/>
    <x v="1"/>
    <d v="2015-11-25T00:00:00"/>
    <s v="792792594"/>
    <d v="2016-01-02T00:00:00"/>
    <n v="38"/>
    <n v="3801"/>
    <n v="668.27"/>
    <n v="502.54"/>
    <n v="165.72999999999996"/>
    <n v="2540094.27"/>
    <n v="1910154.54"/>
    <n v="629939.73"/>
  </r>
  <r>
    <s v="Europe"/>
    <x v="16"/>
    <x v="10"/>
    <s v="Offline"/>
    <x v="0"/>
    <d v="2013-05-24T00:00:00"/>
    <s v="626453149"/>
    <d v="2013-06-10T00:00:00"/>
    <n v="17"/>
    <n v="263"/>
    <n v="437.2"/>
    <n v="263.33"/>
    <n v="173.87"/>
    <n v="114983.6"/>
    <n v="69255.789999999994"/>
    <n v="45727.81"/>
  </r>
  <r>
    <s v="Europe"/>
    <x v="25"/>
    <x v="7"/>
    <s v="Offline"/>
    <x v="2"/>
    <d v="2013-07-31T00:00:00"/>
    <s v="737095344"/>
    <d v="2013-09-13T00:00:00"/>
    <n v="44"/>
    <n v="1747"/>
    <n v="152.58000000000001"/>
    <n v="97.44"/>
    <n v="55.140000000000015"/>
    <n v="266557.26"/>
    <n v="170227.68"/>
    <n v="96329.58"/>
  </r>
  <r>
    <s v="Europe"/>
    <x v="10"/>
    <x v="4"/>
    <s v="Offline"/>
    <x v="2"/>
    <d v="2016-09-18T00:00:00"/>
    <s v="708320605"/>
    <d v="2016-10-05T00:00:00"/>
    <n v="17"/>
    <n v="6662"/>
    <n v="9.33"/>
    <n v="6.92"/>
    <n v="2.41"/>
    <n v="62156.46"/>
    <n v="46101.04"/>
    <n v="16055.42"/>
  </r>
  <r>
    <s v="Europe"/>
    <x v="29"/>
    <x v="3"/>
    <s v="Offline"/>
    <x v="1"/>
    <d v="2013-03-05T00:00:00"/>
    <s v="433079183"/>
    <d v="2013-04-19T00:00:00"/>
    <n v="45"/>
    <n v="6609"/>
    <n v="651.21"/>
    <n v="524.96"/>
    <n v="126.25"/>
    <n v="4303846.8899999997"/>
    <n v="3469460.64"/>
    <n v="834386.25"/>
  </r>
  <r>
    <s v="Europe"/>
    <x v="47"/>
    <x v="11"/>
    <s v="Offline"/>
    <x v="2"/>
    <d v="2012-05-22T00:00:00"/>
    <s v="604494225"/>
    <d v="2012-06-25T00:00:00"/>
    <n v="34"/>
    <n v="2129"/>
    <n v="81.73"/>
    <n v="56.67"/>
    <n v="25.060000000000002"/>
    <n v="174003.17"/>
    <n v="120650.43"/>
    <n v="53352.74"/>
  </r>
  <r>
    <s v="Europe"/>
    <x v="35"/>
    <x v="4"/>
    <s v="Online"/>
    <x v="1"/>
    <d v="2010-12-30T00:00:00"/>
    <s v="707718932"/>
    <d v="2011-01-06T00:00:00"/>
    <n v="7"/>
    <n v="8614"/>
    <n v="9.33"/>
    <n v="6.92"/>
    <n v="2.41"/>
    <n v="80368.62"/>
    <n v="59608.88"/>
    <n v="20759.740000000002"/>
  </r>
  <r>
    <s v="Europe"/>
    <x v="34"/>
    <x v="9"/>
    <s v="Offline"/>
    <x v="0"/>
    <d v="2011-06-24T00:00:00"/>
    <s v="656689155"/>
    <d v="2011-08-09T00:00:00"/>
    <n v="46"/>
    <n v="7769"/>
    <n v="668.27"/>
    <n v="502.54"/>
    <n v="165.72999999999996"/>
    <n v="5191789.63"/>
    <n v="3904233.26"/>
    <n v="1287556.3700000001"/>
  </r>
  <r>
    <s v="Europe"/>
    <x v="35"/>
    <x v="0"/>
    <s v="Offline"/>
    <x v="1"/>
    <d v="2016-02-25T00:00:00"/>
    <s v="935907542"/>
    <d v="2016-03-21T00:00:00"/>
    <n v="25"/>
    <n v="4695"/>
    <n v="47.45"/>
    <n v="31.79"/>
    <n v="15.660000000000004"/>
    <n v="222777.75"/>
    <n v="149254.04999999999"/>
    <n v="73523.7"/>
  </r>
  <r>
    <s v="Europe"/>
    <x v="45"/>
    <x v="9"/>
    <s v="Offline"/>
    <x v="0"/>
    <d v="2015-03-14T00:00:00"/>
    <s v="421660268"/>
    <d v="2015-04-11T00:00:00"/>
    <n v="28"/>
    <n v="7498"/>
    <n v="668.27"/>
    <n v="502.54"/>
    <n v="165.72999999999996"/>
    <n v="5010688.46"/>
    <n v="3768044.92"/>
    <n v="1242643.54"/>
  </r>
  <r>
    <s v="Europe"/>
    <x v="10"/>
    <x v="10"/>
    <s v="Offline"/>
    <x v="0"/>
    <d v="2014-08-22T00:00:00"/>
    <s v="447183310"/>
    <d v="2014-09-19T00:00:00"/>
    <n v="28"/>
    <n v="334"/>
    <n v="437.2"/>
    <n v="263.33"/>
    <n v="173.87"/>
    <n v="146024.79999999999"/>
    <n v="87952.22"/>
    <n v="58072.58"/>
  </r>
  <r>
    <s v="Europe"/>
    <x v="4"/>
    <x v="5"/>
    <s v="Offline"/>
    <x v="2"/>
    <d v="2011-12-07T00:00:00"/>
    <s v="127694451"/>
    <d v="2011-12-27T00:00:00"/>
    <n v="20"/>
    <n v="6481"/>
    <n v="154.06"/>
    <n v="90.93"/>
    <n v="63.129999999999995"/>
    <n v="998462.86"/>
    <n v="589317.32999999996"/>
    <n v="409145.53"/>
  </r>
  <r>
    <s v="Europe"/>
    <x v="43"/>
    <x v="6"/>
    <s v="Offline"/>
    <x v="1"/>
    <d v="2012-06-13T00:00:00"/>
    <s v="697617518"/>
    <d v="2012-07-07T00:00:00"/>
    <n v="24"/>
    <n v="9381"/>
    <n v="421.89"/>
    <n v="364.69"/>
    <n v="57.199999999999989"/>
    <n v="3957750.09"/>
    <n v="3421156.89"/>
    <n v="536593.19999999995"/>
  </r>
  <r>
    <s v="Europe"/>
    <x v="19"/>
    <x v="11"/>
    <s v="Offline"/>
    <x v="2"/>
    <d v="2015-01-22T00:00:00"/>
    <s v="311688840"/>
    <d v="2015-02-14T00:00:00"/>
    <n v="23"/>
    <n v="4509"/>
    <n v="81.73"/>
    <n v="56.67"/>
    <n v="25.060000000000002"/>
    <n v="368520.57"/>
    <n v="255525.03"/>
    <n v="112995.54"/>
  </r>
  <r>
    <s v="Europe"/>
    <x v="22"/>
    <x v="10"/>
    <s v="Offline"/>
    <x v="1"/>
    <d v="2015-11-06T00:00:00"/>
    <s v="385080945"/>
    <d v="2015-11-07T00:00:00"/>
    <n v="1"/>
    <n v="2864"/>
    <n v="437.2"/>
    <n v="263.33"/>
    <n v="173.87"/>
    <n v="1252140.8"/>
    <n v="754177.12"/>
    <n v="497963.68"/>
  </r>
  <r>
    <s v="Europe"/>
    <x v="33"/>
    <x v="9"/>
    <s v="Offline"/>
    <x v="1"/>
    <d v="2012-04-23T00:00:00"/>
    <s v="309148681"/>
    <d v="2012-05-05T00:00:00"/>
    <n v="12"/>
    <n v="2819"/>
    <n v="668.27"/>
    <n v="502.54"/>
    <n v="165.72999999999996"/>
    <n v="1883853.13"/>
    <n v="1416660.26"/>
    <n v="467192.87"/>
  </r>
  <r>
    <s v="Europe"/>
    <x v="15"/>
    <x v="8"/>
    <s v="Offline"/>
    <x v="2"/>
    <d v="2014-02-21T00:00:00"/>
    <s v="630219399"/>
    <d v="2014-03-14T00:00:00"/>
    <n v="21"/>
    <n v="4780"/>
    <n v="255.28"/>
    <n v="159.41999999999999"/>
    <n v="95.860000000000014"/>
    <n v="1220238.3999999999"/>
    <n v="762027.6"/>
    <n v="458210.8"/>
  </r>
  <r>
    <s v="Europe"/>
    <x v="26"/>
    <x v="7"/>
    <s v="Online"/>
    <x v="3"/>
    <d v="2012-04-13T00:00:00"/>
    <s v="585677134"/>
    <d v="2012-05-04T00:00:00"/>
    <n v="21"/>
    <n v="3734"/>
    <n v="152.58000000000001"/>
    <n v="97.44"/>
    <n v="55.140000000000015"/>
    <n v="569733.72"/>
    <n v="363840.96"/>
    <n v="205892.76"/>
  </r>
  <r>
    <s v="Europe"/>
    <x v="37"/>
    <x v="9"/>
    <s v="Online"/>
    <x v="0"/>
    <d v="2016-12-23T00:00:00"/>
    <s v="692704999"/>
    <d v="2017-01-24T00:00:00"/>
    <n v="32"/>
    <n v="5657"/>
    <n v="668.27"/>
    <n v="502.54"/>
    <n v="165.72999999999996"/>
    <n v="3780403.39"/>
    <n v="2842868.78"/>
    <n v="937534.61"/>
  </r>
  <r>
    <s v="Europe"/>
    <x v="40"/>
    <x v="10"/>
    <s v="Online"/>
    <x v="1"/>
    <d v="2011-02-09T00:00:00"/>
    <s v="942454278"/>
    <d v="2011-03-29T00:00:00"/>
    <n v="48"/>
    <n v="2019"/>
    <n v="437.2"/>
    <n v="263.33"/>
    <n v="173.87"/>
    <n v="882706.8"/>
    <n v="531663.27"/>
    <n v="351043.53"/>
  </r>
  <r>
    <s v="Europe"/>
    <x v="27"/>
    <x v="3"/>
    <s v="Offline"/>
    <x v="3"/>
    <d v="2015-05-19T00:00:00"/>
    <s v="150293242"/>
    <d v="2015-06-21T00:00:00"/>
    <n v="33"/>
    <n v="3965"/>
    <n v="651.21"/>
    <n v="524.96"/>
    <n v="126.25"/>
    <n v="2582047.65"/>
    <n v="2081466.4"/>
    <n v="500581.25"/>
  </r>
  <r>
    <s v="Europe"/>
    <x v="38"/>
    <x v="3"/>
    <s v="Offline"/>
    <x v="3"/>
    <d v="2013-12-19T00:00:00"/>
    <s v="236042392"/>
    <d v="2014-01-26T00:00:00"/>
    <n v="38"/>
    <n v="9044"/>
    <n v="651.21"/>
    <n v="524.96"/>
    <n v="126.25"/>
    <n v="5889543.2400000002"/>
    <n v="4747738.24"/>
    <n v="1141805"/>
  </r>
  <r>
    <s v="Europe"/>
    <x v="37"/>
    <x v="8"/>
    <s v="Offline"/>
    <x v="2"/>
    <d v="2012-06-15T00:00:00"/>
    <s v="314782178"/>
    <d v="2012-07-12T00:00:00"/>
    <n v="27"/>
    <n v="9896"/>
    <n v="255.28"/>
    <n v="159.41999999999999"/>
    <n v="95.860000000000014"/>
    <n v="2526250.88"/>
    <n v="1577620.32"/>
    <n v="948630.56"/>
  </r>
  <r>
    <s v="Europe"/>
    <x v="9"/>
    <x v="10"/>
    <s v="Offline"/>
    <x v="1"/>
    <d v="2016-07-27T00:00:00"/>
    <s v="193472945"/>
    <d v="2016-09-13T00:00:00"/>
    <n v="48"/>
    <n v="1799"/>
    <n v="437.2"/>
    <n v="263.33"/>
    <n v="173.87"/>
    <n v="786522.8"/>
    <n v="473730.67"/>
    <n v="312792.13"/>
  </r>
  <r>
    <s v="Europe"/>
    <x v="23"/>
    <x v="10"/>
    <s v="Offline"/>
    <x v="3"/>
    <d v="2010-09-27T00:00:00"/>
    <s v="434013879"/>
    <d v="2010-11-05T00:00:00"/>
    <n v="39"/>
    <n v="3206"/>
    <n v="437.2"/>
    <n v="263.33"/>
    <n v="173.87"/>
    <n v="1401663.2"/>
    <n v="844235.98"/>
    <n v="557427.22"/>
  </r>
  <r>
    <s v="Europe"/>
    <x v="36"/>
    <x v="2"/>
    <s v="Online"/>
    <x v="2"/>
    <d v="2015-08-26T00:00:00"/>
    <s v="431240689"/>
    <d v="2015-10-13T00:00:00"/>
    <n v="48"/>
    <n v="2558"/>
    <n v="205.7"/>
    <n v="117.11"/>
    <n v="88.589999999999989"/>
    <n v="526180.6"/>
    <n v="299567.38"/>
    <n v="226613.22"/>
  </r>
  <r>
    <s v="Europe"/>
    <x v="7"/>
    <x v="6"/>
    <s v="Offline"/>
    <x v="2"/>
    <d v="2012-04-26T00:00:00"/>
    <s v="643259227"/>
    <d v="2012-04-26T00:00:00"/>
    <n v="0"/>
    <n v="3555"/>
    <n v="421.89"/>
    <n v="364.69"/>
    <n v="57.199999999999989"/>
    <n v="1499818.95"/>
    <n v="1296472.95"/>
    <n v="203346"/>
  </r>
  <r>
    <s v="Europe"/>
    <x v="0"/>
    <x v="10"/>
    <s v="Online"/>
    <x v="3"/>
    <d v="2017-06-06T00:00:00"/>
    <s v="151312482"/>
    <d v="2017-07-12T00:00:00"/>
    <n v="36"/>
    <n v="5581"/>
    <n v="437.2"/>
    <n v="263.33"/>
    <n v="173.87"/>
    <n v="2440013.2000000002"/>
    <n v="1469644.73"/>
    <n v="970368.47"/>
  </r>
  <r>
    <s v="Europe"/>
    <x v="2"/>
    <x v="4"/>
    <s v="Online"/>
    <x v="1"/>
    <d v="2012-07-31T00:00:00"/>
    <s v="750047194"/>
    <d v="2012-09-18T00:00:00"/>
    <n v="49"/>
    <n v="4487"/>
    <n v="9.33"/>
    <n v="6.92"/>
    <n v="2.41"/>
    <n v="41863.71"/>
    <n v="31050.04"/>
    <n v="10813.67"/>
  </r>
  <r>
    <s v="Europe"/>
    <x v="7"/>
    <x v="4"/>
    <s v="Offline"/>
    <x v="2"/>
    <d v="2015-11-29T00:00:00"/>
    <s v="721318805"/>
    <d v="2015-12-09T00:00:00"/>
    <n v="10"/>
    <n v="3118"/>
    <n v="9.33"/>
    <n v="6.92"/>
    <n v="2.41"/>
    <n v="29090.94"/>
    <n v="21576.560000000001"/>
    <n v="7514.38"/>
  </r>
  <r>
    <s v="Europe"/>
    <x v="43"/>
    <x v="0"/>
    <s v="Offline"/>
    <x v="3"/>
    <d v="2012-02-13T00:00:00"/>
    <s v="599997556"/>
    <d v="2012-02-14T00:00:00"/>
    <n v="1"/>
    <n v="1465"/>
    <n v="47.45"/>
    <n v="31.79"/>
    <n v="15.660000000000004"/>
    <n v="69514.25"/>
    <n v="46572.35"/>
    <n v="22941.9"/>
  </r>
  <r>
    <s v="Europe"/>
    <x v="4"/>
    <x v="0"/>
    <s v="Online"/>
    <x v="1"/>
    <d v="2016-11-28T00:00:00"/>
    <s v="826677262"/>
    <d v="2017-01-09T00:00:00"/>
    <n v="42"/>
    <n v="1027"/>
    <n v="47.45"/>
    <n v="31.79"/>
    <n v="15.660000000000004"/>
    <n v="48731.15"/>
    <n v="32648.33"/>
    <n v="16082.82"/>
  </r>
  <r>
    <s v="Europe"/>
    <x v="17"/>
    <x v="0"/>
    <s v="Offline"/>
    <x v="3"/>
    <d v="2011-07-05T00:00:00"/>
    <s v="735445678"/>
    <d v="2011-07-22T00:00:00"/>
    <n v="17"/>
    <n v="3574"/>
    <n v="47.45"/>
    <n v="31.79"/>
    <n v="15.660000000000004"/>
    <n v="169586.3"/>
    <n v="113617.46"/>
    <n v="55968.84"/>
  </r>
  <r>
    <s v="Europe"/>
    <x v="10"/>
    <x v="5"/>
    <s v="Offline"/>
    <x v="2"/>
    <d v="2012-10-14T00:00:00"/>
    <s v="354270303"/>
    <d v="2012-11-27T00:00:00"/>
    <n v="44"/>
    <n v="5310"/>
    <n v="154.06"/>
    <n v="90.93"/>
    <n v="63.129999999999995"/>
    <n v="818058.6"/>
    <n v="482838.3"/>
    <n v="335220.3"/>
  </r>
  <r>
    <s v="Europe"/>
    <x v="33"/>
    <x v="2"/>
    <s v="Offline"/>
    <x v="3"/>
    <d v="2010-12-04T00:00:00"/>
    <s v="806662404"/>
    <d v="2010-12-07T00:00:00"/>
    <n v="3"/>
    <n v="8186"/>
    <n v="205.7"/>
    <n v="117.11"/>
    <n v="88.589999999999989"/>
    <n v="1683860.2"/>
    <n v="958662.46"/>
    <n v="725197.74"/>
  </r>
  <r>
    <s v="Europe"/>
    <x v="11"/>
    <x v="11"/>
    <s v="Offline"/>
    <x v="0"/>
    <d v="2013-11-13T00:00:00"/>
    <s v="933699119"/>
    <d v="2013-11-24T00:00:00"/>
    <n v="11"/>
    <n v="1173"/>
    <n v="81.73"/>
    <n v="56.67"/>
    <n v="25.060000000000002"/>
    <n v="95869.29"/>
    <n v="66473.91"/>
    <n v="29395.38"/>
  </r>
  <r>
    <s v="Europe"/>
    <x v="7"/>
    <x v="8"/>
    <s v="Offline"/>
    <x v="0"/>
    <d v="2015-06-27T00:00:00"/>
    <s v="726223170"/>
    <d v="2015-07-31T00:00:00"/>
    <n v="34"/>
    <n v="4429"/>
    <n v="255.28"/>
    <n v="159.41999999999999"/>
    <n v="95.860000000000014"/>
    <n v="1130635.1200000001"/>
    <n v="706071.18"/>
    <n v="424563.94"/>
  </r>
  <r>
    <s v="Europe"/>
    <x v="0"/>
    <x v="6"/>
    <s v="Online"/>
    <x v="1"/>
    <d v="2015-01-09T00:00:00"/>
    <s v="692555224"/>
    <d v="2015-02-01T00:00:00"/>
    <n v="23"/>
    <n v="1336"/>
    <n v="421.89"/>
    <n v="364.69"/>
    <n v="57.199999999999989"/>
    <n v="563645.04"/>
    <n v="487225.84"/>
    <n v="76419.199999999997"/>
  </r>
  <r>
    <s v="Europe"/>
    <x v="4"/>
    <x v="5"/>
    <s v="Online"/>
    <x v="2"/>
    <d v="2011-02-28T00:00:00"/>
    <s v="134121024"/>
    <d v="2011-04-08T00:00:00"/>
    <n v="39"/>
    <n v="8246"/>
    <n v="154.06"/>
    <n v="90.93"/>
    <n v="63.129999999999995"/>
    <n v="1270378.76"/>
    <n v="749808.78"/>
    <n v="520569.98"/>
  </r>
  <r>
    <s v="Europe"/>
    <x v="4"/>
    <x v="1"/>
    <s v="Offline"/>
    <x v="0"/>
    <d v="2016-12-18T00:00:00"/>
    <s v="660312926"/>
    <d v="2017-01-05T00:00:00"/>
    <n v="18"/>
    <n v="123"/>
    <n v="109.28"/>
    <n v="35.840000000000003"/>
    <n v="73.44"/>
    <n v="13441.44"/>
    <n v="4408.32"/>
    <n v="9033.1200000000008"/>
  </r>
  <r>
    <s v="Europe"/>
    <x v="13"/>
    <x v="10"/>
    <s v="Online"/>
    <x v="0"/>
    <d v="2014-07-08T00:00:00"/>
    <s v="140461766"/>
    <d v="2014-07-20T00:00:00"/>
    <n v="12"/>
    <n v="4613"/>
    <n v="437.2"/>
    <n v="263.33"/>
    <n v="173.87"/>
    <n v="2016803.6"/>
    <n v="1214741.29"/>
    <n v="802062.31"/>
  </r>
  <r>
    <s v="Europe"/>
    <x v="13"/>
    <x v="2"/>
    <s v="Offline"/>
    <x v="0"/>
    <d v="2011-02-13T00:00:00"/>
    <s v="741964948"/>
    <d v="2011-02-26T00:00:00"/>
    <n v="13"/>
    <n v="2771"/>
    <n v="205.7"/>
    <n v="117.11"/>
    <n v="88.589999999999989"/>
    <n v="569994.69999999995"/>
    <n v="324511.81"/>
    <n v="245482.89"/>
  </r>
  <r>
    <s v="Europe"/>
    <x v="10"/>
    <x v="7"/>
    <s v="Offline"/>
    <x v="0"/>
    <d v="2017-07-22T00:00:00"/>
    <s v="476453721"/>
    <d v="2017-08-10T00:00:00"/>
    <n v="19"/>
    <n v="2099"/>
    <n v="152.58000000000001"/>
    <n v="97.44"/>
    <n v="55.140000000000015"/>
    <n v="320265.42"/>
    <n v="204526.56"/>
    <n v="115738.86"/>
  </r>
  <r>
    <s v="Europe"/>
    <x v="9"/>
    <x v="4"/>
    <s v="Online"/>
    <x v="1"/>
    <d v="2011-04-28T00:00:00"/>
    <s v="111496055"/>
    <d v="2011-06-04T00:00:00"/>
    <n v="37"/>
    <n v="3015"/>
    <n v="9.33"/>
    <n v="6.92"/>
    <n v="2.41"/>
    <n v="28129.95"/>
    <n v="20863.8"/>
    <n v="7266.15"/>
  </r>
  <r>
    <s v="Europe"/>
    <x v="42"/>
    <x v="5"/>
    <s v="Online"/>
    <x v="2"/>
    <d v="2015-12-25T00:00:00"/>
    <s v="628515231"/>
    <d v="2016-02-01T00:00:00"/>
    <n v="38"/>
    <n v="479"/>
    <n v="154.06"/>
    <n v="90.93"/>
    <n v="63.129999999999995"/>
    <n v="73794.740000000005"/>
    <n v="43555.47"/>
    <n v="30239.27"/>
  </r>
  <r>
    <s v="Europe"/>
    <x v="42"/>
    <x v="3"/>
    <s v="Offline"/>
    <x v="1"/>
    <d v="2010-03-02T00:00:00"/>
    <s v="601894414"/>
    <d v="2010-03-19T00:00:00"/>
    <n v="17"/>
    <n v="2787"/>
    <n v="651.21"/>
    <n v="524.96"/>
    <n v="126.25"/>
    <n v="1814922.27"/>
    <n v="1463063.52"/>
    <n v="351858.75"/>
  </r>
  <r>
    <s v="Europe"/>
    <x v="1"/>
    <x v="7"/>
    <s v="Offline"/>
    <x v="2"/>
    <d v="2011-07-14T00:00:00"/>
    <s v="954040992"/>
    <d v="2011-08-27T00:00:00"/>
    <n v="44"/>
    <n v="785"/>
    <n v="152.58000000000001"/>
    <n v="97.44"/>
    <n v="55.140000000000015"/>
    <n v="119775.3"/>
    <n v="76490.399999999994"/>
    <n v="43284.9"/>
  </r>
  <r>
    <s v="Europe"/>
    <x v="0"/>
    <x v="3"/>
    <s v="Online"/>
    <x v="1"/>
    <d v="2014-05-09T00:00:00"/>
    <s v="865824210"/>
    <d v="2014-05-14T00:00:00"/>
    <n v="5"/>
    <n v="5479"/>
    <n v="651.21"/>
    <n v="524.96"/>
    <n v="126.25"/>
    <n v="3567979.59"/>
    <n v="2876255.84"/>
    <n v="691723.75"/>
  </r>
  <r>
    <s v="Europe"/>
    <x v="9"/>
    <x v="1"/>
    <s v="Offline"/>
    <x v="1"/>
    <d v="2016-09-20T00:00:00"/>
    <s v="761887109"/>
    <d v="2016-10-14T00:00:00"/>
    <n v="24"/>
    <n v="8181"/>
    <n v="109.28"/>
    <n v="35.840000000000003"/>
    <n v="73.44"/>
    <n v="894019.68"/>
    <n v="293207.03999999998"/>
    <n v="600812.64"/>
  </r>
  <r>
    <s v="Europe"/>
    <x v="46"/>
    <x v="3"/>
    <s v="Online"/>
    <x v="2"/>
    <d v="2015-09-27T00:00:00"/>
    <s v="160578763"/>
    <d v="2015-10-30T00:00:00"/>
    <n v="33"/>
    <n v="7679"/>
    <n v="651.21"/>
    <n v="524.96"/>
    <n v="126.25"/>
    <n v="5000641.59"/>
    <n v="4031167.84"/>
    <n v="969473.75"/>
  </r>
  <r>
    <s v="Europe"/>
    <x v="15"/>
    <x v="5"/>
    <s v="Offline"/>
    <x v="1"/>
    <d v="2011-03-08T00:00:00"/>
    <s v="992992675"/>
    <d v="2011-03-09T00:00:00"/>
    <n v="1"/>
    <n v="7454"/>
    <n v="154.06"/>
    <n v="90.93"/>
    <n v="63.129999999999995"/>
    <n v="1148363.24"/>
    <n v="677792.22"/>
    <n v="470571.02"/>
  </r>
  <r>
    <s v="Europe"/>
    <x v="42"/>
    <x v="1"/>
    <s v="Online"/>
    <x v="1"/>
    <d v="2015-05-09T00:00:00"/>
    <s v="231369769"/>
    <d v="2015-05-16T00:00:00"/>
    <n v="7"/>
    <n v="6311"/>
    <n v="109.28"/>
    <n v="35.840000000000003"/>
    <n v="73.44"/>
    <n v="689666.08"/>
    <n v="226186.23999999999"/>
    <n v="463479.84"/>
  </r>
  <r>
    <s v="Europe"/>
    <x v="29"/>
    <x v="10"/>
    <s v="Online"/>
    <x v="1"/>
    <d v="2016-03-28T00:00:00"/>
    <s v="852392995"/>
    <d v="2016-04-19T00:00:00"/>
    <n v="22"/>
    <n v="884"/>
    <n v="437.2"/>
    <n v="263.33"/>
    <n v="173.87"/>
    <n v="386484.8"/>
    <n v="232783.72"/>
    <n v="153701.07999999999"/>
  </r>
  <r>
    <s v="Europe"/>
    <x v="35"/>
    <x v="7"/>
    <s v="Offline"/>
    <x v="1"/>
    <d v="2012-09-06T00:00:00"/>
    <s v="597105491"/>
    <d v="2012-10-20T00:00:00"/>
    <n v="44"/>
    <n v="5639"/>
    <n v="152.58000000000001"/>
    <n v="97.44"/>
    <n v="55.140000000000015"/>
    <n v="860398.62"/>
    <n v="549464.16"/>
    <n v="310934.46000000002"/>
  </r>
  <r>
    <s v="Europe"/>
    <x v="39"/>
    <x v="4"/>
    <s v="Offline"/>
    <x v="2"/>
    <d v="2016-03-04T00:00:00"/>
    <s v="716054379"/>
    <d v="2016-03-26T00:00:00"/>
    <n v="22"/>
    <n v="5258"/>
    <n v="9.33"/>
    <n v="6.92"/>
    <n v="2.41"/>
    <n v="49057.14"/>
    <n v="36385.360000000001"/>
    <n v="12671.78"/>
  </r>
  <r>
    <s v="Europe"/>
    <x v="2"/>
    <x v="3"/>
    <s v="Offline"/>
    <x v="0"/>
    <d v="2015-03-21T00:00:00"/>
    <s v="511712110"/>
    <d v="2015-05-07T00:00:00"/>
    <n v="47"/>
    <n v="5839"/>
    <n v="651.21"/>
    <n v="524.96"/>
    <n v="126.25"/>
    <n v="3802415.19"/>
    <n v="3065241.44"/>
    <n v="737173.75"/>
  </r>
  <r>
    <s v="Europe"/>
    <x v="8"/>
    <x v="8"/>
    <s v="Offline"/>
    <x v="0"/>
    <d v="2014-09-07T00:00:00"/>
    <s v="481308305"/>
    <d v="2014-10-16T00:00:00"/>
    <n v="39"/>
    <n v="8678"/>
    <n v="255.28"/>
    <n v="159.41999999999999"/>
    <n v="95.860000000000014"/>
    <n v="2215319.84"/>
    <n v="1383446.76"/>
    <n v="831873.08"/>
  </r>
  <r>
    <s v="Europe"/>
    <x v="39"/>
    <x v="9"/>
    <s v="Online"/>
    <x v="0"/>
    <d v="2014-05-22T00:00:00"/>
    <s v="266638886"/>
    <d v="2014-06-19T00:00:00"/>
    <n v="28"/>
    <n v="3227"/>
    <n v="668.27"/>
    <n v="502.54"/>
    <n v="165.72999999999996"/>
    <n v="2156507.29"/>
    <n v="1621696.58"/>
    <n v="534810.71"/>
  </r>
  <r>
    <s v="Europe"/>
    <x v="31"/>
    <x v="6"/>
    <s v="Online"/>
    <x v="3"/>
    <d v="2012-09-17T00:00:00"/>
    <s v="638314521"/>
    <d v="2012-10-15T00:00:00"/>
    <n v="28"/>
    <n v="306"/>
    <n v="421.89"/>
    <n v="364.69"/>
    <n v="57.199999999999989"/>
    <n v="129098.34"/>
    <n v="111595.14"/>
    <n v="17503.2"/>
  </r>
  <r>
    <s v="Europe"/>
    <x v="7"/>
    <x v="10"/>
    <s v="Online"/>
    <x v="1"/>
    <d v="2015-04-15T00:00:00"/>
    <s v="811977040"/>
    <d v="2015-05-28T00:00:00"/>
    <n v="43"/>
    <n v="905"/>
    <n v="437.2"/>
    <n v="263.33"/>
    <n v="173.87"/>
    <n v="395666"/>
    <n v="238313.65"/>
    <n v="157352.35"/>
  </r>
  <r>
    <s v="Europe"/>
    <x v="11"/>
    <x v="6"/>
    <s v="Online"/>
    <x v="1"/>
    <d v="2010-10-09T00:00:00"/>
    <s v="344160735"/>
    <d v="2010-11-20T00:00:00"/>
    <n v="42"/>
    <n v="3664"/>
    <n v="421.89"/>
    <n v="364.69"/>
    <n v="57.199999999999989"/>
    <n v="1545804.96"/>
    <n v="1336224.1599999999"/>
    <n v="209580.79999999999"/>
  </r>
  <r>
    <s v="Europe"/>
    <x v="12"/>
    <x v="9"/>
    <s v="Online"/>
    <x v="3"/>
    <d v="2017-04-03T00:00:00"/>
    <s v="549058330"/>
    <d v="2017-05-11T00:00:00"/>
    <n v="38"/>
    <n v="7416"/>
    <n v="668.27"/>
    <n v="502.54"/>
    <n v="165.72999999999996"/>
    <n v="4955890.32"/>
    <n v="3726836.64"/>
    <n v="1229053.68"/>
  </r>
  <r>
    <s v="Europe"/>
    <x v="36"/>
    <x v="6"/>
    <s v="Online"/>
    <x v="3"/>
    <d v="2013-11-12T00:00:00"/>
    <s v="969199979"/>
    <d v="2013-12-07T00:00:00"/>
    <n v="25"/>
    <n v="6666"/>
    <n v="421.89"/>
    <n v="364.69"/>
    <n v="57.199999999999989"/>
    <n v="2812318.74"/>
    <n v="2431023.54"/>
    <n v="381295.2"/>
  </r>
  <r>
    <s v="Europe"/>
    <x v="33"/>
    <x v="8"/>
    <s v="Offline"/>
    <x v="2"/>
    <d v="2011-05-22T00:00:00"/>
    <s v="956594026"/>
    <d v="2011-06-17T00:00:00"/>
    <n v="26"/>
    <n v="6285"/>
    <n v="255.28"/>
    <n v="159.41999999999999"/>
    <n v="95.860000000000014"/>
    <n v="1604434.8"/>
    <n v="1001954.7"/>
    <n v="602480.1"/>
  </r>
  <r>
    <s v="Europe"/>
    <x v="13"/>
    <x v="0"/>
    <s v="Online"/>
    <x v="3"/>
    <d v="2015-03-24T00:00:00"/>
    <s v="712595832"/>
    <d v="2015-03-28T00:00:00"/>
    <n v="4"/>
    <n v="1797"/>
    <n v="47.45"/>
    <n v="31.79"/>
    <n v="15.660000000000004"/>
    <n v="85267.65"/>
    <n v="57126.63"/>
    <n v="28141.02"/>
  </r>
  <r>
    <s v="Europe"/>
    <x v="37"/>
    <x v="8"/>
    <s v="Offline"/>
    <x v="0"/>
    <d v="2010-06-26T00:00:00"/>
    <s v="748357188"/>
    <d v="2010-07-20T00:00:00"/>
    <n v="24"/>
    <n v="4377"/>
    <n v="255.28"/>
    <n v="159.41999999999999"/>
    <n v="95.860000000000014"/>
    <n v="1117360.56"/>
    <n v="697781.34"/>
    <n v="419579.22"/>
  </r>
  <r>
    <s v="Europe"/>
    <x v="4"/>
    <x v="4"/>
    <s v="Offline"/>
    <x v="2"/>
    <d v="2013-02-25T00:00:00"/>
    <s v="898211562"/>
    <d v="2013-03-12T00:00:00"/>
    <n v="15"/>
    <n v="9616"/>
    <n v="9.33"/>
    <n v="6.92"/>
    <n v="2.41"/>
    <n v="89717.28"/>
    <n v="66542.720000000001"/>
    <n v="23174.560000000001"/>
  </r>
  <r>
    <s v="Europe"/>
    <x v="45"/>
    <x v="3"/>
    <s v="Offline"/>
    <x v="0"/>
    <d v="2014-06-15T00:00:00"/>
    <s v="729373586"/>
    <d v="2014-07-05T00:00:00"/>
    <n v="20"/>
    <n v="6707"/>
    <n v="651.21"/>
    <n v="524.96"/>
    <n v="126.25"/>
    <n v="4367665.47"/>
    <n v="3520906.72"/>
    <n v="846758.75"/>
  </r>
  <r>
    <s v="Europe"/>
    <x v="24"/>
    <x v="4"/>
    <s v="Offline"/>
    <x v="1"/>
    <d v="2011-12-20T00:00:00"/>
    <s v="991761863"/>
    <d v="2011-12-24T00:00:00"/>
    <n v="4"/>
    <n v="3229"/>
    <n v="9.33"/>
    <n v="6.92"/>
    <n v="2.41"/>
    <n v="30126.57"/>
    <n v="22344.68"/>
    <n v="7781.89"/>
  </r>
  <r>
    <s v="Europe"/>
    <x v="14"/>
    <x v="11"/>
    <s v="Offline"/>
    <x v="0"/>
    <d v="2011-10-29T00:00:00"/>
    <s v="160751283"/>
    <d v="2011-11-13T00:00:00"/>
    <n v="15"/>
    <n v="8732"/>
    <n v="81.73"/>
    <n v="56.67"/>
    <n v="25.060000000000002"/>
    <n v="713666.36"/>
    <n v="494842.44"/>
    <n v="218823.92"/>
  </r>
  <r>
    <s v="Europe"/>
    <x v="35"/>
    <x v="9"/>
    <s v="Online"/>
    <x v="3"/>
    <d v="2017-02-22T00:00:00"/>
    <s v="241392648"/>
    <d v="2017-03-16T00:00:00"/>
    <n v="22"/>
    <n v="2304"/>
    <n v="668.27"/>
    <n v="502.54"/>
    <n v="165.72999999999996"/>
    <n v="1539694.08"/>
    <n v="1157852.1599999999"/>
    <n v="381841.91999999998"/>
  </r>
  <r>
    <s v="Europe"/>
    <x v="21"/>
    <x v="6"/>
    <s v="Online"/>
    <x v="3"/>
    <d v="2015-03-24T00:00:00"/>
    <s v="901789844"/>
    <d v="2015-05-05T00:00:00"/>
    <n v="42"/>
    <n v="8509"/>
    <n v="421.89"/>
    <n v="364.69"/>
    <n v="57.199999999999989"/>
    <n v="3589862.01"/>
    <n v="3103147.21"/>
    <n v="486714.8"/>
  </r>
  <r>
    <s v="Europe"/>
    <x v="16"/>
    <x v="3"/>
    <s v="Online"/>
    <x v="1"/>
    <d v="2016-11-21T00:00:00"/>
    <s v="410229337"/>
    <d v="2016-12-22T00:00:00"/>
    <n v="31"/>
    <n v="4832"/>
    <n v="651.21"/>
    <n v="524.96"/>
    <n v="126.25"/>
    <n v="3146646.72"/>
    <n v="2536606.7200000002"/>
    <n v="610040"/>
  </r>
  <r>
    <s v="Europe"/>
    <x v="7"/>
    <x v="0"/>
    <s v="Online"/>
    <x v="2"/>
    <d v="2017-04-04T00:00:00"/>
    <s v="837906920"/>
    <d v="2017-05-16T00:00:00"/>
    <n v="42"/>
    <n v="4133"/>
    <n v="47.45"/>
    <n v="31.79"/>
    <n v="15.660000000000004"/>
    <n v="196110.85"/>
    <n v="131388.07"/>
    <n v="64722.78"/>
  </r>
  <r>
    <s v="Europe"/>
    <x v="42"/>
    <x v="9"/>
    <s v="Online"/>
    <x v="0"/>
    <d v="2016-01-30T00:00:00"/>
    <s v="704361665"/>
    <d v="2016-03-01T00:00:00"/>
    <n v="31"/>
    <n v="5124"/>
    <n v="668.27"/>
    <n v="502.54"/>
    <n v="165.72999999999996"/>
    <n v="3424215.48"/>
    <n v="2575014.96"/>
    <n v="849200.52"/>
  </r>
  <r>
    <s v="Europe"/>
    <x v="2"/>
    <x v="7"/>
    <s v="Offline"/>
    <x v="1"/>
    <d v="2013-07-11T00:00:00"/>
    <s v="400267398"/>
    <d v="2013-07-20T00:00:00"/>
    <n v="9"/>
    <n v="6873"/>
    <n v="152.58000000000001"/>
    <n v="97.44"/>
    <n v="55.140000000000015"/>
    <n v="1048682.3400000001"/>
    <n v="669705.12"/>
    <n v="378977.22"/>
  </r>
  <r>
    <s v="Europe"/>
    <x v="32"/>
    <x v="6"/>
    <s v="Online"/>
    <x v="0"/>
    <d v="2014-05-19T00:00:00"/>
    <s v="531281936"/>
    <d v="2014-06-03T00:00:00"/>
    <n v="15"/>
    <n v="6986"/>
    <n v="421.89"/>
    <n v="364.69"/>
    <n v="57.199999999999989"/>
    <n v="2947323.54"/>
    <n v="2547724.34"/>
    <n v="399599.2"/>
  </r>
  <r>
    <s v="Europe"/>
    <x v="36"/>
    <x v="10"/>
    <s v="Online"/>
    <x v="0"/>
    <d v="2017-06-20T00:00:00"/>
    <s v="900808799"/>
    <d v="2017-06-28T00:00:00"/>
    <n v="8"/>
    <n v="8196"/>
    <n v="437.2"/>
    <n v="263.33"/>
    <n v="173.87"/>
    <n v="3583291.2"/>
    <n v="2158252.6800000002"/>
    <n v="1425038.52"/>
  </r>
  <r>
    <s v="Europe"/>
    <x v="0"/>
    <x v="6"/>
    <s v="Online"/>
    <x v="3"/>
    <d v="2015-01-22T00:00:00"/>
    <s v="756395232"/>
    <d v="2015-03-13T00:00:00"/>
    <n v="50"/>
    <n v="3013"/>
    <n v="421.89"/>
    <n v="364.69"/>
    <n v="57.199999999999989"/>
    <n v="1271154.57"/>
    <n v="1098810.97"/>
    <n v="172343.6"/>
  </r>
  <r>
    <s v="Europe"/>
    <x v="45"/>
    <x v="1"/>
    <s v="Online"/>
    <x v="0"/>
    <d v="2012-10-02T00:00:00"/>
    <s v="261187350"/>
    <d v="2012-10-03T00:00:00"/>
    <n v="1"/>
    <n v="9996"/>
    <n v="109.28"/>
    <n v="35.840000000000003"/>
    <n v="73.44"/>
    <n v="1092362.8799999999"/>
    <n v="358256.64000000001"/>
    <n v="734106.24"/>
  </r>
  <r>
    <s v="Europe"/>
    <x v="20"/>
    <x v="1"/>
    <s v="Offline"/>
    <x v="2"/>
    <d v="2014-05-16T00:00:00"/>
    <s v="188866841"/>
    <d v="2014-05-20T00:00:00"/>
    <n v="4"/>
    <n v="8750"/>
    <n v="109.28"/>
    <n v="35.840000000000003"/>
    <n v="73.44"/>
    <n v="956200"/>
    <n v="313600"/>
    <n v="642600"/>
  </r>
  <r>
    <s v="Europe"/>
    <x v="22"/>
    <x v="9"/>
    <s v="Online"/>
    <x v="0"/>
    <d v="2012-06-18T00:00:00"/>
    <s v="709071195"/>
    <d v="2012-08-02T00:00:00"/>
    <n v="45"/>
    <n v="8778"/>
    <n v="668.27"/>
    <n v="502.54"/>
    <n v="165.72999999999996"/>
    <n v="5866074.0599999996"/>
    <n v="4411296.12"/>
    <n v="1454777.94"/>
  </r>
  <r>
    <s v="Europe"/>
    <x v="44"/>
    <x v="2"/>
    <s v="Online"/>
    <x v="2"/>
    <d v="2012-12-15T00:00:00"/>
    <s v="674060428"/>
    <d v="2012-12-17T00:00:00"/>
    <n v="2"/>
    <n v="8315"/>
    <n v="205.7"/>
    <n v="117.11"/>
    <n v="88.589999999999989"/>
    <n v="1710395.5"/>
    <n v="973769.65"/>
    <n v="736625.85"/>
  </r>
  <r>
    <s v="Europe"/>
    <x v="10"/>
    <x v="10"/>
    <s v="Offline"/>
    <x v="0"/>
    <d v="2016-10-27T00:00:00"/>
    <s v="284595954"/>
    <d v="2016-10-29T00:00:00"/>
    <n v="2"/>
    <n v="7122"/>
    <n v="437.2"/>
    <n v="263.33"/>
    <n v="173.87"/>
    <n v="3113738.4"/>
    <n v="1875436.26"/>
    <n v="1238302.1399999999"/>
  </r>
  <r>
    <s v="Europe"/>
    <x v="40"/>
    <x v="8"/>
    <s v="Offline"/>
    <x v="0"/>
    <d v="2016-05-06T00:00:00"/>
    <s v="580314862"/>
    <d v="2016-05-12T00:00:00"/>
    <n v="6"/>
    <n v="6918"/>
    <n v="255.28"/>
    <n v="159.41999999999999"/>
    <n v="95.860000000000014"/>
    <n v="1766027.04"/>
    <n v="1102867.56"/>
    <n v="663159.48"/>
  </r>
  <r>
    <s v="Europe"/>
    <x v="6"/>
    <x v="7"/>
    <s v="Online"/>
    <x v="2"/>
    <d v="2013-02-21T00:00:00"/>
    <s v="437604176"/>
    <d v="2013-04-07T00:00:00"/>
    <n v="45"/>
    <n v="5655"/>
    <n v="152.58000000000001"/>
    <n v="97.44"/>
    <n v="55.140000000000015"/>
    <n v="862839.9"/>
    <n v="551023.19999999995"/>
    <n v="311816.7"/>
  </r>
  <r>
    <s v="Europe"/>
    <x v="37"/>
    <x v="0"/>
    <s v="Offline"/>
    <x v="3"/>
    <d v="2014-12-05T00:00:00"/>
    <s v="994978797"/>
    <d v="2015-01-02T00:00:00"/>
    <n v="28"/>
    <n v="5192"/>
    <n v="47.45"/>
    <n v="31.79"/>
    <n v="15.660000000000004"/>
    <n v="246360.4"/>
    <n v="165053.68"/>
    <n v="81306.720000000001"/>
  </r>
  <r>
    <s v="Europe"/>
    <x v="36"/>
    <x v="0"/>
    <s v="Offline"/>
    <x v="3"/>
    <d v="2017-04-30T00:00:00"/>
    <s v="317006051"/>
    <d v="2017-06-05T00:00:00"/>
    <n v="36"/>
    <n v="7990"/>
    <n v="47.45"/>
    <n v="31.79"/>
    <n v="15.660000000000004"/>
    <n v="379125.5"/>
    <n v="254002.1"/>
    <n v="125123.4"/>
  </r>
  <r>
    <s v="Europe"/>
    <x v="5"/>
    <x v="11"/>
    <s v="Online"/>
    <x v="3"/>
    <d v="2012-04-19T00:00:00"/>
    <s v="933642041"/>
    <d v="2012-05-19T00:00:00"/>
    <n v="30"/>
    <n v="4282"/>
    <n v="81.73"/>
    <n v="56.67"/>
    <n v="25.060000000000002"/>
    <n v="349967.86"/>
    <n v="242660.94"/>
    <n v="107306.92"/>
  </r>
  <r>
    <s v="Europe"/>
    <x v="37"/>
    <x v="3"/>
    <s v="Offline"/>
    <x v="1"/>
    <d v="2016-06-09T00:00:00"/>
    <s v="764592492"/>
    <d v="2016-07-19T00:00:00"/>
    <n v="40"/>
    <n v="8764"/>
    <n v="651.21"/>
    <n v="524.96"/>
    <n v="126.25"/>
    <n v="5707204.4400000004"/>
    <n v="4600749.4400000004"/>
    <n v="1106455"/>
  </r>
  <r>
    <s v="Europe"/>
    <x v="28"/>
    <x v="1"/>
    <s v="Offline"/>
    <x v="0"/>
    <d v="2013-06-25T00:00:00"/>
    <s v="931559789"/>
    <d v="2013-07-05T00:00:00"/>
    <n v="10"/>
    <n v="8098"/>
    <n v="109.28"/>
    <n v="35.840000000000003"/>
    <n v="73.44"/>
    <n v="884949.44"/>
    <n v="290232.32000000001"/>
    <n v="594717.12"/>
  </r>
  <r>
    <s v="Europe"/>
    <x v="38"/>
    <x v="0"/>
    <s v="Offline"/>
    <x v="2"/>
    <d v="2015-11-26T00:00:00"/>
    <s v="682314765"/>
    <d v="2015-12-20T00:00:00"/>
    <n v="24"/>
    <n v="956"/>
    <n v="47.45"/>
    <n v="31.79"/>
    <n v="15.660000000000004"/>
    <n v="45362.2"/>
    <n v="30391.24"/>
    <n v="14970.96"/>
  </r>
  <r>
    <s v="Europe"/>
    <x v="33"/>
    <x v="7"/>
    <s v="Online"/>
    <x v="0"/>
    <d v="2016-11-11T00:00:00"/>
    <s v="485165965"/>
    <d v="2016-12-14T00:00:00"/>
    <n v="33"/>
    <n v="245"/>
    <n v="152.58000000000001"/>
    <n v="97.44"/>
    <n v="55.140000000000015"/>
    <n v="37382.1"/>
    <n v="23872.799999999999"/>
    <n v="13509.3"/>
  </r>
  <r>
    <s v="Europe"/>
    <x v="11"/>
    <x v="0"/>
    <s v="Online"/>
    <x v="0"/>
    <d v="2010-03-04T00:00:00"/>
    <s v="601422345"/>
    <d v="2010-03-20T00:00:00"/>
    <n v="16"/>
    <n v="3092"/>
    <n v="47.45"/>
    <n v="31.79"/>
    <n v="15.660000000000004"/>
    <n v="146715.4"/>
    <n v="98294.68"/>
    <n v="48420.72"/>
  </r>
  <r>
    <s v="Europe"/>
    <x v="30"/>
    <x v="9"/>
    <s v="Offline"/>
    <x v="1"/>
    <d v="2012-03-31T00:00:00"/>
    <s v="999879729"/>
    <d v="2012-05-06T00:00:00"/>
    <n v="36"/>
    <n v="5486"/>
    <n v="668.27"/>
    <n v="502.54"/>
    <n v="165.72999999999996"/>
    <n v="3666129.22"/>
    <n v="2756934.44"/>
    <n v="909194.78"/>
  </r>
  <r>
    <s v="Europe"/>
    <x v="14"/>
    <x v="10"/>
    <s v="Offline"/>
    <x v="3"/>
    <d v="2012-03-05T00:00:00"/>
    <s v="246603858"/>
    <d v="2012-04-15T00:00:00"/>
    <n v="41"/>
    <n v="4417"/>
    <n v="437.2"/>
    <n v="263.33"/>
    <n v="173.87"/>
    <n v="1931112.4"/>
    <n v="1163128.6100000001"/>
    <n v="767983.79"/>
  </r>
  <r>
    <s v="Europe"/>
    <x v="42"/>
    <x v="0"/>
    <s v="Online"/>
    <x v="2"/>
    <d v="2013-10-23T00:00:00"/>
    <s v="291531503"/>
    <d v="2013-10-26T00:00:00"/>
    <n v="3"/>
    <n v="9505"/>
    <n v="47.45"/>
    <n v="31.79"/>
    <n v="15.660000000000004"/>
    <n v="451012.25"/>
    <n v="302163.95"/>
    <n v="148848.29999999999"/>
  </r>
  <r>
    <s v="Europe"/>
    <x v="27"/>
    <x v="2"/>
    <s v="Offline"/>
    <x v="3"/>
    <d v="2017-07-18T00:00:00"/>
    <s v="483655774"/>
    <d v="2017-08-05T00:00:00"/>
    <n v="18"/>
    <n v="3346"/>
    <n v="205.7"/>
    <n v="117.11"/>
    <n v="88.589999999999989"/>
    <n v="688272.2"/>
    <n v="391850.06"/>
    <n v="296422.14"/>
  </r>
  <r>
    <s v="Europe"/>
    <x v="25"/>
    <x v="11"/>
    <s v="Online"/>
    <x v="0"/>
    <d v="2010-12-10T00:00:00"/>
    <s v="840747058"/>
    <d v="2010-12-26T00:00:00"/>
    <n v="16"/>
    <n v="4593"/>
    <n v="81.73"/>
    <n v="56.67"/>
    <n v="25.060000000000002"/>
    <n v="375385.89"/>
    <n v="260285.31"/>
    <n v="115100.58"/>
  </r>
  <r>
    <s v="Europe"/>
    <x v="1"/>
    <x v="10"/>
    <s v="Offline"/>
    <x v="3"/>
    <d v="2012-02-12T00:00:00"/>
    <s v="205354487"/>
    <d v="2012-02-20T00:00:00"/>
    <n v="8"/>
    <n v="7811"/>
    <n v="437.2"/>
    <n v="263.33"/>
    <n v="173.87"/>
    <n v="3414969.2"/>
    <n v="2056870.63"/>
    <n v="1358098.57"/>
  </r>
  <r>
    <s v="Europe"/>
    <x v="8"/>
    <x v="2"/>
    <s v="Online"/>
    <x v="3"/>
    <d v="2011-07-16T00:00:00"/>
    <s v="280192410"/>
    <d v="2011-08-28T00:00:00"/>
    <n v="43"/>
    <n v="4016"/>
    <n v="205.7"/>
    <n v="117.11"/>
    <n v="88.589999999999989"/>
    <n v="826091.2"/>
    <n v="470313.76"/>
    <n v="355777.44"/>
  </r>
  <r>
    <s v="Europe"/>
    <x v="38"/>
    <x v="5"/>
    <s v="Offline"/>
    <x v="0"/>
    <d v="2011-03-14T00:00:00"/>
    <s v="465753209"/>
    <d v="2011-03-14T00:00:00"/>
    <n v="0"/>
    <n v="5579"/>
    <n v="154.06"/>
    <n v="90.93"/>
    <n v="63.129999999999995"/>
    <n v="859500.74"/>
    <n v="507298.47"/>
    <n v="352202.27"/>
  </r>
  <r>
    <s v="Europe"/>
    <x v="34"/>
    <x v="11"/>
    <s v="Online"/>
    <x v="0"/>
    <d v="2011-04-26T00:00:00"/>
    <s v="587846076"/>
    <d v="2011-05-24T00:00:00"/>
    <n v="28"/>
    <n v="5572"/>
    <n v="81.73"/>
    <n v="56.67"/>
    <n v="25.060000000000002"/>
    <n v="455399.56"/>
    <n v="315765.24"/>
    <n v="139634.32"/>
  </r>
  <r>
    <s v="Europe"/>
    <x v="25"/>
    <x v="2"/>
    <s v="Offline"/>
    <x v="3"/>
    <d v="2011-09-10T00:00:00"/>
    <s v="580342328"/>
    <d v="2011-10-14T00:00:00"/>
    <n v="34"/>
    <n v="5046"/>
    <n v="205.7"/>
    <n v="117.11"/>
    <n v="88.589999999999989"/>
    <n v="1037962.2"/>
    <n v="590937.06000000006"/>
    <n v="447025.14"/>
  </r>
  <r>
    <s v="Europe"/>
    <x v="7"/>
    <x v="6"/>
    <s v="Online"/>
    <x v="0"/>
    <d v="2012-04-21T00:00:00"/>
    <s v="877084767"/>
    <d v="2012-06-09T00:00:00"/>
    <n v="49"/>
    <n v="7728"/>
    <n v="421.89"/>
    <n v="364.69"/>
    <n v="57.199999999999989"/>
    <n v="3260365.92"/>
    <n v="2818324.32"/>
    <n v="442041.59999999998"/>
  </r>
  <r>
    <s v="Europe"/>
    <x v="24"/>
    <x v="1"/>
    <s v="Online"/>
    <x v="0"/>
    <d v="2012-04-29T00:00:00"/>
    <s v="709105527"/>
    <d v="2012-05-01T00:00:00"/>
    <n v="2"/>
    <n v="8938"/>
    <n v="109.28"/>
    <n v="35.840000000000003"/>
    <n v="73.44"/>
    <n v="976744.64"/>
    <n v="320337.91999999998"/>
    <n v="656406.72"/>
  </r>
  <r>
    <s v="Europe"/>
    <x v="10"/>
    <x v="6"/>
    <s v="Online"/>
    <x v="3"/>
    <d v="2016-05-23T00:00:00"/>
    <s v="614321839"/>
    <d v="2016-07-05T00:00:00"/>
    <n v="43"/>
    <n v="339"/>
    <n v="421.89"/>
    <n v="364.69"/>
    <n v="57.199999999999989"/>
    <n v="143020.71"/>
    <n v="123629.91"/>
    <n v="19390.8"/>
  </r>
  <r>
    <s v="Europe"/>
    <x v="13"/>
    <x v="10"/>
    <s v="Online"/>
    <x v="2"/>
    <d v="2011-01-18T00:00:00"/>
    <s v="329529607"/>
    <d v="2011-01-23T00:00:00"/>
    <n v="5"/>
    <n v="3988"/>
    <n v="437.2"/>
    <n v="263.33"/>
    <n v="173.87"/>
    <n v="1743553.6"/>
    <n v="1050160.04"/>
    <n v="693393.56"/>
  </r>
  <r>
    <s v="Europe"/>
    <x v="45"/>
    <x v="4"/>
    <s v="Online"/>
    <x v="2"/>
    <d v="2010-05-30T00:00:00"/>
    <s v="223869454"/>
    <d v="2010-06-27T00:00:00"/>
    <n v="28"/>
    <n v="6801"/>
    <n v="9.33"/>
    <n v="6.92"/>
    <n v="2.41"/>
    <n v="63453.33"/>
    <n v="47062.92"/>
    <n v="16390.41"/>
  </r>
  <r>
    <s v="Europe"/>
    <x v="0"/>
    <x v="3"/>
    <s v="Offline"/>
    <x v="3"/>
    <d v="2012-05-11T00:00:00"/>
    <s v="189108455"/>
    <d v="2012-06-30T00:00:00"/>
    <n v="50"/>
    <n v="249"/>
    <n v="651.21"/>
    <n v="524.96"/>
    <n v="126.25"/>
    <n v="162151.29"/>
    <n v="130715.04"/>
    <n v="31436.25"/>
  </r>
  <r>
    <s v="Europe"/>
    <x v="34"/>
    <x v="4"/>
    <s v="Offline"/>
    <x v="2"/>
    <d v="2015-01-14T00:00:00"/>
    <s v="452471768"/>
    <d v="2015-02-10T00:00:00"/>
    <n v="27"/>
    <n v="5306"/>
    <n v="9.33"/>
    <n v="6.92"/>
    <n v="2.41"/>
    <n v="49504.98"/>
    <n v="36717.519999999997"/>
    <n v="12787.46"/>
  </r>
  <r>
    <s v="Europe"/>
    <x v="38"/>
    <x v="2"/>
    <s v="Offline"/>
    <x v="1"/>
    <d v="2016-04-30T00:00:00"/>
    <s v="174218118"/>
    <d v="2016-06-13T00:00:00"/>
    <n v="44"/>
    <n v="3867"/>
    <n v="205.7"/>
    <n v="117.11"/>
    <n v="88.589999999999989"/>
    <n v="795441.9"/>
    <n v="452864.37"/>
    <n v="342577.53"/>
  </r>
  <r>
    <s v="Europe"/>
    <x v="38"/>
    <x v="6"/>
    <s v="Online"/>
    <x v="3"/>
    <d v="2017-05-28T00:00:00"/>
    <s v="820437371"/>
    <d v="2017-06-11T00:00:00"/>
    <n v="14"/>
    <n v="4505"/>
    <n v="421.89"/>
    <n v="364.69"/>
    <n v="57.199999999999989"/>
    <n v="1900614.45"/>
    <n v="1642928.45"/>
    <n v="257686"/>
  </r>
  <r>
    <s v="Europe"/>
    <x v="20"/>
    <x v="11"/>
    <s v="Offline"/>
    <x v="2"/>
    <d v="2012-02-06T00:00:00"/>
    <s v="410291135"/>
    <d v="2012-02-22T00:00:00"/>
    <n v="16"/>
    <n v="3119"/>
    <n v="81.73"/>
    <n v="56.67"/>
    <n v="25.060000000000002"/>
    <n v="254915.87"/>
    <n v="176753.73"/>
    <n v="78162.14"/>
  </r>
  <r>
    <s v="Europe"/>
    <x v="39"/>
    <x v="8"/>
    <s v="Offline"/>
    <x v="0"/>
    <d v="2017-06-24T00:00:00"/>
    <s v="174614226"/>
    <d v="2017-08-13T00:00:00"/>
    <n v="50"/>
    <n v="1085"/>
    <n v="255.28"/>
    <n v="159.41999999999999"/>
    <n v="95.860000000000014"/>
    <n v="276978.8"/>
    <n v="172970.7"/>
    <n v="104008.1"/>
  </r>
  <r>
    <s v="Europe"/>
    <x v="43"/>
    <x v="7"/>
    <s v="Offline"/>
    <x v="2"/>
    <d v="2011-06-02T00:00:00"/>
    <s v="118859469"/>
    <d v="2011-07-01T00:00:00"/>
    <n v="29"/>
    <n v="2013"/>
    <n v="152.58000000000001"/>
    <n v="97.44"/>
    <n v="55.140000000000015"/>
    <n v="307143.53999999998"/>
    <n v="196146.72"/>
    <n v="110996.82"/>
  </r>
  <r>
    <s v="Europe"/>
    <x v="44"/>
    <x v="10"/>
    <s v="Offline"/>
    <x v="3"/>
    <d v="2015-07-30T00:00:00"/>
    <s v="669550883"/>
    <d v="2015-09-16T00:00:00"/>
    <n v="48"/>
    <n v="3840"/>
    <n v="437.2"/>
    <n v="263.33"/>
    <n v="173.87"/>
    <n v="1678848"/>
    <n v="1011187.2"/>
    <n v="667660.80000000005"/>
  </r>
  <r>
    <s v="Europe"/>
    <x v="19"/>
    <x v="11"/>
    <s v="Online"/>
    <x v="1"/>
    <d v="2012-06-17T00:00:00"/>
    <s v="439114367"/>
    <d v="2012-06-26T00:00:00"/>
    <n v="9"/>
    <n v="2554"/>
    <n v="81.73"/>
    <n v="56.67"/>
    <n v="25.060000000000002"/>
    <n v="208738.42"/>
    <n v="144735.18"/>
    <n v="64003.24"/>
  </r>
  <r>
    <s v="Europe"/>
    <x v="31"/>
    <x v="9"/>
    <s v="Online"/>
    <x v="1"/>
    <d v="2011-01-31T00:00:00"/>
    <s v="582563626"/>
    <d v="2011-02-19T00:00:00"/>
    <n v="19"/>
    <n v="2378"/>
    <n v="668.27"/>
    <n v="502.54"/>
    <n v="165.72999999999996"/>
    <n v="1589146.06"/>
    <n v="1195040.1200000001"/>
    <n v="394105.94"/>
  </r>
  <r>
    <s v="Europe"/>
    <x v="14"/>
    <x v="7"/>
    <s v="Online"/>
    <x v="1"/>
    <d v="2013-02-08T00:00:00"/>
    <s v="943274819"/>
    <d v="2013-03-08T00:00:00"/>
    <n v="28"/>
    <n v="4836"/>
    <n v="152.58000000000001"/>
    <n v="97.44"/>
    <n v="55.140000000000015"/>
    <n v="737876.88"/>
    <n v="471219.84"/>
    <n v="266657.03999999998"/>
  </r>
  <r>
    <s v="Europe"/>
    <x v="28"/>
    <x v="3"/>
    <s v="Online"/>
    <x v="3"/>
    <d v="2010-12-05T00:00:00"/>
    <s v="313821303"/>
    <d v="2011-01-17T00:00:00"/>
    <n v="43"/>
    <n v="5552"/>
    <n v="651.21"/>
    <n v="524.96"/>
    <n v="126.25"/>
    <n v="3615517.92"/>
    <n v="2914577.92"/>
    <n v="700940"/>
  </r>
  <r>
    <s v="Europe"/>
    <x v="42"/>
    <x v="0"/>
    <s v="Online"/>
    <x v="1"/>
    <d v="2015-09-02T00:00:00"/>
    <s v="431753098"/>
    <d v="2015-10-19T00:00:00"/>
    <n v="47"/>
    <n v="4191"/>
    <n v="47.45"/>
    <n v="31.79"/>
    <n v="15.660000000000004"/>
    <n v="198862.95"/>
    <n v="133231.89000000001"/>
    <n v="65631.06"/>
  </r>
  <r>
    <s v="Europe"/>
    <x v="1"/>
    <x v="9"/>
    <s v="Online"/>
    <x v="0"/>
    <d v="2011-12-28T00:00:00"/>
    <s v="969289243"/>
    <d v="2012-02-02T00:00:00"/>
    <n v="36"/>
    <n v="3082"/>
    <n v="668.27"/>
    <n v="502.54"/>
    <n v="165.72999999999996"/>
    <n v="2059608.14"/>
    <n v="1548828.28"/>
    <n v="510779.86"/>
  </r>
  <r>
    <s v="Europe"/>
    <x v="24"/>
    <x v="7"/>
    <s v="Offline"/>
    <x v="1"/>
    <d v="2011-07-17T00:00:00"/>
    <s v="861982858"/>
    <d v="2011-09-04T00:00:00"/>
    <n v="49"/>
    <n v="8738"/>
    <n v="152.58000000000001"/>
    <n v="97.44"/>
    <n v="55.140000000000015"/>
    <n v="1333244.04"/>
    <n v="851430.72"/>
    <n v="481813.32"/>
  </r>
  <r>
    <s v="Europe"/>
    <x v="37"/>
    <x v="6"/>
    <s v="Online"/>
    <x v="1"/>
    <d v="2016-02-21T00:00:00"/>
    <s v="290317428"/>
    <d v="2016-04-02T00:00:00"/>
    <n v="41"/>
    <n v="233"/>
    <n v="421.89"/>
    <n v="364.69"/>
    <n v="57.199999999999989"/>
    <n v="98300.37"/>
    <n v="84972.77"/>
    <n v="13327.6"/>
  </r>
  <r>
    <s v="Europe"/>
    <x v="20"/>
    <x v="1"/>
    <s v="Offline"/>
    <x v="0"/>
    <d v="2016-06-02T00:00:00"/>
    <s v="105030000"/>
    <d v="2016-06-13T00:00:00"/>
    <n v="11"/>
    <n v="9566"/>
    <n v="109.28"/>
    <n v="35.840000000000003"/>
    <n v="73.44"/>
    <n v="1045372.48"/>
    <n v="342845.44"/>
    <n v="702527.04"/>
  </r>
  <r>
    <s v="Europe"/>
    <x v="9"/>
    <x v="0"/>
    <s v="Online"/>
    <x v="3"/>
    <d v="2015-08-31T00:00:00"/>
    <s v="960213077"/>
    <d v="2015-10-16T00:00:00"/>
    <n v="46"/>
    <n v="7242"/>
    <n v="47.45"/>
    <n v="31.79"/>
    <n v="15.660000000000004"/>
    <n v="343632.9"/>
    <n v="230223.18"/>
    <n v="113409.72"/>
  </r>
  <r>
    <s v="Europe"/>
    <x v="28"/>
    <x v="10"/>
    <s v="Offline"/>
    <x v="2"/>
    <d v="2014-05-27T00:00:00"/>
    <s v="743619334"/>
    <d v="2014-07-09T00:00:00"/>
    <n v="43"/>
    <n v="2341"/>
    <n v="437.2"/>
    <n v="263.33"/>
    <n v="173.87"/>
    <n v="1023485.2"/>
    <n v="616455.53"/>
    <n v="407029.67"/>
  </r>
  <r>
    <s v="Europe"/>
    <x v="45"/>
    <x v="3"/>
    <s v="Offline"/>
    <x v="3"/>
    <d v="2016-12-15T00:00:00"/>
    <s v="263977277"/>
    <d v="2017-01-10T00:00:00"/>
    <n v="26"/>
    <n v="5597"/>
    <n v="651.21"/>
    <n v="524.96"/>
    <n v="126.25"/>
    <n v="3644822.37"/>
    <n v="2938201.12"/>
    <n v="706621.25"/>
  </r>
  <r>
    <s v="Europe"/>
    <x v="5"/>
    <x v="3"/>
    <s v="Offline"/>
    <x v="3"/>
    <d v="2011-04-23T00:00:00"/>
    <s v="819152915"/>
    <d v="2011-04-24T00:00:00"/>
    <n v="1"/>
    <n v="4406"/>
    <n v="651.21"/>
    <n v="524.96"/>
    <n v="126.25"/>
    <n v="2869231.26"/>
    <n v="2312973.7599999998"/>
    <n v="556257.5"/>
  </r>
  <r>
    <s v="Europe"/>
    <x v="32"/>
    <x v="11"/>
    <s v="Offline"/>
    <x v="0"/>
    <d v="2015-08-13T00:00:00"/>
    <s v="980598723"/>
    <d v="2015-09-24T00:00:00"/>
    <n v="42"/>
    <n v="9808"/>
    <n v="81.73"/>
    <n v="56.67"/>
    <n v="25.060000000000002"/>
    <n v="801607.84"/>
    <n v="555819.36"/>
    <n v="245788.48"/>
  </r>
  <r>
    <s v="Europe"/>
    <x v="39"/>
    <x v="1"/>
    <s v="Offline"/>
    <x v="2"/>
    <d v="2011-05-18T00:00:00"/>
    <s v="974147260"/>
    <d v="2011-06-08T00:00:00"/>
    <n v="21"/>
    <n v="677"/>
    <n v="109.28"/>
    <n v="35.840000000000003"/>
    <n v="73.44"/>
    <n v="73982.559999999998"/>
    <n v="24263.68"/>
    <n v="49718.879999999997"/>
  </r>
  <r>
    <s v="Europe"/>
    <x v="8"/>
    <x v="3"/>
    <s v="Online"/>
    <x v="3"/>
    <d v="2011-12-21T00:00:00"/>
    <s v="719404351"/>
    <d v="2012-01-10T00:00:00"/>
    <n v="20"/>
    <n v="6589"/>
    <n v="651.21"/>
    <n v="524.96"/>
    <n v="126.25"/>
    <n v="4290822.6900000004"/>
    <n v="3458961.44"/>
    <n v="831861.25"/>
  </r>
  <r>
    <s v="Europe"/>
    <x v="47"/>
    <x v="11"/>
    <s v="Offline"/>
    <x v="2"/>
    <d v="2015-07-24T00:00:00"/>
    <s v="643770778"/>
    <d v="2015-07-31T00:00:00"/>
    <n v="7"/>
    <n v="4934"/>
    <n v="81.73"/>
    <n v="56.67"/>
    <n v="25.060000000000002"/>
    <n v="403255.82"/>
    <n v="279609.78000000003"/>
    <n v="123646.04"/>
  </r>
  <r>
    <s v="Europe"/>
    <x v="25"/>
    <x v="6"/>
    <s v="Offline"/>
    <x v="0"/>
    <d v="2016-10-01T00:00:00"/>
    <s v="645309722"/>
    <d v="2016-11-06T00:00:00"/>
    <n v="36"/>
    <n v="342"/>
    <n v="421.89"/>
    <n v="364.69"/>
    <n v="57.199999999999989"/>
    <n v="144286.38"/>
    <n v="124723.98"/>
    <n v="19562.400000000001"/>
  </r>
  <r>
    <s v="Europe"/>
    <x v="21"/>
    <x v="2"/>
    <s v="Offline"/>
    <x v="1"/>
    <d v="2013-07-20T00:00:00"/>
    <s v="469144809"/>
    <d v="2013-08-24T00:00:00"/>
    <n v="35"/>
    <n v="9229"/>
    <n v="205.7"/>
    <n v="117.11"/>
    <n v="88.589999999999989"/>
    <n v="1898405.3"/>
    <n v="1080808.19"/>
    <n v="817597.11"/>
  </r>
  <r>
    <s v="Europe"/>
    <x v="24"/>
    <x v="10"/>
    <s v="Online"/>
    <x v="2"/>
    <d v="2011-07-20T00:00:00"/>
    <s v="821916663"/>
    <d v="2011-08-26T00:00:00"/>
    <n v="37"/>
    <n v="2260"/>
    <n v="437.2"/>
    <n v="263.33"/>
    <n v="173.87"/>
    <n v="988072"/>
    <n v="595125.80000000005"/>
    <n v="392946.2"/>
  </r>
  <r>
    <s v="Europe"/>
    <x v="2"/>
    <x v="9"/>
    <s v="Offline"/>
    <x v="1"/>
    <d v="2010-08-27T00:00:00"/>
    <s v="835265910"/>
    <d v="2010-10-01T00:00:00"/>
    <n v="35"/>
    <n v="2599"/>
    <n v="668.27"/>
    <n v="502.54"/>
    <n v="165.72999999999996"/>
    <n v="1736833.73"/>
    <n v="1306101.46"/>
    <n v="430732.27"/>
  </r>
  <r>
    <s v="Europe"/>
    <x v="36"/>
    <x v="9"/>
    <s v="Online"/>
    <x v="2"/>
    <d v="2013-09-26T00:00:00"/>
    <s v="195259082"/>
    <d v="2013-10-11T00:00:00"/>
    <n v="15"/>
    <n v="356"/>
    <n v="668.27"/>
    <n v="502.54"/>
    <n v="165.72999999999996"/>
    <n v="237904.12"/>
    <n v="178904.24"/>
    <n v="58999.88"/>
  </r>
  <r>
    <s v="Europe"/>
    <x v="22"/>
    <x v="1"/>
    <s v="Online"/>
    <x v="0"/>
    <d v="2012-05-17T00:00:00"/>
    <s v="593158566"/>
    <d v="2012-06-25T00:00:00"/>
    <n v="39"/>
    <n v="7656"/>
    <n v="109.28"/>
    <n v="35.840000000000003"/>
    <n v="73.44"/>
    <n v="836647.68"/>
    <n v="274391.03999999998"/>
    <n v="562256.64000000001"/>
  </r>
  <r>
    <s v="Europe"/>
    <x v="15"/>
    <x v="5"/>
    <s v="Offline"/>
    <x v="0"/>
    <d v="2014-03-22T00:00:00"/>
    <s v="717833220"/>
    <d v="2014-04-03T00:00:00"/>
    <n v="12"/>
    <n v="1657"/>
    <n v="154.06"/>
    <n v="90.93"/>
    <n v="63.129999999999995"/>
    <n v="255277.42"/>
    <n v="150671.01"/>
    <n v="104606.41"/>
  </r>
  <r>
    <s v="Europe"/>
    <x v="9"/>
    <x v="5"/>
    <s v="Online"/>
    <x v="3"/>
    <d v="2013-05-26T00:00:00"/>
    <s v="682066285"/>
    <d v="2013-07-13T00:00:00"/>
    <n v="48"/>
    <n v="7426"/>
    <n v="154.06"/>
    <n v="90.93"/>
    <n v="63.129999999999995"/>
    <n v="1144049.56"/>
    <n v="675246.18"/>
    <n v="468803.38"/>
  </r>
  <r>
    <s v="Europe"/>
    <x v="36"/>
    <x v="2"/>
    <s v="Online"/>
    <x v="3"/>
    <d v="2013-01-24T00:00:00"/>
    <s v="412215459"/>
    <d v="2013-01-31T00:00:00"/>
    <n v="7"/>
    <n v="2569"/>
    <n v="205.7"/>
    <n v="117.11"/>
    <n v="88.589999999999989"/>
    <n v="528443.30000000005"/>
    <n v="300855.59000000003"/>
    <n v="227587.71"/>
  </r>
  <r>
    <s v="Europe"/>
    <x v="1"/>
    <x v="3"/>
    <s v="Offline"/>
    <x v="0"/>
    <d v="2010-05-02T00:00:00"/>
    <s v="152746713"/>
    <d v="2010-05-08T00:00:00"/>
    <n v="6"/>
    <n v="2"/>
    <n v="651.21"/>
    <n v="524.96"/>
    <n v="126.25"/>
    <n v="1302.42"/>
    <n v="1049.92"/>
    <n v="252.5"/>
  </r>
  <r>
    <s v="Europe"/>
    <x v="37"/>
    <x v="2"/>
    <s v="Online"/>
    <x v="1"/>
    <d v="2013-01-06T00:00:00"/>
    <s v="715309798"/>
    <d v="2013-02-10T00:00:00"/>
    <n v="35"/>
    <n v="4920"/>
    <n v="205.7"/>
    <n v="117.11"/>
    <n v="88.589999999999989"/>
    <n v="1012044"/>
    <n v="576181.19999999995"/>
    <n v="435862.8"/>
  </r>
  <r>
    <s v="Europe"/>
    <x v="44"/>
    <x v="4"/>
    <s v="Online"/>
    <x v="2"/>
    <d v="2010-08-01T00:00:00"/>
    <s v="466517961"/>
    <d v="2010-09-07T00:00:00"/>
    <n v="37"/>
    <n v="1886"/>
    <n v="9.33"/>
    <n v="6.92"/>
    <n v="2.41"/>
    <n v="17596.38"/>
    <n v="13051.12"/>
    <n v="4545.26"/>
  </r>
  <r>
    <s v="Europe"/>
    <x v="14"/>
    <x v="6"/>
    <s v="Offline"/>
    <x v="0"/>
    <d v="2011-07-24T00:00:00"/>
    <s v="825065791"/>
    <d v="2011-08-28T00:00:00"/>
    <n v="35"/>
    <n v="4157"/>
    <n v="421.89"/>
    <n v="364.69"/>
    <n v="57.199999999999989"/>
    <n v="1753796.73"/>
    <n v="1516016.33"/>
    <n v="237780.4"/>
  </r>
  <r>
    <s v="Europe"/>
    <x v="40"/>
    <x v="3"/>
    <s v="Online"/>
    <x v="2"/>
    <d v="2015-02-18T00:00:00"/>
    <s v="384976232"/>
    <d v="2015-04-03T00:00:00"/>
    <n v="44"/>
    <n v="1877"/>
    <n v="651.21"/>
    <n v="524.96"/>
    <n v="126.25"/>
    <n v="1222321.17"/>
    <n v="985349.92"/>
    <n v="236971.25"/>
  </r>
  <r>
    <s v="Europe"/>
    <x v="28"/>
    <x v="3"/>
    <s v="Offline"/>
    <x v="0"/>
    <d v="2015-09-18T00:00:00"/>
    <s v="467924726"/>
    <d v="2015-10-20T00:00:00"/>
    <n v="32"/>
    <n v="8179"/>
    <n v="651.21"/>
    <n v="524.96"/>
    <n v="126.25"/>
    <n v="5326246.59"/>
    <n v="4293647.84"/>
    <n v="1032598.75"/>
  </r>
  <r>
    <s v="Europe"/>
    <x v="36"/>
    <x v="2"/>
    <s v="Offline"/>
    <x v="2"/>
    <d v="2011-10-23T00:00:00"/>
    <s v="280477797"/>
    <d v="2011-10-24T00:00:00"/>
    <n v="1"/>
    <n v="8468"/>
    <n v="205.7"/>
    <n v="117.11"/>
    <n v="88.589999999999989"/>
    <n v="1741867.6"/>
    <n v="991687.48"/>
    <n v="750180.12"/>
  </r>
  <r>
    <s v="Europe"/>
    <x v="3"/>
    <x v="4"/>
    <s v="Online"/>
    <x v="2"/>
    <d v="2016-03-12T00:00:00"/>
    <s v="774698626"/>
    <d v="2016-04-07T00:00:00"/>
    <n v="26"/>
    <n v="9394"/>
    <n v="9.33"/>
    <n v="6.92"/>
    <n v="2.41"/>
    <n v="87646.02"/>
    <n v="65006.48"/>
    <n v="22639.54"/>
  </r>
  <r>
    <s v="Europe"/>
    <x v="20"/>
    <x v="2"/>
    <s v="Online"/>
    <x v="1"/>
    <d v="2012-02-21T00:00:00"/>
    <s v="652501904"/>
    <d v="2012-03-25T00:00:00"/>
    <n v="33"/>
    <n v="8668"/>
    <n v="205.7"/>
    <n v="117.11"/>
    <n v="88.589999999999989"/>
    <n v="1783007.6"/>
    <n v="1015109.48"/>
    <n v="767898.12"/>
  </r>
  <r>
    <s v="Europe"/>
    <x v="3"/>
    <x v="9"/>
    <s v="Online"/>
    <x v="1"/>
    <d v="2017-05-31T00:00:00"/>
    <s v="688903129"/>
    <d v="2017-07-02T00:00:00"/>
    <n v="32"/>
    <n v="600"/>
    <n v="668.27"/>
    <n v="502.54"/>
    <n v="165.72999999999996"/>
    <n v="400962"/>
    <n v="301524"/>
    <n v="99438"/>
  </r>
  <r>
    <s v="Europe"/>
    <x v="8"/>
    <x v="11"/>
    <s v="Online"/>
    <x v="1"/>
    <d v="2014-07-25T00:00:00"/>
    <s v="195171105"/>
    <d v="2014-09-04T00:00:00"/>
    <n v="41"/>
    <n v="4322"/>
    <n v="81.73"/>
    <n v="56.67"/>
    <n v="25.060000000000002"/>
    <n v="353237.06"/>
    <n v="244927.74"/>
    <n v="108309.32"/>
  </r>
  <r>
    <s v="Europe"/>
    <x v="43"/>
    <x v="9"/>
    <s v="Offline"/>
    <x v="0"/>
    <d v="2011-02-13T00:00:00"/>
    <s v="128766906"/>
    <d v="2011-03-28T00:00:00"/>
    <n v="43"/>
    <n v="3844"/>
    <n v="668.27"/>
    <n v="502.54"/>
    <n v="165.72999999999996"/>
    <n v="2568829.88"/>
    <n v="1931763.76"/>
    <n v="637066.12"/>
  </r>
  <r>
    <s v="Europe"/>
    <x v="10"/>
    <x v="5"/>
    <s v="Offline"/>
    <x v="2"/>
    <d v="2016-06-27T00:00:00"/>
    <s v="361725556"/>
    <d v="2016-07-18T00:00:00"/>
    <n v="21"/>
    <n v="1485"/>
    <n v="154.06"/>
    <n v="90.93"/>
    <n v="63.129999999999995"/>
    <n v="228779.1"/>
    <n v="135031.04999999999"/>
    <n v="93748.05"/>
  </r>
  <r>
    <s v="Europe"/>
    <x v="25"/>
    <x v="11"/>
    <s v="Online"/>
    <x v="0"/>
    <d v="2016-12-06T00:00:00"/>
    <s v="789760196"/>
    <d v="2017-01-02T00:00:00"/>
    <n v="27"/>
    <n v="6447"/>
    <n v="81.73"/>
    <n v="56.67"/>
    <n v="25.060000000000002"/>
    <n v="526913.31000000006"/>
    <n v="365351.49"/>
    <n v="161561.82"/>
  </r>
  <r>
    <s v="Europe"/>
    <x v="42"/>
    <x v="10"/>
    <s v="Online"/>
    <x v="0"/>
    <d v="2013-11-01T00:00:00"/>
    <s v="327072703"/>
    <d v="2013-11-16T00:00:00"/>
    <n v="15"/>
    <n v="6936"/>
    <n v="437.2"/>
    <n v="263.33"/>
    <n v="173.87"/>
    <n v="3032419.2"/>
    <n v="1826456.88"/>
    <n v="1205962.32"/>
  </r>
  <r>
    <s v="Europe"/>
    <x v="7"/>
    <x v="5"/>
    <s v="Online"/>
    <x v="3"/>
    <d v="2013-09-18T00:00:00"/>
    <s v="130356919"/>
    <d v="2013-10-01T00:00:00"/>
    <n v="13"/>
    <n v="4364"/>
    <n v="154.06"/>
    <n v="90.93"/>
    <n v="63.129999999999995"/>
    <n v="672317.84"/>
    <n v="396818.52"/>
    <n v="275499.32"/>
  </r>
  <r>
    <s v="Europe"/>
    <x v="16"/>
    <x v="2"/>
    <s v="Offline"/>
    <x v="3"/>
    <d v="2013-02-05T00:00:00"/>
    <s v="636360585"/>
    <d v="2013-03-08T00:00:00"/>
    <n v="31"/>
    <n v="2093"/>
    <n v="205.7"/>
    <n v="117.11"/>
    <n v="88.589999999999989"/>
    <n v="430530.1"/>
    <n v="245111.23"/>
    <n v="185418.87"/>
  </r>
  <r>
    <s v="Europe"/>
    <x v="44"/>
    <x v="0"/>
    <s v="Online"/>
    <x v="1"/>
    <d v="2012-07-24T00:00:00"/>
    <s v="123938930"/>
    <d v="2012-08-02T00:00:00"/>
    <n v="9"/>
    <n v="5138"/>
    <n v="47.45"/>
    <n v="31.79"/>
    <n v="15.660000000000004"/>
    <n v="243798.1"/>
    <n v="163337.01999999999"/>
    <n v="80461.08"/>
  </r>
  <r>
    <s v="Europe"/>
    <x v="27"/>
    <x v="3"/>
    <s v="Offline"/>
    <x v="0"/>
    <d v="2014-07-26T00:00:00"/>
    <s v="770821654"/>
    <d v="2014-08-19T00:00:00"/>
    <n v="24"/>
    <n v="2112"/>
    <n v="651.21"/>
    <n v="524.96"/>
    <n v="126.25"/>
    <n v="1375355.52"/>
    <n v="1108715.52"/>
    <n v="266640"/>
  </r>
  <r>
    <s v="Europe"/>
    <x v="19"/>
    <x v="10"/>
    <s v="Online"/>
    <x v="1"/>
    <d v="2012-12-14T00:00:00"/>
    <s v="692952191"/>
    <d v="2013-01-04T00:00:00"/>
    <n v="21"/>
    <n v="8807"/>
    <n v="437.2"/>
    <n v="263.33"/>
    <n v="173.87"/>
    <n v="3850420.4"/>
    <n v="2319147.31"/>
    <n v="1531273.09"/>
  </r>
  <r>
    <s v="Europe"/>
    <x v="13"/>
    <x v="0"/>
    <s v="Offline"/>
    <x v="2"/>
    <d v="2013-09-07T00:00:00"/>
    <s v="947507131"/>
    <d v="2013-10-20T00:00:00"/>
    <n v="43"/>
    <n v="7271"/>
    <n v="47.45"/>
    <n v="31.79"/>
    <n v="15.660000000000004"/>
    <n v="345008.95"/>
    <n v="231145.09"/>
    <n v="113863.86"/>
  </r>
  <r>
    <s v="Europe"/>
    <x v="45"/>
    <x v="11"/>
    <s v="Offline"/>
    <x v="2"/>
    <d v="2016-01-21T00:00:00"/>
    <s v="396462953"/>
    <d v="2016-02-26T00:00:00"/>
    <n v="36"/>
    <n v="1053"/>
    <n v="81.73"/>
    <n v="56.67"/>
    <n v="25.060000000000002"/>
    <n v="86061.69"/>
    <n v="59673.51"/>
    <n v="26388.18"/>
  </r>
  <r>
    <s v="Europe"/>
    <x v="12"/>
    <x v="0"/>
    <s v="Offline"/>
    <x v="1"/>
    <d v="2011-08-30T00:00:00"/>
    <s v="162791907"/>
    <d v="2011-10-19T00:00:00"/>
    <n v="50"/>
    <n v="2598"/>
    <n v="47.45"/>
    <n v="31.79"/>
    <n v="15.660000000000004"/>
    <n v="123275.1"/>
    <n v="82590.42"/>
    <n v="40684.68"/>
  </r>
  <r>
    <s v="Europe"/>
    <x v="6"/>
    <x v="10"/>
    <s v="Online"/>
    <x v="1"/>
    <d v="2017-01-26T00:00:00"/>
    <s v="835341870"/>
    <d v="2017-02-24T00:00:00"/>
    <n v="29"/>
    <n v="5077"/>
    <n v="437.2"/>
    <n v="263.33"/>
    <n v="173.87"/>
    <n v="2219664.4"/>
    <n v="1336926.4099999999"/>
    <n v="882737.99"/>
  </r>
  <r>
    <s v="Europe"/>
    <x v="24"/>
    <x v="9"/>
    <s v="Offline"/>
    <x v="0"/>
    <d v="2013-04-29T00:00:00"/>
    <s v="149274003"/>
    <d v="2013-05-29T00:00:00"/>
    <n v="30"/>
    <n v="2350"/>
    <n v="668.27"/>
    <n v="502.54"/>
    <n v="165.72999999999996"/>
    <n v="1570434.5"/>
    <n v="1180969"/>
    <n v="389465.5"/>
  </r>
  <r>
    <s v="Europe"/>
    <x v="4"/>
    <x v="10"/>
    <s v="Offline"/>
    <x v="0"/>
    <d v="2017-01-04T00:00:00"/>
    <s v="311956632"/>
    <d v="2017-01-10T00:00:00"/>
    <n v="6"/>
    <n v="3755"/>
    <n v="437.2"/>
    <n v="263.33"/>
    <n v="173.87"/>
    <n v="1641686"/>
    <n v="988804.15"/>
    <n v="652881.85"/>
  </r>
  <r>
    <s v="Europe"/>
    <x v="13"/>
    <x v="8"/>
    <s v="Offline"/>
    <x v="2"/>
    <d v="2014-05-05T00:00:00"/>
    <s v="920688903"/>
    <d v="2014-06-12T00:00:00"/>
    <n v="38"/>
    <n v="1161"/>
    <n v="255.28"/>
    <n v="159.41999999999999"/>
    <n v="95.860000000000014"/>
    <n v="296380.08"/>
    <n v="185086.62"/>
    <n v="111293.46"/>
  </r>
  <r>
    <s v="Europe"/>
    <x v="10"/>
    <x v="11"/>
    <s v="Online"/>
    <x v="2"/>
    <d v="2010-09-25T00:00:00"/>
    <s v="434485948"/>
    <d v="2010-11-03T00:00:00"/>
    <n v="39"/>
    <n v="2902"/>
    <n v="81.73"/>
    <n v="56.67"/>
    <n v="25.060000000000002"/>
    <n v="237180.46"/>
    <n v="164456.34"/>
    <n v="72724.12"/>
  </r>
  <r>
    <s v="Europe"/>
    <x v="4"/>
    <x v="8"/>
    <s v="Offline"/>
    <x v="3"/>
    <d v="2014-05-22T00:00:00"/>
    <s v="316466176"/>
    <d v="2014-06-02T00:00:00"/>
    <n v="11"/>
    <n v="8229"/>
    <n v="255.28"/>
    <n v="159.41999999999999"/>
    <n v="95.860000000000014"/>
    <n v="2100699.12"/>
    <n v="1311867.18"/>
    <n v="788831.94"/>
  </r>
  <r>
    <s v="Europe"/>
    <x v="27"/>
    <x v="9"/>
    <s v="Online"/>
    <x v="1"/>
    <d v="2014-07-18T00:00:00"/>
    <s v="101025998"/>
    <d v="2014-08-11T00:00:00"/>
    <n v="24"/>
    <n v="4693"/>
    <n v="668.27"/>
    <n v="502.54"/>
    <n v="165.72999999999996"/>
    <n v="3136191.11"/>
    <n v="2358420.2200000002"/>
    <n v="777770.89"/>
  </r>
  <r>
    <s v="Europe"/>
    <x v="6"/>
    <x v="11"/>
    <s v="Offline"/>
    <x v="3"/>
    <d v="2015-09-25T00:00:00"/>
    <s v="547625386"/>
    <d v="2015-09-29T00:00:00"/>
    <n v="4"/>
    <n v="3376"/>
    <n v="81.73"/>
    <n v="56.67"/>
    <n v="25.060000000000002"/>
    <n v="275920.48"/>
    <n v="191317.92"/>
    <n v="84602.559999999998"/>
  </r>
  <r>
    <s v="Europe"/>
    <x v="5"/>
    <x v="4"/>
    <s v="Online"/>
    <x v="3"/>
    <d v="2016-01-31T00:00:00"/>
    <s v="394456660"/>
    <d v="2016-02-09T00:00:00"/>
    <n v="9"/>
    <n v="7346"/>
    <n v="9.33"/>
    <n v="6.92"/>
    <n v="2.41"/>
    <n v="68538.179999999993"/>
    <n v="50834.32"/>
    <n v="17703.86"/>
  </r>
  <r>
    <s v="Europe"/>
    <x v="27"/>
    <x v="8"/>
    <s v="Online"/>
    <x v="1"/>
    <d v="2014-01-01T00:00:00"/>
    <s v="104548490"/>
    <d v="2014-01-05T00:00:00"/>
    <n v="4"/>
    <n v="7076"/>
    <n v="255.28"/>
    <n v="159.41999999999999"/>
    <n v="95.860000000000014"/>
    <n v="1806361.28"/>
    <n v="1128055.92"/>
    <n v="678305.36"/>
  </r>
  <r>
    <s v="Europe"/>
    <x v="36"/>
    <x v="2"/>
    <s v="Online"/>
    <x v="1"/>
    <d v="2010-01-10T00:00:00"/>
    <s v="687374913"/>
    <d v="2010-02-26T00:00:00"/>
    <n v="47"/>
    <n v="8367"/>
    <n v="205.7"/>
    <n v="117.11"/>
    <n v="88.589999999999989"/>
    <n v="1721091.9"/>
    <n v="979859.37"/>
    <n v="741232.53"/>
  </r>
  <r>
    <s v="Europe"/>
    <x v="36"/>
    <x v="5"/>
    <s v="Online"/>
    <x v="1"/>
    <d v="2012-10-04T00:00:00"/>
    <s v="921693980"/>
    <d v="2012-11-04T00:00:00"/>
    <n v="31"/>
    <n v="8586"/>
    <n v="154.06"/>
    <n v="90.93"/>
    <n v="63.129999999999995"/>
    <n v="1322759.1599999999"/>
    <n v="780724.98"/>
    <n v="542034.18000000005"/>
  </r>
  <r>
    <s v="Europe"/>
    <x v="5"/>
    <x v="9"/>
    <s v="Online"/>
    <x v="2"/>
    <d v="2012-08-29T00:00:00"/>
    <s v="829356467"/>
    <d v="2012-09-16T00:00:00"/>
    <n v="18"/>
    <n v="3864"/>
    <n v="668.27"/>
    <n v="502.54"/>
    <n v="165.72999999999996"/>
    <n v="2582195.2799999998"/>
    <n v="1941814.56"/>
    <n v="640380.72"/>
  </r>
  <r>
    <s v="Europe"/>
    <x v="0"/>
    <x v="2"/>
    <s v="Offline"/>
    <x v="0"/>
    <d v="2015-05-20T00:00:00"/>
    <s v="322524106"/>
    <d v="2015-05-20T00:00:00"/>
    <n v="0"/>
    <n v="905"/>
    <n v="205.7"/>
    <n v="117.11"/>
    <n v="88.589999999999989"/>
    <n v="186158.5"/>
    <n v="105984.55"/>
    <n v="80173.95"/>
  </r>
  <r>
    <s v="Europe"/>
    <x v="16"/>
    <x v="2"/>
    <s v="Offline"/>
    <x v="1"/>
    <d v="2014-09-14T00:00:00"/>
    <s v="897638213"/>
    <d v="2014-10-08T00:00:00"/>
    <n v="24"/>
    <n v="9950"/>
    <n v="205.7"/>
    <n v="117.11"/>
    <n v="88.589999999999989"/>
    <n v="2046715"/>
    <n v="1165244.5"/>
    <n v="881470.5"/>
  </r>
  <r>
    <s v="Europe"/>
    <x v="37"/>
    <x v="8"/>
    <s v="Offline"/>
    <x v="2"/>
    <d v="2017-03-23T00:00:00"/>
    <s v="480652987"/>
    <d v="2017-04-05T00:00:00"/>
    <n v="13"/>
    <n v="4755"/>
    <n v="255.28"/>
    <n v="159.41999999999999"/>
    <n v="95.860000000000014"/>
    <n v="1213856.3999999999"/>
    <n v="758042.1"/>
    <n v="455814.3"/>
  </r>
  <r>
    <s v="Europe"/>
    <x v="32"/>
    <x v="3"/>
    <s v="Online"/>
    <x v="0"/>
    <d v="2010-06-20T00:00:00"/>
    <s v="340213811"/>
    <d v="2010-07-26T00:00:00"/>
    <n v="36"/>
    <n v="5682"/>
    <n v="651.21"/>
    <n v="524.96"/>
    <n v="126.25"/>
    <n v="3700175.22"/>
    <n v="2982822.72"/>
    <n v="717352.5"/>
  </r>
  <r>
    <s v="Europe"/>
    <x v="40"/>
    <x v="8"/>
    <s v="Online"/>
    <x v="3"/>
    <d v="2013-03-20T00:00:00"/>
    <s v="826936471"/>
    <d v="2013-03-30T00:00:00"/>
    <n v="10"/>
    <n v="7733"/>
    <n v="255.28"/>
    <n v="159.41999999999999"/>
    <n v="95.860000000000014"/>
    <n v="1974080.24"/>
    <n v="1232794.8600000001"/>
    <n v="741285.38"/>
  </r>
  <r>
    <s v="Europe"/>
    <x v="24"/>
    <x v="10"/>
    <s v="Online"/>
    <x v="3"/>
    <d v="2015-05-14T00:00:00"/>
    <s v="477633464"/>
    <d v="2015-06-07T00:00:00"/>
    <n v="24"/>
    <n v="1211"/>
    <n v="437.2"/>
    <n v="263.33"/>
    <n v="173.87"/>
    <n v="529449.19999999995"/>
    <n v="318892.63"/>
    <n v="210556.57"/>
  </r>
  <r>
    <s v="Europe"/>
    <x v="14"/>
    <x v="6"/>
    <s v="Online"/>
    <x v="2"/>
    <d v="2014-11-25T00:00:00"/>
    <s v="849431836"/>
    <d v="2014-11-28T00:00:00"/>
    <n v="3"/>
    <n v="4611"/>
    <n v="421.89"/>
    <n v="364.69"/>
    <n v="57.199999999999989"/>
    <n v="1945334.79"/>
    <n v="1681585.59"/>
    <n v="263749.2"/>
  </r>
  <r>
    <s v="Europe"/>
    <x v="19"/>
    <x v="8"/>
    <s v="Online"/>
    <x v="3"/>
    <d v="2012-07-08T00:00:00"/>
    <s v="844307315"/>
    <d v="2012-07-29T00:00:00"/>
    <n v="21"/>
    <n v="8152"/>
    <n v="255.28"/>
    <n v="159.41999999999999"/>
    <n v="95.860000000000014"/>
    <n v="2081042.56"/>
    <n v="1299591.8400000001"/>
    <n v="781450.72"/>
  </r>
  <r>
    <s v="Europe"/>
    <x v="8"/>
    <x v="7"/>
    <s v="Online"/>
    <x v="3"/>
    <d v="2017-06-20T00:00:00"/>
    <s v="414579665"/>
    <d v="2017-07-10T00:00:00"/>
    <n v="20"/>
    <n v="2191"/>
    <n v="152.58000000000001"/>
    <n v="97.44"/>
    <n v="55.140000000000015"/>
    <n v="334302.78000000003"/>
    <n v="213491.04"/>
    <n v="120811.74"/>
  </r>
  <r>
    <s v="Europe"/>
    <x v="7"/>
    <x v="2"/>
    <s v="Offline"/>
    <x v="1"/>
    <d v="2015-10-18T00:00:00"/>
    <s v="569864976"/>
    <d v="2015-11-30T00:00:00"/>
    <n v="43"/>
    <n v="4565"/>
    <n v="205.7"/>
    <n v="117.11"/>
    <n v="88.589999999999989"/>
    <n v="939020.5"/>
    <n v="534607.15"/>
    <n v="404413.35"/>
  </r>
  <r>
    <s v="Europe"/>
    <x v="19"/>
    <x v="1"/>
    <s v="Online"/>
    <x v="2"/>
    <d v="2017-02-26T00:00:00"/>
    <s v="783116900"/>
    <d v="2017-03-14T00:00:00"/>
    <n v="16"/>
    <n v="548"/>
    <n v="109.28"/>
    <n v="35.840000000000003"/>
    <n v="73.44"/>
    <n v="59885.440000000002"/>
    <n v="19640.32"/>
    <n v="40245.120000000003"/>
  </r>
  <r>
    <s v="Europe"/>
    <x v="39"/>
    <x v="10"/>
    <s v="Online"/>
    <x v="2"/>
    <d v="2016-02-26T00:00:00"/>
    <s v="727821767"/>
    <d v="2016-03-16T00:00:00"/>
    <n v="19"/>
    <n v="7489"/>
    <n v="437.2"/>
    <n v="263.33"/>
    <n v="173.87"/>
    <n v="3274190.8"/>
    <n v="1972078.37"/>
    <n v="1302112.43"/>
  </r>
  <r>
    <s v="Europe"/>
    <x v="47"/>
    <x v="6"/>
    <s v="Offline"/>
    <x v="0"/>
    <d v="2012-03-15T00:00:00"/>
    <s v="631172120"/>
    <d v="2012-04-20T00:00:00"/>
    <n v="36"/>
    <n v="6711"/>
    <n v="421.89"/>
    <n v="364.69"/>
    <n v="57.199999999999989"/>
    <n v="2831303.79"/>
    <n v="2447434.59"/>
    <n v="383869.2"/>
  </r>
  <r>
    <s v="Europe"/>
    <x v="10"/>
    <x v="3"/>
    <s v="Offline"/>
    <x v="1"/>
    <d v="2016-05-11T00:00:00"/>
    <s v="859914767"/>
    <d v="2016-06-18T00:00:00"/>
    <n v="38"/>
    <n v="6744"/>
    <n v="651.21"/>
    <n v="524.96"/>
    <n v="126.25"/>
    <n v="4391760.24"/>
    <n v="3540330.24"/>
    <n v="851430"/>
  </r>
  <r>
    <s v="Europe"/>
    <x v="39"/>
    <x v="7"/>
    <s v="Online"/>
    <x v="2"/>
    <d v="2011-02-04T00:00:00"/>
    <s v="575479590"/>
    <d v="2011-03-22T00:00:00"/>
    <n v="46"/>
    <n v="6054"/>
    <n v="152.58000000000001"/>
    <n v="97.44"/>
    <n v="55.140000000000015"/>
    <n v="923719.32"/>
    <n v="589901.76"/>
    <n v="333817.56"/>
  </r>
  <r>
    <s v="Europe"/>
    <x v="33"/>
    <x v="7"/>
    <s v="Offline"/>
    <x v="1"/>
    <d v="2017-02-19T00:00:00"/>
    <s v="352342545"/>
    <d v="2017-03-27T00:00:00"/>
    <n v="36"/>
    <n v="4844"/>
    <n v="152.58000000000001"/>
    <n v="97.44"/>
    <n v="55.140000000000015"/>
    <n v="739097.52"/>
    <n v="471999.36"/>
    <n v="267098.15999999997"/>
  </r>
  <r>
    <s v="Europe"/>
    <x v="20"/>
    <x v="2"/>
    <s v="Online"/>
    <x v="3"/>
    <d v="2012-07-22T00:00:00"/>
    <s v="972419059"/>
    <d v="2012-08-17T00:00:00"/>
    <n v="26"/>
    <n v="9264"/>
    <n v="205.7"/>
    <n v="117.11"/>
    <n v="88.589999999999989"/>
    <n v="1905604.8"/>
    <n v="1084907.04"/>
    <n v="820697.76"/>
  </r>
  <r>
    <s v="Europe"/>
    <x v="33"/>
    <x v="6"/>
    <s v="Offline"/>
    <x v="1"/>
    <d v="2014-05-20T00:00:00"/>
    <s v="217165648"/>
    <d v="2014-06-08T00:00:00"/>
    <n v="19"/>
    <n v="2996"/>
    <n v="421.89"/>
    <n v="364.69"/>
    <n v="57.199999999999989"/>
    <n v="1263982.44"/>
    <n v="1092611.24"/>
    <n v="171371.2"/>
  </r>
  <r>
    <s v="Europe"/>
    <x v="26"/>
    <x v="8"/>
    <s v="Online"/>
    <x v="2"/>
    <d v="2016-09-06T00:00:00"/>
    <s v="764837539"/>
    <d v="2016-09-06T00:00:00"/>
    <n v="0"/>
    <n v="1279"/>
    <n v="255.28"/>
    <n v="159.41999999999999"/>
    <n v="95.860000000000014"/>
    <n v="326503.12"/>
    <n v="203898.18"/>
    <n v="122604.94"/>
  </r>
  <r>
    <s v="Europe"/>
    <x v="14"/>
    <x v="4"/>
    <s v="Offline"/>
    <x v="3"/>
    <d v="2017-03-19T00:00:00"/>
    <s v="870218312"/>
    <d v="2017-03-27T00:00:00"/>
    <n v="8"/>
    <n v="5792"/>
    <n v="9.33"/>
    <n v="6.92"/>
    <n v="2.41"/>
    <n v="54039.360000000001"/>
    <n v="40080.639999999999"/>
    <n v="13958.72"/>
  </r>
  <r>
    <s v="Europe"/>
    <x v="33"/>
    <x v="3"/>
    <s v="Online"/>
    <x v="2"/>
    <d v="2017-07-02T00:00:00"/>
    <s v="513802516"/>
    <d v="2017-08-07T00:00:00"/>
    <n v="36"/>
    <n v="4437"/>
    <n v="651.21"/>
    <n v="524.96"/>
    <n v="126.25"/>
    <n v="2889418.77"/>
    <n v="2329247.52"/>
    <n v="560171.25"/>
  </r>
  <r>
    <s v="Europe"/>
    <x v="42"/>
    <x v="0"/>
    <s v="Online"/>
    <x v="1"/>
    <d v="2017-05-31T00:00:00"/>
    <s v="638957822"/>
    <d v="2017-06-24T00:00:00"/>
    <n v="24"/>
    <n v="673"/>
    <n v="47.45"/>
    <n v="31.79"/>
    <n v="15.660000000000004"/>
    <n v="31933.85"/>
    <n v="21394.67"/>
    <n v="10539.18"/>
  </r>
  <r>
    <s v="Europe"/>
    <x v="3"/>
    <x v="8"/>
    <s v="Online"/>
    <x v="3"/>
    <d v="2014-12-19T00:00:00"/>
    <s v="944247710"/>
    <d v="2015-01-31T00:00:00"/>
    <n v="43"/>
    <n v="2736"/>
    <n v="255.28"/>
    <n v="159.41999999999999"/>
    <n v="95.860000000000014"/>
    <n v="698446.08"/>
    <n v="436173.12"/>
    <n v="262272.96000000002"/>
  </r>
  <r>
    <s v="Europe"/>
    <x v="11"/>
    <x v="8"/>
    <s v="Offline"/>
    <x v="3"/>
    <d v="2013-03-16T00:00:00"/>
    <s v="694771802"/>
    <d v="2013-03-21T00:00:00"/>
    <n v="5"/>
    <n v="7270"/>
    <n v="255.28"/>
    <n v="159.41999999999999"/>
    <n v="95.860000000000014"/>
    <n v="1855885.6"/>
    <n v="1158983.3999999999"/>
    <n v="696902.2"/>
  </r>
  <r>
    <s v="Europe"/>
    <x v="1"/>
    <x v="7"/>
    <s v="Offline"/>
    <x v="0"/>
    <d v="2012-03-31T00:00:00"/>
    <s v="388728320"/>
    <d v="2012-05-10T00:00:00"/>
    <n v="40"/>
    <n v="2203"/>
    <n v="152.58000000000001"/>
    <n v="97.44"/>
    <n v="55.140000000000015"/>
    <n v="336133.74"/>
    <n v="214660.32"/>
    <n v="121473.42"/>
  </r>
  <r>
    <s v="Europe"/>
    <x v="43"/>
    <x v="5"/>
    <s v="Offline"/>
    <x v="2"/>
    <d v="2014-03-18T00:00:00"/>
    <s v="452559745"/>
    <d v="2014-03-19T00:00:00"/>
    <n v="1"/>
    <n v="1340"/>
    <n v="154.06"/>
    <n v="90.93"/>
    <n v="63.129999999999995"/>
    <n v="206440.4"/>
    <n v="121846.2"/>
    <n v="84594.2"/>
  </r>
  <r>
    <s v="Europe"/>
    <x v="16"/>
    <x v="8"/>
    <s v="Offline"/>
    <x v="1"/>
    <d v="2016-03-27T00:00:00"/>
    <s v="921230065"/>
    <d v="2016-05-16T00:00:00"/>
    <n v="50"/>
    <n v="1303"/>
    <n v="255.28"/>
    <n v="159.41999999999999"/>
    <n v="95.860000000000014"/>
    <n v="332629.84000000003"/>
    <n v="207724.26"/>
    <n v="124905.58"/>
  </r>
  <r>
    <s v="Europe"/>
    <x v="21"/>
    <x v="4"/>
    <s v="Online"/>
    <x v="1"/>
    <d v="2016-05-09T00:00:00"/>
    <s v="831143891"/>
    <d v="2016-06-01T00:00:00"/>
    <n v="23"/>
    <n v="2802"/>
    <n v="9.33"/>
    <n v="6.92"/>
    <n v="2.41"/>
    <n v="26142.66"/>
    <n v="19389.84"/>
    <n v="6752.82"/>
  </r>
  <r>
    <s v="Europe"/>
    <x v="4"/>
    <x v="2"/>
    <s v="Online"/>
    <x v="1"/>
    <d v="2015-10-07T00:00:00"/>
    <s v="318523538"/>
    <d v="2015-11-05T00:00:00"/>
    <n v="29"/>
    <n v="7048"/>
    <n v="205.7"/>
    <n v="117.11"/>
    <n v="88.589999999999989"/>
    <n v="1449773.6"/>
    <n v="825391.28"/>
    <n v="624382.31999999995"/>
  </r>
  <r>
    <s v="Europe"/>
    <x v="25"/>
    <x v="6"/>
    <s v="Offline"/>
    <x v="3"/>
    <d v="2010-10-26T00:00:00"/>
    <s v="970427358"/>
    <d v="2010-10-31T00:00:00"/>
    <n v="5"/>
    <n v="9875"/>
    <n v="421.89"/>
    <n v="364.69"/>
    <n v="57.199999999999989"/>
    <n v="4166163.75"/>
    <n v="3601313.75"/>
    <n v="564850"/>
  </r>
  <r>
    <s v="Europe"/>
    <x v="4"/>
    <x v="2"/>
    <s v="Offline"/>
    <x v="3"/>
    <d v="2013-07-18T00:00:00"/>
    <s v="195212733"/>
    <d v="2013-08-14T00:00:00"/>
    <n v="27"/>
    <n v="6641"/>
    <n v="205.7"/>
    <n v="117.11"/>
    <n v="88.589999999999989"/>
    <n v="1366053.7"/>
    <n v="777727.51"/>
    <n v="588326.18999999994"/>
  </r>
  <r>
    <s v="Europe"/>
    <x v="17"/>
    <x v="9"/>
    <s v="Online"/>
    <x v="0"/>
    <d v="2011-03-13T00:00:00"/>
    <s v="141875827"/>
    <d v="2011-04-16T00:00:00"/>
    <n v="34"/>
    <n v="3065"/>
    <n v="668.27"/>
    <n v="502.54"/>
    <n v="165.72999999999996"/>
    <n v="2048247.55"/>
    <n v="1540285.1"/>
    <n v="507962.45"/>
  </r>
  <r>
    <s v="Europe"/>
    <x v="43"/>
    <x v="0"/>
    <s v="Offline"/>
    <x v="2"/>
    <d v="2011-11-04T00:00:00"/>
    <s v="510762822"/>
    <d v="2011-12-22T00:00:00"/>
    <n v="48"/>
    <n v="4924"/>
    <n v="47.45"/>
    <n v="31.79"/>
    <n v="15.660000000000004"/>
    <n v="233643.8"/>
    <n v="156533.96"/>
    <n v="77109.84"/>
  </r>
  <r>
    <s v="Europe"/>
    <x v="12"/>
    <x v="7"/>
    <s v="Offline"/>
    <x v="3"/>
    <d v="2012-07-28T00:00:00"/>
    <s v="189667212"/>
    <d v="2012-09-03T00:00:00"/>
    <n v="37"/>
    <n v="5598"/>
    <n v="152.58000000000001"/>
    <n v="97.44"/>
    <n v="55.140000000000015"/>
    <n v="854142.84"/>
    <n v="545469.12"/>
    <n v="308673.71999999997"/>
  </r>
  <r>
    <s v="Europe"/>
    <x v="38"/>
    <x v="1"/>
    <s v="Online"/>
    <x v="0"/>
    <d v="2015-03-21T00:00:00"/>
    <s v="276784074"/>
    <d v="2015-04-15T00:00:00"/>
    <n v="25"/>
    <n v="5413"/>
    <n v="109.28"/>
    <n v="35.840000000000003"/>
    <n v="73.44"/>
    <n v="591532.64"/>
    <n v="194001.92000000001"/>
    <n v="397530.72"/>
  </r>
  <r>
    <s v="Europe"/>
    <x v="33"/>
    <x v="1"/>
    <s v="Online"/>
    <x v="3"/>
    <d v="2010-08-14T00:00:00"/>
    <s v="744583642"/>
    <d v="2010-09-26T00:00:00"/>
    <n v="43"/>
    <n v="7701"/>
    <n v="109.28"/>
    <n v="35.840000000000003"/>
    <n v="73.44"/>
    <n v="841565.28"/>
    <n v="276003.84000000003"/>
    <n v="565561.43999999994"/>
  </r>
  <r>
    <s v="Europe"/>
    <x v="31"/>
    <x v="0"/>
    <s v="Online"/>
    <x v="3"/>
    <d v="2015-06-26T00:00:00"/>
    <s v="761724030"/>
    <d v="2015-08-13T00:00:00"/>
    <n v="48"/>
    <n v="9923"/>
    <n v="47.45"/>
    <n v="31.79"/>
    <n v="15.660000000000004"/>
    <n v="470846.35"/>
    <n v="315452.17"/>
    <n v="155394.18"/>
  </r>
  <r>
    <s v="Europe"/>
    <x v="42"/>
    <x v="3"/>
    <s v="Online"/>
    <x v="0"/>
    <d v="2012-05-05T00:00:00"/>
    <s v="217248904"/>
    <d v="2012-06-15T00:00:00"/>
    <n v="41"/>
    <n v="7633"/>
    <n v="651.21"/>
    <n v="524.96"/>
    <n v="126.25"/>
    <n v="4970685.93"/>
    <n v="4007019.68"/>
    <n v="963666.25"/>
  </r>
  <r>
    <s v="Europe"/>
    <x v="5"/>
    <x v="1"/>
    <s v="Online"/>
    <x v="2"/>
    <d v="2016-04-29T00:00:00"/>
    <s v="685596930"/>
    <d v="2016-06-16T00:00:00"/>
    <n v="48"/>
    <n v="2222"/>
    <n v="109.28"/>
    <n v="35.840000000000003"/>
    <n v="73.44"/>
    <n v="242820.16"/>
    <n v="79636.479999999996"/>
    <n v="163183.67999999999"/>
  </r>
  <r>
    <s v="Europe"/>
    <x v="36"/>
    <x v="1"/>
    <s v="Online"/>
    <x v="3"/>
    <d v="2015-01-31T00:00:00"/>
    <s v="355534589"/>
    <d v="2015-02-06T00:00:00"/>
    <n v="6"/>
    <n v="9440"/>
    <n v="109.28"/>
    <n v="35.840000000000003"/>
    <n v="73.44"/>
    <n v="1031603.2"/>
    <n v="338329.59999999998"/>
    <n v="693273.59999999998"/>
  </r>
  <r>
    <s v="Europe"/>
    <x v="9"/>
    <x v="3"/>
    <s v="Offline"/>
    <x v="2"/>
    <d v="2012-12-01T00:00:00"/>
    <s v="456527268"/>
    <d v="2012-12-02T00:00:00"/>
    <n v="1"/>
    <n v="5419"/>
    <n v="651.21"/>
    <n v="524.96"/>
    <n v="126.25"/>
    <n v="3528906.99"/>
    <n v="2844758.24"/>
    <n v="684148.75"/>
  </r>
  <r>
    <s v="Europe"/>
    <x v="5"/>
    <x v="8"/>
    <s v="Offline"/>
    <x v="0"/>
    <d v="2016-02-15T00:00:00"/>
    <s v="461917865"/>
    <d v="2016-03-21T00:00:00"/>
    <n v="35"/>
    <n v="616"/>
    <n v="255.28"/>
    <n v="159.41999999999999"/>
    <n v="95.860000000000014"/>
    <n v="157252.48000000001"/>
    <n v="98202.72"/>
    <n v="59049.760000000002"/>
  </r>
  <r>
    <s v="Europe"/>
    <x v="5"/>
    <x v="11"/>
    <s v="Offline"/>
    <x v="0"/>
    <d v="2013-06-29T00:00:00"/>
    <s v="284435451"/>
    <d v="2013-06-29T00:00:00"/>
    <n v="0"/>
    <n v="9625"/>
    <n v="81.73"/>
    <n v="56.67"/>
    <n v="25.060000000000002"/>
    <n v="786651.25"/>
    <n v="545448.75"/>
    <n v="241202.5"/>
  </r>
  <r>
    <s v="Europe"/>
    <x v="8"/>
    <x v="6"/>
    <s v="Online"/>
    <x v="3"/>
    <d v="2014-06-21T00:00:00"/>
    <s v="844575107"/>
    <d v="2014-06-26T00:00:00"/>
    <n v="5"/>
    <n v="7397"/>
    <n v="421.89"/>
    <n v="364.69"/>
    <n v="57.199999999999989"/>
    <n v="3120720.33"/>
    <n v="2697611.93"/>
    <n v="423108.4"/>
  </r>
  <r>
    <s v="Europe"/>
    <x v="12"/>
    <x v="8"/>
    <s v="Offline"/>
    <x v="2"/>
    <d v="2015-05-19T00:00:00"/>
    <s v="158479773"/>
    <d v="2015-06-18T00:00:00"/>
    <n v="30"/>
    <n v="6542"/>
    <n v="255.28"/>
    <n v="159.41999999999999"/>
    <n v="95.860000000000014"/>
    <n v="1670041.76"/>
    <n v="1042925.64"/>
    <n v="627116.12"/>
  </r>
  <r>
    <s v="Europe"/>
    <x v="23"/>
    <x v="9"/>
    <s v="Online"/>
    <x v="2"/>
    <d v="2014-06-09T00:00:00"/>
    <s v="175723588"/>
    <d v="2014-06-14T00:00:00"/>
    <n v="5"/>
    <n v="9370"/>
    <n v="668.27"/>
    <n v="502.54"/>
    <n v="165.72999999999996"/>
    <n v="6261689.9000000004"/>
    <n v="4708799.8"/>
    <n v="1552890.1"/>
  </r>
  <r>
    <s v="Europe"/>
    <x v="11"/>
    <x v="9"/>
    <s v="Online"/>
    <x v="0"/>
    <d v="2016-11-04T00:00:00"/>
    <s v="690220630"/>
    <d v="2016-11-19T00:00:00"/>
    <n v="15"/>
    <n v="477"/>
    <n v="668.27"/>
    <n v="502.54"/>
    <n v="165.72999999999996"/>
    <n v="318764.78999999998"/>
    <n v="239711.58"/>
    <n v="79053.210000000006"/>
  </r>
  <r>
    <s v="Europe"/>
    <x v="35"/>
    <x v="0"/>
    <s v="Offline"/>
    <x v="1"/>
    <d v="2017-07-17T00:00:00"/>
    <s v="704139363"/>
    <d v="2017-08-31T00:00:00"/>
    <n v="45"/>
    <n v="9340"/>
    <n v="47.45"/>
    <n v="31.79"/>
    <n v="15.660000000000004"/>
    <n v="443183"/>
    <n v="296918.59999999998"/>
    <n v="146264.4"/>
  </r>
  <r>
    <s v="Europe"/>
    <x v="37"/>
    <x v="4"/>
    <s v="Online"/>
    <x v="3"/>
    <d v="2014-02-02T00:00:00"/>
    <s v="636278617"/>
    <d v="2014-03-22T00:00:00"/>
    <n v="48"/>
    <n v="7837"/>
    <n v="9.33"/>
    <n v="6.92"/>
    <n v="2.41"/>
    <n v="73119.210000000006"/>
    <n v="54232.04"/>
    <n v="18887.169999999998"/>
  </r>
  <r>
    <s v="Europe"/>
    <x v="44"/>
    <x v="7"/>
    <s v="Online"/>
    <x v="2"/>
    <d v="2012-09-09T00:00:00"/>
    <s v="525749719"/>
    <d v="2012-10-22T00:00:00"/>
    <n v="43"/>
    <n v="9880"/>
    <n v="152.58000000000001"/>
    <n v="97.44"/>
    <n v="55.140000000000015"/>
    <n v="1507490.4"/>
    <n v="962707.2"/>
    <n v="544783.19999999995"/>
  </r>
  <r>
    <s v="Europe"/>
    <x v="46"/>
    <x v="4"/>
    <s v="Online"/>
    <x v="3"/>
    <d v="2016-10-27T00:00:00"/>
    <s v="481976497"/>
    <d v="2016-12-03T00:00:00"/>
    <n v="37"/>
    <n v="6411"/>
    <n v="9.33"/>
    <n v="6.92"/>
    <n v="2.41"/>
    <n v="59814.63"/>
    <n v="44364.12"/>
    <n v="15450.51"/>
  </r>
  <r>
    <s v="Europe"/>
    <x v="10"/>
    <x v="6"/>
    <s v="Online"/>
    <x v="3"/>
    <d v="2010-10-22T00:00:00"/>
    <s v="168979442"/>
    <d v="2010-12-10T00:00:00"/>
    <n v="49"/>
    <n v="3627"/>
    <n v="421.89"/>
    <n v="364.69"/>
    <n v="57.199999999999989"/>
    <n v="1530195.03"/>
    <n v="1322730.6299999999"/>
    <n v="207464.4"/>
  </r>
  <r>
    <s v="Europe"/>
    <x v="30"/>
    <x v="9"/>
    <s v="Online"/>
    <x v="2"/>
    <d v="2010-12-20T00:00:00"/>
    <s v="570476520"/>
    <d v="2010-12-24T00:00:00"/>
    <n v="4"/>
    <n v="5534"/>
    <n v="668.27"/>
    <n v="502.54"/>
    <n v="165.72999999999996"/>
    <n v="3698206.18"/>
    <n v="2781056.36"/>
    <n v="917149.82"/>
  </r>
  <r>
    <s v="Europe"/>
    <x v="8"/>
    <x v="2"/>
    <s v="Online"/>
    <x v="3"/>
    <d v="2013-07-13T00:00:00"/>
    <s v="144282948"/>
    <d v="2013-08-01T00:00:00"/>
    <n v="19"/>
    <n v="5386"/>
    <n v="205.7"/>
    <n v="117.11"/>
    <n v="88.589999999999989"/>
    <n v="1107900.2"/>
    <n v="630754.46"/>
    <n v="477145.74"/>
  </r>
  <r>
    <s v="Europe"/>
    <x v="12"/>
    <x v="0"/>
    <s v="Online"/>
    <x v="1"/>
    <d v="2013-10-10T00:00:00"/>
    <s v="797202146"/>
    <d v="2013-11-17T00:00:00"/>
    <n v="38"/>
    <n v="8685"/>
    <n v="47.45"/>
    <n v="31.79"/>
    <n v="15.660000000000004"/>
    <n v="412103.25"/>
    <n v="276096.15000000002"/>
    <n v="136007.1"/>
  </r>
  <r>
    <s v="Europe"/>
    <x v="28"/>
    <x v="4"/>
    <s v="Offline"/>
    <x v="0"/>
    <d v="2016-04-17T00:00:00"/>
    <s v="353492677"/>
    <d v="2016-05-23T00:00:00"/>
    <n v="36"/>
    <n v="5193"/>
    <n v="9.33"/>
    <n v="6.92"/>
    <n v="2.41"/>
    <n v="48450.69"/>
    <n v="35935.56"/>
    <n v="12515.13"/>
  </r>
  <r>
    <s v="Europe"/>
    <x v="20"/>
    <x v="10"/>
    <s v="Offline"/>
    <x v="1"/>
    <d v="2014-01-28T00:00:00"/>
    <s v="155086886"/>
    <d v="2014-02-05T00:00:00"/>
    <n v="8"/>
    <n v="2511"/>
    <n v="437.2"/>
    <n v="263.33"/>
    <n v="173.87"/>
    <n v="1097809.2"/>
    <n v="661221.63"/>
    <n v="436587.57"/>
  </r>
  <r>
    <s v="Europe"/>
    <x v="12"/>
    <x v="10"/>
    <s v="Online"/>
    <x v="2"/>
    <d v="2010-10-29T00:00:00"/>
    <s v="113524663"/>
    <d v="2010-12-09T00:00:00"/>
    <n v="41"/>
    <n v="3325"/>
    <n v="437.2"/>
    <n v="263.33"/>
    <n v="173.87"/>
    <n v="1453690"/>
    <n v="875572.25"/>
    <n v="578117.75"/>
  </r>
  <r>
    <s v="Europe"/>
    <x v="39"/>
    <x v="0"/>
    <s v="Offline"/>
    <x v="2"/>
    <d v="2013-10-09T00:00:00"/>
    <s v="932475602"/>
    <d v="2013-11-21T00:00:00"/>
    <n v="43"/>
    <n v="9107"/>
    <n v="47.45"/>
    <n v="31.79"/>
    <n v="15.660000000000004"/>
    <n v="432127.15"/>
    <n v="289511.53000000003"/>
    <n v="142615.62"/>
  </r>
  <r>
    <s v="Europe"/>
    <x v="12"/>
    <x v="3"/>
    <s v="Offline"/>
    <x v="2"/>
    <d v="2015-01-20T00:00:00"/>
    <s v="282917964"/>
    <d v="2015-01-27T00:00:00"/>
    <n v="7"/>
    <n v="567"/>
    <n v="651.21"/>
    <n v="524.96"/>
    <n v="126.25"/>
    <n v="369236.07"/>
    <n v="297652.32"/>
    <n v="71583.75"/>
  </r>
  <r>
    <s v="Europe"/>
    <x v="41"/>
    <x v="8"/>
    <s v="Offline"/>
    <x v="0"/>
    <d v="2013-06-27T00:00:00"/>
    <s v="775347936"/>
    <d v="2013-07-08T00:00:00"/>
    <n v="11"/>
    <n v="1539"/>
    <n v="255.28"/>
    <n v="159.41999999999999"/>
    <n v="95.860000000000014"/>
    <n v="392875.92"/>
    <n v="245347.38"/>
    <n v="147528.54"/>
  </r>
  <r>
    <s v="Europe"/>
    <x v="3"/>
    <x v="8"/>
    <s v="Offline"/>
    <x v="0"/>
    <d v="2010-09-18T00:00:00"/>
    <s v="980381143"/>
    <d v="2010-09-26T00:00:00"/>
    <n v="8"/>
    <n v="5421"/>
    <n v="255.28"/>
    <n v="159.41999999999999"/>
    <n v="95.860000000000014"/>
    <n v="1383872.88"/>
    <n v="864215.82"/>
    <n v="519657.06"/>
  </r>
  <r>
    <s v="Europe"/>
    <x v="44"/>
    <x v="10"/>
    <s v="Offline"/>
    <x v="1"/>
    <d v="2010-01-06T00:00:00"/>
    <s v="521874034"/>
    <d v="2010-02-03T00:00:00"/>
    <n v="28"/>
    <n v="2979"/>
    <n v="437.2"/>
    <n v="263.33"/>
    <n v="173.87"/>
    <n v="1302418.8"/>
    <n v="784460.07"/>
    <n v="517958.73"/>
  </r>
  <r>
    <s v="Europe"/>
    <x v="40"/>
    <x v="10"/>
    <s v="Online"/>
    <x v="1"/>
    <d v="2017-04-16T00:00:00"/>
    <s v="186847674"/>
    <d v="2017-04-23T00:00:00"/>
    <n v="7"/>
    <n v="1234"/>
    <n v="437.2"/>
    <n v="263.33"/>
    <n v="173.87"/>
    <n v="539504.80000000005"/>
    <n v="324949.21999999997"/>
    <n v="214555.58"/>
  </r>
  <r>
    <s v="Europe"/>
    <x v="43"/>
    <x v="4"/>
    <s v="Offline"/>
    <x v="3"/>
    <d v="2015-01-24T00:00:00"/>
    <s v="117929494"/>
    <d v="2015-03-02T00:00:00"/>
    <n v="37"/>
    <n v="6813"/>
    <n v="9.33"/>
    <n v="6.92"/>
    <n v="2.41"/>
    <n v="63565.29"/>
    <n v="47145.96"/>
    <n v="16419.330000000002"/>
  </r>
  <r>
    <s v="Europe"/>
    <x v="11"/>
    <x v="0"/>
    <s v="Offline"/>
    <x v="1"/>
    <d v="2017-07-11T00:00:00"/>
    <s v="786318385"/>
    <d v="2017-08-23T00:00:00"/>
    <n v="43"/>
    <n v="7939"/>
    <n v="47.45"/>
    <n v="31.79"/>
    <n v="15.660000000000004"/>
    <n v="376705.55"/>
    <n v="252380.81"/>
    <n v="124324.74"/>
  </r>
  <r>
    <s v="Europe"/>
    <x v="2"/>
    <x v="9"/>
    <s v="Online"/>
    <x v="0"/>
    <d v="2015-09-20T00:00:00"/>
    <s v="178604066"/>
    <d v="2015-10-18T00:00:00"/>
    <n v="28"/>
    <n v="1767"/>
    <n v="668.27"/>
    <n v="502.54"/>
    <n v="165.72999999999996"/>
    <n v="1180833.0900000001"/>
    <n v="887988.18"/>
    <n v="292844.90999999997"/>
  </r>
  <r>
    <s v="Europe"/>
    <x v="3"/>
    <x v="5"/>
    <s v="Offline"/>
    <x v="0"/>
    <d v="2014-06-11T00:00:00"/>
    <s v="651247489"/>
    <d v="2014-07-02T00:00:00"/>
    <n v="21"/>
    <n v="7459"/>
    <n v="154.06"/>
    <n v="90.93"/>
    <n v="63.129999999999995"/>
    <n v="1149133.54"/>
    <n v="678246.87"/>
    <n v="470886.67"/>
  </r>
  <r>
    <s v="Europe"/>
    <x v="22"/>
    <x v="9"/>
    <s v="Online"/>
    <x v="2"/>
    <d v="2013-03-20T00:00:00"/>
    <s v="492353856"/>
    <d v="2013-04-11T00:00:00"/>
    <n v="22"/>
    <n v="7302"/>
    <n v="668.27"/>
    <n v="502.54"/>
    <n v="165.72999999999996"/>
    <n v="4879707.54"/>
    <n v="3669547.08"/>
    <n v="1210160.46"/>
  </r>
  <r>
    <s v="Europe"/>
    <x v="45"/>
    <x v="11"/>
    <s v="Offline"/>
    <x v="1"/>
    <d v="2013-02-16T00:00:00"/>
    <s v="382581126"/>
    <d v="2013-03-27T00:00:00"/>
    <n v="39"/>
    <n v="3112"/>
    <n v="81.73"/>
    <n v="56.67"/>
    <n v="25.060000000000002"/>
    <n v="254343.76"/>
    <n v="176357.04"/>
    <n v="77986.720000000001"/>
  </r>
  <r>
    <s v="Europe"/>
    <x v="39"/>
    <x v="9"/>
    <s v="Online"/>
    <x v="0"/>
    <d v="2010-09-29T00:00:00"/>
    <s v="533314406"/>
    <d v="2010-10-29T00:00:00"/>
    <n v="30"/>
    <n v="8439"/>
    <n v="668.27"/>
    <n v="502.54"/>
    <n v="165.72999999999996"/>
    <n v="5639530.5300000003"/>
    <n v="4240935.0599999996"/>
    <n v="1398595.47"/>
  </r>
  <r>
    <s v="Europe"/>
    <x v="12"/>
    <x v="7"/>
    <s v="Online"/>
    <x v="1"/>
    <d v="2016-09-18T00:00:00"/>
    <s v="949388539"/>
    <d v="2016-09-30T00:00:00"/>
    <n v="12"/>
    <n v="4021"/>
    <n v="152.58000000000001"/>
    <n v="97.44"/>
    <n v="55.140000000000015"/>
    <n v="613524.18000000005"/>
    <n v="391806.24"/>
    <n v="221717.94"/>
  </r>
  <r>
    <s v="Europe"/>
    <x v="16"/>
    <x v="0"/>
    <s v="Offline"/>
    <x v="2"/>
    <d v="2016-01-10T00:00:00"/>
    <s v="122372519"/>
    <d v="2016-01-13T00:00:00"/>
    <n v="3"/>
    <n v="1603"/>
    <n v="47.45"/>
    <n v="31.79"/>
    <n v="15.660000000000004"/>
    <n v="76062.350000000006"/>
    <n v="50959.37"/>
    <n v="25102.98"/>
  </r>
  <r>
    <s v="Europe"/>
    <x v="32"/>
    <x v="1"/>
    <s v="Offline"/>
    <x v="1"/>
    <d v="2014-01-16T00:00:00"/>
    <s v="298978602"/>
    <d v="2014-01-28T00:00:00"/>
    <n v="12"/>
    <n v="3267"/>
    <n v="109.28"/>
    <n v="35.840000000000003"/>
    <n v="73.44"/>
    <n v="357017.76"/>
    <n v="117089.28"/>
    <n v="239928.48"/>
  </r>
  <r>
    <s v="Europe"/>
    <x v="44"/>
    <x v="1"/>
    <s v="Offline"/>
    <x v="0"/>
    <d v="2016-12-27T00:00:00"/>
    <s v="691760861"/>
    <d v="2017-01-28T00:00:00"/>
    <n v="32"/>
    <n v="6266"/>
    <n v="109.28"/>
    <n v="35.840000000000003"/>
    <n v="73.44"/>
    <n v="684748.48"/>
    <n v="224573.44"/>
    <n v="460175.04"/>
  </r>
  <r>
    <s v="Europe"/>
    <x v="15"/>
    <x v="6"/>
    <s v="Offline"/>
    <x v="3"/>
    <d v="2010-04-14T00:00:00"/>
    <s v="447536504"/>
    <d v="2010-04-25T00:00:00"/>
    <n v="11"/>
    <n v="4852"/>
    <n v="421.89"/>
    <n v="364.69"/>
    <n v="57.199999999999989"/>
    <n v="2047010.28"/>
    <n v="1769475.88"/>
    <n v="277534.40000000002"/>
  </r>
  <r>
    <s v="Europe"/>
    <x v="17"/>
    <x v="5"/>
    <s v="Offline"/>
    <x v="3"/>
    <d v="2011-01-13T00:00:00"/>
    <s v="469840466"/>
    <d v="2011-01-22T00:00:00"/>
    <n v="9"/>
    <n v="5090"/>
    <n v="154.06"/>
    <n v="90.93"/>
    <n v="63.129999999999995"/>
    <n v="784165.4"/>
    <n v="462833.7"/>
    <n v="321331.7"/>
  </r>
  <r>
    <s v="Europe"/>
    <x v="25"/>
    <x v="7"/>
    <s v="Offline"/>
    <x v="1"/>
    <d v="2011-03-02T00:00:00"/>
    <s v="418404281"/>
    <d v="2011-04-15T00:00:00"/>
    <n v="44"/>
    <n v="3979"/>
    <n v="152.58000000000001"/>
    <n v="97.44"/>
    <n v="55.140000000000015"/>
    <n v="607115.81999999995"/>
    <n v="387713.76"/>
    <n v="219402.06"/>
  </r>
  <r>
    <s v="Europe"/>
    <x v="2"/>
    <x v="7"/>
    <s v="Online"/>
    <x v="1"/>
    <d v="2012-01-18T00:00:00"/>
    <s v="516122949"/>
    <d v="2012-02-21T00:00:00"/>
    <n v="34"/>
    <n v="1105"/>
    <n v="152.58000000000001"/>
    <n v="97.44"/>
    <n v="55.140000000000015"/>
    <n v="168600.9"/>
    <n v="107671.2"/>
    <n v="60929.7"/>
  </r>
  <r>
    <s v="Europe"/>
    <x v="30"/>
    <x v="10"/>
    <s v="Offline"/>
    <x v="2"/>
    <d v="2015-08-29T00:00:00"/>
    <s v="208238399"/>
    <d v="2015-10-15T00:00:00"/>
    <n v="47"/>
    <n v="1224"/>
    <n v="437.2"/>
    <n v="263.33"/>
    <n v="173.87"/>
    <n v="535132.80000000005"/>
    <n v="322315.92"/>
    <n v="212816.88"/>
  </r>
  <r>
    <s v="Europe"/>
    <x v="47"/>
    <x v="4"/>
    <s v="Online"/>
    <x v="1"/>
    <d v="2016-12-02T00:00:00"/>
    <s v="526533353"/>
    <d v="2017-01-12T00:00:00"/>
    <n v="41"/>
    <n v="1775"/>
    <n v="9.33"/>
    <n v="6.92"/>
    <n v="2.41"/>
    <n v="16560.75"/>
    <n v="12283"/>
    <n v="4277.75"/>
  </r>
  <r>
    <s v="Europe"/>
    <x v="40"/>
    <x v="6"/>
    <s v="Online"/>
    <x v="3"/>
    <d v="2011-05-11T00:00:00"/>
    <s v="643027484"/>
    <d v="2011-05-18T00:00:00"/>
    <n v="7"/>
    <n v="4977"/>
    <n v="421.89"/>
    <n v="364.69"/>
    <n v="57.199999999999989"/>
    <n v="2099746.5299999998"/>
    <n v="1815062.13"/>
    <n v="284684.40000000002"/>
  </r>
  <r>
    <s v="Europe"/>
    <x v="28"/>
    <x v="0"/>
    <s v="Online"/>
    <x v="2"/>
    <d v="2013-04-21T00:00:00"/>
    <s v="327604424"/>
    <d v="2013-05-13T00:00:00"/>
    <n v="22"/>
    <n v="4284"/>
    <n v="47.45"/>
    <n v="31.79"/>
    <n v="15.660000000000004"/>
    <n v="203275.8"/>
    <n v="136188.35999999999"/>
    <n v="67087.44"/>
  </r>
  <r>
    <s v="Europe"/>
    <x v="13"/>
    <x v="6"/>
    <s v="Offline"/>
    <x v="1"/>
    <d v="2014-06-18T00:00:00"/>
    <s v="219451320"/>
    <d v="2014-07-02T00:00:00"/>
    <n v="14"/>
    <n v="9377"/>
    <n v="421.89"/>
    <n v="364.69"/>
    <n v="57.199999999999989"/>
    <n v="3956062.53"/>
    <n v="3419698.13"/>
    <n v="536364.4"/>
  </r>
  <r>
    <s v="Europe"/>
    <x v="32"/>
    <x v="11"/>
    <s v="Online"/>
    <x v="3"/>
    <d v="2011-03-15T00:00:00"/>
    <s v="575758969"/>
    <d v="2011-03-29T00:00:00"/>
    <n v="14"/>
    <n v="8729"/>
    <n v="81.73"/>
    <n v="56.67"/>
    <n v="25.060000000000002"/>
    <n v="713421.17"/>
    <n v="494672.43"/>
    <n v="218748.74"/>
  </r>
  <r>
    <s v="Europe"/>
    <x v="21"/>
    <x v="3"/>
    <s v="Offline"/>
    <x v="3"/>
    <d v="2014-12-04T00:00:00"/>
    <s v="602264344"/>
    <d v="2015-01-07T00:00:00"/>
    <n v="34"/>
    <n v="2258"/>
    <n v="651.21"/>
    <n v="524.96"/>
    <n v="126.25"/>
    <n v="1470432.18"/>
    <n v="1185359.68"/>
    <n v="285072.5"/>
  </r>
  <r>
    <s v="Europe"/>
    <x v="9"/>
    <x v="2"/>
    <s v="Offline"/>
    <x v="3"/>
    <d v="2014-11-22T00:00:00"/>
    <s v="791890084"/>
    <d v="2014-12-15T00:00:00"/>
    <n v="23"/>
    <n v="6728"/>
    <n v="205.7"/>
    <n v="117.11"/>
    <n v="88.589999999999989"/>
    <n v="1383949.6"/>
    <n v="787916.08"/>
    <n v="596033.52"/>
  </r>
  <r>
    <s v="Europe"/>
    <x v="18"/>
    <x v="4"/>
    <s v="Offline"/>
    <x v="0"/>
    <d v="2012-06-29T00:00:00"/>
    <s v="249606645"/>
    <d v="2012-08-14T00:00:00"/>
    <n v="46"/>
    <n v="3008"/>
    <n v="9.33"/>
    <n v="6.92"/>
    <n v="2.41"/>
    <n v="28064.639999999999"/>
    <n v="20815.36"/>
    <n v="7249.28"/>
  </r>
  <r>
    <s v="Europe"/>
    <x v="9"/>
    <x v="9"/>
    <s v="Offline"/>
    <x v="0"/>
    <d v="2015-04-08T00:00:00"/>
    <s v="497466361"/>
    <d v="2015-05-01T00:00:00"/>
    <n v="23"/>
    <n v="206"/>
    <n v="668.27"/>
    <n v="502.54"/>
    <n v="165.72999999999996"/>
    <n v="137663.62"/>
    <n v="103523.24"/>
    <n v="34140.379999999997"/>
  </r>
  <r>
    <s v="Europe"/>
    <x v="44"/>
    <x v="1"/>
    <s v="Offline"/>
    <x v="2"/>
    <d v="2014-12-23T00:00:00"/>
    <s v="839437711"/>
    <d v="2014-12-24T00:00:00"/>
    <n v="1"/>
    <n v="7128"/>
    <n v="109.28"/>
    <n v="35.840000000000003"/>
    <n v="73.44"/>
    <n v="778947.84"/>
    <n v="255467.51999999999"/>
    <n v="523480.32000000001"/>
  </r>
  <r>
    <s v="Europe"/>
    <x v="6"/>
    <x v="3"/>
    <s v="Online"/>
    <x v="3"/>
    <d v="2014-10-31T00:00:00"/>
    <s v="549048888"/>
    <d v="2014-12-02T00:00:00"/>
    <n v="32"/>
    <n v="4622"/>
    <n v="651.21"/>
    <n v="524.96"/>
    <n v="126.25"/>
    <n v="3009892.62"/>
    <n v="2426365.12"/>
    <n v="583527.5"/>
  </r>
  <r>
    <s v="Europe"/>
    <x v="8"/>
    <x v="7"/>
    <s v="Online"/>
    <x v="3"/>
    <d v="2015-12-03T00:00:00"/>
    <s v="427432811"/>
    <d v="2015-12-11T00:00:00"/>
    <n v="8"/>
    <n v="5722"/>
    <n v="152.58000000000001"/>
    <n v="97.44"/>
    <n v="55.140000000000015"/>
    <n v="873062.76"/>
    <n v="557551.68000000005"/>
    <n v="315511.08"/>
  </r>
  <r>
    <s v="Europe"/>
    <x v="39"/>
    <x v="3"/>
    <s v="Online"/>
    <x v="3"/>
    <d v="2014-03-31T00:00:00"/>
    <s v="582836139"/>
    <d v="2014-04-05T00:00:00"/>
    <n v="5"/>
    <n v="3020"/>
    <n v="651.21"/>
    <n v="524.96"/>
    <n v="126.25"/>
    <n v="1966654.2"/>
    <n v="1585379.2"/>
    <n v="381275"/>
  </r>
  <r>
    <s v="Europe"/>
    <x v="11"/>
    <x v="1"/>
    <s v="Offline"/>
    <x v="3"/>
    <d v="2012-04-08T00:00:00"/>
    <s v="719730079"/>
    <d v="2012-05-06T00:00:00"/>
    <n v="28"/>
    <n v="2979"/>
    <n v="109.28"/>
    <n v="35.840000000000003"/>
    <n v="73.44"/>
    <n v="325545.12"/>
    <n v="106767.36"/>
    <n v="218777.76"/>
  </r>
  <r>
    <s v="Europe"/>
    <x v="3"/>
    <x v="9"/>
    <s v="Online"/>
    <x v="3"/>
    <d v="2012-04-21T00:00:00"/>
    <s v="837608659"/>
    <d v="2012-05-02T00:00:00"/>
    <n v="11"/>
    <n v="5871"/>
    <n v="668.27"/>
    <n v="502.54"/>
    <n v="165.72999999999996"/>
    <n v="3923413.17"/>
    <n v="2950412.34"/>
    <n v="973000.83"/>
  </r>
  <r>
    <s v="Europe"/>
    <x v="24"/>
    <x v="6"/>
    <s v="Online"/>
    <x v="2"/>
    <d v="2017-02-26T00:00:00"/>
    <s v="930670154"/>
    <d v="2017-03-15T00:00:00"/>
    <n v="17"/>
    <n v="4835"/>
    <n v="421.89"/>
    <n v="364.69"/>
    <n v="57.199999999999989"/>
    <n v="2039838.15"/>
    <n v="1763276.15"/>
    <n v="276562"/>
  </r>
  <r>
    <s v="Europe"/>
    <x v="16"/>
    <x v="1"/>
    <s v="Offline"/>
    <x v="3"/>
    <d v="2012-02-15T00:00:00"/>
    <s v="684853637"/>
    <d v="2012-04-03T00:00:00"/>
    <n v="48"/>
    <n v="2265"/>
    <n v="109.28"/>
    <n v="35.840000000000003"/>
    <n v="73.44"/>
    <n v="247519.2"/>
    <n v="81177.600000000006"/>
    <n v="166341.6"/>
  </r>
  <r>
    <s v="Europe"/>
    <x v="5"/>
    <x v="2"/>
    <s v="Offline"/>
    <x v="3"/>
    <d v="2013-06-20T00:00:00"/>
    <s v="930457293"/>
    <d v="2013-07-26T00:00:00"/>
    <n v="36"/>
    <n v="1845"/>
    <n v="205.7"/>
    <n v="117.11"/>
    <n v="88.589999999999989"/>
    <n v="379516.5"/>
    <n v="216067.95"/>
    <n v="163448.54999999999"/>
  </r>
  <r>
    <s v="Europe"/>
    <x v="4"/>
    <x v="3"/>
    <s v="Offline"/>
    <x v="3"/>
    <d v="2013-03-07T00:00:00"/>
    <s v="343185698"/>
    <d v="2013-04-25T00:00:00"/>
    <n v="49"/>
    <n v="5129"/>
    <n v="651.21"/>
    <n v="524.96"/>
    <n v="126.25"/>
    <n v="3340056.09"/>
    <n v="2692519.84"/>
    <n v="647536.25"/>
  </r>
  <r>
    <s v="Europe"/>
    <x v="32"/>
    <x v="10"/>
    <s v="Online"/>
    <x v="1"/>
    <d v="2016-07-26T00:00:00"/>
    <s v="174935233"/>
    <d v="2016-07-29T00:00:00"/>
    <n v="3"/>
    <n v="6078"/>
    <n v="437.2"/>
    <n v="263.33"/>
    <n v="173.87"/>
    <n v="2657301.6"/>
    <n v="1600519.74"/>
    <n v="1056781.8600000001"/>
  </r>
  <r>
    <s v="Europe"/>
    <x v="46"/>
    <x v="4"/>
    <s v="Offline"/>
    <x v="1"/>
    <d v="2011-10-09T00:00:00"/>
    <s v="904812800"/>
    <d v="2011-11-24T00:00:00"/>
    <n v="46"/>
    <n v="3069"/>
    <n v="9.33"/>
    <n v="6.92"/>
    <n v="2.41"/>
    <n v="28633.77"/>
    <n v="21237.48"/>
    <n v="7396.29"/>
  </r>
  <r>
    <s v="Europe"/>
    <x v="46"/>
    <x v="11"/>
    <s v="Online"/>
    <x v="2"/>
    <d v="2011-06-13T00:00:00"/>
    <s v="438683927"/>
    <d v="2011-07-29T00:00:00"/>
    <n v="46"/>
    <n v="5177"/>
    <n v="81.73"/>
    <n v="56.67"/>
    <n v="25.060000000000002"/>
    <n v="423116.21"/>
    <n v="293380.59000000003"/>
    <n v="129735.62"/>
  </r>
  <r>
    <s v="Europe"/>
    <x v="40"/>
    <x v="4"/>
    <s v="Offline"/>
    <x v="3"/>
    <d v="2011-08-13T00:00:00"/>
    <s v="303534495"/>
    <d v="2011-08-18T00:00:00"/>
    <n v="5"/>
    <n v="1457"/>
    <n v="9.33"/>
    <n v="6.92"/>
    <n v="2.41"/>
    <n v="13593.81"/>
    <n v="10082.44"/>
    <n v="3511.37"/>
  </r>
  <r>
    <s v="Europe"/>
    <x v="18"/>
    <x v="8"/>
    <s v="Online"/>
    <x v="1"/>
    <d v="2013-11-26T00:00:00"/>
    <s v="775008904"/>
    <d v="2014-01-02T00:00:00"/>
    <n v="37"/>
    <n v="1212"/>
    <n v="255.28"/>
    <n v="159.41999999999999"/>
    <n v="95.860000000000014"/>
    <n v="309399.36"/>
    <n v="193217.04"/>
    <n v="116182.32"/>
  </r>
  <r>
    <s v="Europe"/>
    <x v="36"/>
    <x v="4"/>
    <s v="Online"/>
    <x v="1"/>
    <d v="2014-08-16T00:00:00"/>
    <s v="471348512"/>
    <d v="2014-10-01T00:00:00"/>
    <n v="46"/>
    <n v="1354"/>
    <n v="9.33"/>
    <n v="6.92"/>
    <n v="2.41"/>
    <n v="12632.82"/>
    <n v="9369.68"/>
    <n v="3263.14"/>
  </r>
  <r>
    <s v="Europe"/>
    <x v="21"/>
    <x v="8"/>
    <s v="Offline"/>
    <x v="0"/>
    <d v="2012-12-23T00:00:00"/>
    <s v="302442729"/>
    <d v="2013-01-17T00:00:00"/>
    <n v="25"/>
    <n v="8379"/>
    <n v="255.28"/>
    <n v="159.41999999999999"/>
    <n v="95.860000000000014"/>
    <n v="2138991.12"/>
    <n v="1335780.18"/>
    <n v="803210.94"/>
  </r>
  <r>
    <s v="Europe"/>
    <x v="35"/>
    <x v="5"/>
    <s v="Online"/>
    <x v="0"/>
    <d v="2012-04-12T00:00:00"/>
    <s v="987050187"/>
    <d v="2012-04-25T00:00:00"/>
    <n v="13"/>
    <n v="8940"/>
    <n v="154.06"/>
    <n v="90.93"/>
    <n v="63.129999999999995"/>
    <n v="1377296.4"/>
    <n v="812914.2"/>
    <n v="564382.19999999995"/>
  </r>
  <r>
    <s v="Europe"/>
    <x v="3"/>
    <x v="3"/>
    <s v="Online"/>
    <x v="3"/>
    <d v="2015-11-02T00:00:00"/>
    <s v="641537463"/>
    <d v="2015-12-14T00:00:00"/>
    <n v="42"/>
    <n v="4047"/>
    <n v="651.21"/>
    <n v="524.96"/>
    <n v="126.25"/>
    <n v="2635446.87"/>
    <n v="2124513.12"/>
    <n v="510933.75"/>
  </r>
  <r>
    <s v="Europe"/>
    <x v="0"/>
    <x v="9"/>
    <s v="Offline"/>
    <x v="2"/>
    <d v="2015-05-15T00:00:00"/>
    <s v="512662255"/>
    <d v="2015-06-22T00:00:00"/>
    <n v="38"/>
    <n v="7009"/>
    <n v="668.27"/>
    <n v="502.54"/>
    <n v="165.72999999999996"/>
    <n v="4683904.43"/>
    <n v="3522302.86"/>
    <n v="1161601.57"/>
  </r>
  <r>
    <s v="Europe"/>
    <x v="38"/>
    <x v="1"/>
    <s v="Offline"/>
    <x v="2"/>
    <d v="2010-11-07T00:00:00"/>
    <s v="379900634"/>
    <d v="2010-12-02T00:00:00"/>
    <n v="25"/>
    <n v="9895"/>
    <n v="109.28"/>
    <n v="35.840000000000003"/>
    <n v="73.44"/>
    <n v="1081325.6000000001"/>
    <n v="354636.79999999999"/>
    <n v="726688.8"/>
  </r>
  <r>
    <s v="Europe"/>
    <x v="47"/>
    <x v="2"/>
    <s v="Online"/>
    <x v="3"/>
    <d v="2014-06-14T00:00:00"/>
    <s v="243144452"/>
    <d v="2014-07-16T00:00:00"/>
    <n v="32"/>
    <n v="701"/>
    <n v="205.7"/>
    <n v="117.11"/>
    <n v="88.589999999999989"/>
    <n v="144195.70000000001"/>
    <n v="82094.11"/>
    <n v="62101.59"/>
  </r>
  <r>
    <s v="Europe"/>
    <x v="21"/>
    <x v="10"/>
    <s v="Online"/>
    <x v="3"/>
    <d v="2010-06-15T00:00:00"/>
    <s v="998043382"/>
    <d v="2010-07-03T00:00:00"/>
    <n v="18"/>
    <n v="2070"/>
    <n v="437.2"/>
    <n v="263.33"/>
    <n v="173.87"/>
    <n v="905004"/>
    <n v="545093.1"/>
    <n v="359910.9"/>
  </r>
  <r>
    <s v="Europe"/>
    <x v="33"/>
    <x v="4"/>
    <s v="Offline"/>
    <x v="2"/>
    <d v="2015-10-24T00:00:00"/>
    <s v="446045196"/>
    <d v="2015-11-01T00:00:00"/>
    <n v="8"/>
    <n v="3540"/>
    <n v="9.33"/>
    <n v="6.92"/>
    <n v="2.41"/>
    <n v="33028.199999999997"/>
    <n v="24496.799999999999"/>
    <n v="8531.4"/>
  </r>
  <r>
    <s v="Europe"/>
    <x v="29"/>
    <x v="9"/>
    <s v="Offline"/>
    <x v="1"/>
    <d v="2014-10-14T00:00:00"/>
    <s v="544284856"/>
    <d v="2014-10-25T00:00:00"/>
    <n v="11"/>
    <n v="4839"/>
    <n v="668.27"/>
    <n v="502.54"/>
    <n v="165.72999999999996"/>
    <n v="3233758.53"/>
    <n v="2431791.06"/>
    <n v="801967.47"/>
  </r>
  <r>
    <s v="Europe"/>
    <x v="46"/>
    <x v="5"/>
    <s v="Offline"/>
    <x v="3"/>
    <d v="2014-11-06T00:00:00"/>
    <s v="606118571"/>
    <d v="2014-11-18T00:00:00"/>
    <n v="12"/>
    <n v="2809"/>
    <n v="154.06"/>
    <n v="90.93"/>
    <n v="63.129999999999995"/>
    <n v="432754.54"/>
    <n v="255422.37"/>
    <n v="177332.17"/>
  </r>
  <r>
    <s v="Europe"/>
    <x v="16"/>
    <x v="7"/>
    <s v="Online"/>
    <x v="0"/>
    <d v="2010-10-07T00:00:00"/>
    <s v="583654105"/>
    <d v="2010-10-19T00:00:00"/>
    <n v="12"/>
    <n v="5075"/>
    <n v="152.58000000000001"/>
    <n v="97.44"/>
    <n v="55.140000000000015"/>
    <n v="774343.5"/>
    <n v="494508"/>
    <n v="279835.5"/>
  </r>
  <r>
    <s v="Europe"/>
    <x v="31"/>
    <x v="8"/>
    <s v="Online"/>
    <x v="0"/>
    <d v="2014-01-27T00:00:00"/>
    <s v="608451879"/>
    <d v="2014-03-01T00:00:00"/>
    <n v="33"/>
    <n v="3287"/>
    <n v="255.28"/>
    <n v="159.41999999999999"/>
    <n v="95.860000000000014"/>
    <n v="839105.36"/>
    <n v="524013.54"/>
    <n v="315091.82"/>
  </r>
  <r>
    <s v="Europe"/>
    <x v="46"/>
    <x v="0"/>
    <s v="Online"/>
    <x v="1"/>
    <d v="2015-05-10T00:00:00"/>
    <s v="910886180"/>
    <d v="2015-06-10T00:00:00"/>
    <n v="31"/>
    <n v="317"/>
    <n v="47.45"/>
    <n v="31.79"/>
    <n v="15.660000000000004"/>
    <n v="15041.65"/>
    <n v="10077.43"/>
    <n v="4964.22"/>
  </r>
  <r>
    <s v="Europe"/>
    <x v="43"/>
    <x v="7"/>
    <s v="Offline"/>
    <x v="2"/>
    <d v="2011-11-05T00:00:00"/>
    <s v="820195758"/>
    <d v="2011-11-24T00:00:00"/>
    <n v="19"/>
    <n v="3006"/>
    <n v="152.58000000000001"/>
    <n v="97.44"/>
    <n v="55.140000000000015"/>
    <n v="458655.48"/>
    <n v="292904.64"/>
    <n v="165750.84"/>
  </r>
  <r>
    <s v="Europe"/>
    <x v="29"/>
    <x v="1"/>
    <s v="Online"/>
    <x v="3"/>
    <d v="2016-06-28T00:00:00"/>
    <s v="378216636"/>
    <d v="2016-08-08T00:00:00"/>
    <n v="41"/>
    <n v="1562"/>
    <n v="109.28"/>
    <n v="35.840000000000003"/>
    <n v="73.44"/>
    <n v="170695.36"/>
    <n v="55982.080000000002"/>
    <n v="114713.28"/>
  </r>
  <r>
    <s v="Europe"/>
    <x v="26"/>
    <x v="1"/>
    <s v="Online"/>
    <x v="0"/>
    <d v="2014-07-21T00:00:00"/>
    <s v="539002406"/>
    <d v="2014-07-23T00:00:00"/>
    <n v="2"/>
    <n v="1645"/>
    <n v="109.28"/>
    <n v="35.840000000000003"/>
    <n v="73.44"/>
    <n v="179765.6"/>
    <n v="58956.800000000003"/>
    <n v="120808.8"/>
  </r>
  <r>
    <s v="Europe"/>
    <x v="15"/>
    <x v="3"/>
    <s v="Online"/>
    <x v="1"/>
    <d v="2015-05-31T00:00:00"/>
    <s v="659193694"/>
    <d v="2015-06-11T00:00:00"/>
    <n v="11"/>
    <n v="8918"/>
    <n v="651.21"/>
    <n v="524.96"/>
    <n v="126.25"/>
    <n v="5807490.7800000003"/>
    <n v="4681593.28"/>
    <n v="1125897.5"/>
  </r>
  <r>
    <s v="Europe"/>
    <x v="39"/>
    <x v="0"/>
    <s v="Online"/>
    <x v="3"/>
    <d v="2015-03-11T00:00:00"/>
    <s v="320431125"/>
    <d v="2015-04-17T00:00:00"/>
    <n v="37"/>
    <n v="1545"/>
    <n v="47.45"/>
    <n v="31.79"/>
    <n v="15.660000000000004"/>
    <n v="73310.25"/>
    <n v="49115.55"/>
    <n v="24194.7"/>
  </r>
  <r>
    <s v="Europe"/>
    <x v="18"/>
    <x v="5"/>
    <s v="Offline"/>
    <x v="2"/>
    <d v="2011-11-28T00:00:00"/>
    <s v="229355323"/>
    <d v="2011-12-10T00:00:00"/>
    <n v="12"/>
    <n v="192"/>
    <n v="154.06"/>
    <n v="90.93"/>
    <n v="63.129999999999995"/>
    <n v="29579.52"/>
    <n v="17458.560000000001"/>
    <n v="12120.96"/>
  </r>
  <r>
    <s v="Europe"/>
    <x v="35"/>
    <x v="0"/>
    <s v="Offline"/>
    <x v="2"/>
    <d v="2017-07-05T00:00:00"/>
    <s v="949732291"/>
    <d v="2017-08-14T00:00:00"/>
    <n v="40"/>
    <n v="5745"/>
    <n v="47.45"/>
    <n v="31.79"/>
    <n v="15.660000000000004"/>
    <n v="272600.25"/>
    <n v="182633.55"/>
    <n v="89966.7"/>
  </r>
  <r>
    <s v="Europe"/>
    <x v="10"/>
    <x v="9"/>
    <s v="Online"/>
    <x v="0"/>
    <d v="2014-08-12T00:00:00"/>
    <s v="871147000"/>
    <d v="2014-08-25T00:00:00"/>
    <n v="13"/>
    <n v="611"/>
    <n v="668.27"/>
    <n v="502.54"/>
    <n v="165.72999999999996"/>
    <n v="408312.97"/>
    <n v="307051.94"/>
    <n v="101261.03"/>
  </r>
  <r>
    <s v="Europe"/>
    <x v="22"/>
    <x v="8"/>
    <s v="Online"/>
    <x v="1"/>
    <d v="2010-01-18T00:00:00"/>
    <s v="806197631"/>
    <d v="2010-02-18T00:00:00"/>
    <n v="31"/>
    <n v="649"/>
    <n v="255.28"/>
    <n v="159.41999999999999"/>
    <n v="95.860000000000014"/>
    <n v="165676.72"/>
    <n v="103463.58"/>
    <n v="62213.14"/>
  </r>
  <r>
    <s v="Europe"/>
    <x v="29"/>
    <x v="0"/>
    <s v="Offline"/>
    <x v="3"/>
    <d v="2015-07-05T00:00:00"/>
    <s v="926280772"/>
    <d v="2015-07-21T00:00:00"/>
    <n v="16"/>
    <n v="5919"/>
    <n v="47.45"/>
    <n v="31.79"/>
    <n v="15.660000000000004"/>
    <n v="280856.55"/>
    <n v="188165.01"/>
    <n v="92691.54"/>
  </r>
  <r>
    <s v="Europe"/>
    <x v="36"/>
    <x v="5"/>
    <s v="Offline"/>
    <x v="2"/>
    <d v="2011-01-08T00:00:00"/>
    <s v="936547410"/>
    <d v="2011-01-12T00:00:00"/>
    <n v="4"/>
    <n v="4046"/>
    <n v="154.06"/>
    <n v="90.93"/>
    <n v="63.129999999999995"/>
    <n v="623326.76"/>
    <n v="367902.78"/>
    <n v="255423.98"/>
  </r>
  <r>
    <s v="Europe"/>
    <x v="20"/>
    <x v="10"/>
    <s v="Online"/>
    <x v="3"/>
    <d v="2013-10-29T00:00:00"/>
    <s v="498201072"/>
    <d v="2013-11-07T00:00:00"/>
    <n v="9"/>
    <n v="7623"/>
    <n v="437.2"/>
    <n v="263.33"/>
    <n v="173.87"/>
    <n v="3332775.6"/>
    <n v="2007364.59"/>
    <n v="1325411.01"/>
  </r>
  <r>
    <s v="Europe"/>
    <x v="22"/>
    <x v="7"/>
    <s v="Offline"/>
    <x v="3"/>
    <d v="2015-07-27T00:00:00"/>
    <s v="842725884"/>
    <d v="2015-08-11T00:00:00"/>
    <n v="15"/>
    <n v="171"/>
    <n v="152.58000000000001"/>
    <n v="97.44"/>
    <n v="55.140000000000015"/>
    <n v="26091.18"/>
    <n v="16662.240000000002"/>
    <n v="9428.94"/>
  </r>
  <r>
    <s v="Europe"/>
    <x v="14"/>
    <x v="3"/>
    <s v="Online"/>
    <x v="2"/>
    <d v="2017-05-01T00:00:00"/>
    <s v="343730294"/>
    <d v="2017-05-28T00:00:00"/>
    <n v="27"/>
    <n v="6287"/>
    <n v="651.21"/>
    <n v="524.96"/>
    <n v="126.25"/>
    <n v="4094157.27"/>
    <n v="3300423.52"/>
    <n v="793733.75"/>
  </r>
  <r>
    <s v="Europe"/>
    <x v="47"/>
    <x v="5"/>
    <s v="Online"/>
    <x v="0"/>
    <d v="2015-02-26T00:00:00"/>
    <s v="636907756"/>
    <d v="2015-04-01T00:00:00"/>
    <n v="34"/>
    <n v="4013"/>
    <n v="154.06"/>
    <n v="90.93"/>
    <n v="63.129999999999995"/>
    <n v="618242.78"/>
    <n v="364902.09"/>
    <n v="253340.69"/>
  </r>
  <r>
    <s v="Europe"/>
    <x v="0"/>
    <x v="2"/>
    <s v="Online"/>
    <x v="3"/>
    <d v="2013-02-16T00:00:00"/>
    <s v="444806230"/>
    <d v="2013-04-01T00:00:00"/>
    <n v="44"/>
    <n v="6903"/>
    <n v="205.7"/>
    <n v="117.11"/>
    <n v="88.589999999999989"/>
    <n v="1419947.1"/>
    <n v="808410.33"/>
    <n v="611536.77"/>
  </r>
  <r>
    <s v="Europe"/>
    <x v="14"/>
    <x v="7"/>
    <s v="Online"/>
    <x v="1"/>
    <d v="2017-03-18T00:00:00"/>
    <s v="517097985"/>
    <d v="2017-04-14T00:00:00"/>
    <n v="27"/>
    <n v="9640"/>
    <n v="152.58000000000001"/>
    <n v="97.44"/>
    <n v="55.140000000000015"/>
    <n v="1470871.2"/>
    <n v="939321.6"/>
    <n v="531549.6"/>
  </r>
  <r>
    <s v="Europe"/>
    <x v="11"/>
    <x v="0"/>
    <s v="Offline"/>
    <x v="1"/>
    <d v="2015-10-27T00:00:00"/>
    <s v="642953670"/>
    <d v="2015-12-09T00:00:00"/>
    <n v="43"/>
    <n v="3134"/>
    <n v="47.45"/>
    <n v="31.79"/>
    <n v="15.660000000000004"/>
    <n v="148708.29999999999"/>
    <n v="99629.86"/>
    <n v="49078.44"/>
  </r>
  <r>
    <s v="Europe"/>
    <x v="15"/>
    <x v="7"/>
    <s v="Offline"/>
    <x v="1"/>
    <d v="2014-08-18T00:00:00"/>
    <s v="265191352"/>
    <d v="2014-09-26T00:00:00"/>
    <n v="39"/>
    <n v="4869"/>
    <n v="152.58000000000001"/>
    <n v="97.44"/>
    <n v="55.140000000000015"/>
    <n v="742912.02"/>
    <n v="474435.36"/>
    <n v="268476.65999999997"/>
  </r>
  <r>
    <s v="Europe"/>
    <x v="14"/>
    <x v="3"/>
    <s v="Online"/>
    <x v="2"/>
    <d v="2013-06-16T00:00:00"/>
    <s v="129127395"/>
    <d v="2013-06-20T00:00:00"/>
    <n v="4"/>
    <n v="520"/>
    <n v="651.21"/>
    <n v="524.96"/>
    <n v="126.25"/>
    <n v="338629.2"/>
    <n v="272979.20000000001"/>
    <n v="65650"/>
  </r>
  <r>
    <s v="Europe"/>
    <x v="15"/>
    <x v="5"/>
    <s v="Offline"/>
    <x v="1"/>
    <d v="2011-06-25T00:00:00"/>
    <s v="392518174"/>
    <d v="2011-07-03T00:00:00"/>
    <n v="8"/>
    <n v="3705"/>
    <n v="154.06"/>
    <n v="90.93"/>
    <n v="63.129999999999995"/>
    <n v="570792.30000000005"/>
    <n v="336895.65"/>
    <n v="233896.65"/>
  </r>
  <r>
    <s v="Europe"/>
    <x v="21"/>
    <x v="4"/>
    <s v="Online"/>
    <x v="0"/>
    <d v="2016-11-21T00:00:00"/>
    <s v="121380746"/>
    <d v="2016-12-18T00:00:00"/>
    <n v="27"/>
    <n v="8115"/>
    <n v="9.33"/>
    <n v="6.92"/>
    <n v="2.41"/>
    <n v="75712.95"/>
    <n v="56155.8"/>
    <n v="19557.150000000001"/>
  </r>
  <r>
    <s v="Europe"/>
    <x v="12"/>
    <x v="1"/>
    <s v="Offline"/>
    <x v="1"/>
    <d v="2014-05-08T00:00:00"/>
    <s v="745467269"/>
    <d v="2014-06-23T00:00:00"/>
    <n v="46"/>
    <n v="9186"/>
    <n v="109.28"/>
    <n v="35.840000000000003"/>
    <n v="73.44"/>
    <n v="1003846.08"/>
    <n v="329226.23999999999"/>
    <n v="674619.84"/>
  </r>
  <r>
    <s v="Europe"/>
    <x v="3"/>
    <x v="6"/>
    <s v="Offline"/>
    <x v="3"/>
    <d v="2012-04-07T00:00:00"/>
    <s v="948518216"/>
    <d v="2012-05-04T00:00:00"/>
    <n v="27"/>
    <n v="6473"/>
    <n v="421.89"/>
    <n v="364.69"/>
    <n v="57.199999999999989"/>
    <n v="2730893.97"/>
    <n v="2360638.37"/>
    <n v="370255.6"/>
  </r>
  <r>
    <s v="Europe"/>
    <x v="8"/>
    <x v="3"/>
    <s v="Offline"/>
    <x v="2"/>
    <d v="2017-04-17T00:00:00"/>
    <s v="163744628"/>
    <d v="2017-05-01T00:00:00"/>
    <n v="14"/>
    <n v="4529"/>
    <n v="651.21"/>
    <n v="524.96"/>
    <n v="126.25"/>
    <n v="2949330.09"/>
    <n v="2377543.84"/>
    <n v="571786.25"/>
  </r>
  <r>
    <s v="Europe"/>
    <x v="36"/>
    <x v="9"/>
    <s v="Offline"/>
    <x v="1"/>
    <d v="2012-01-23T00:00:00"/>
    <s v="706301438"/>
    <d v="2012-02-11T00:00:00"/>
    <n v="19"/>
    <n v="9146"/>
    <n v="668.27"/>
    <n v="502.54"/>
    <n v="165.72999999999996"/>
    <n v="6111997.4199999999"/>
    <n v="4596230.84"/>
    <n v="1515766.58"/>
  </r>
  <r>
    <s v="Europe"/>
    <x v="5"/>
    <x v="1"/>
    <s v="Online"/>
    <x v="0"/>
    <d v="2014-03-09T00:00:00"/>
    <s v="234082448"/>
    <d v="2014-03-09T00:00:00"/>
    <n v="0"/>
    <n v="9053"/>
    <n v="109.28"/>
    <n v="35.840000000000003"/>
    <n v="73.44"/>
    <n v="989311.84"/>
    <n v="324459.52000000002"/>
    <n v="664852.31999999995"/>
  </r>
  <r>
    <s v="Europe"/>
    <x v="46"/>
    <x v="6"/>
    <s v="Offline"/>
    <x v="2"/>
    <d v="2012-08-22T00:00:00"/>
    <s v="161607444"/>
    <d v="2012-10-03T00:00:00"/>
    <n v="42"/>
    <n v="2089"/>
    <n v="421.89"/>
    <n v="364.69"/>
    <n v="57.199999999999989"/>
    <n v="881328.21"/>
    <n v="761837.41"/>
    <n v="119490.8"/>
  </r>
  <r>
    <s v="Europe"/>
    <x v="29"/>
    <x v="6"/>
    <s v="Offline"/>
    <x v="0"/>
    <d v="2014-07-06T00:00:00"/>
    <s v="764483058"/>
    <d v="2014-08-05T00:00:00"/>
    <n v="30"/>
    <n v="6380"/>
    <n v="421.89"/>
    <n v="364.69"/>
    <n v="57.199999999999989"/>
    <n v="2691658.2"/>
    <n v="2326722.2000000002"/>
    <n v="364936"/>
  </r>
  <r>
    <s v="Europe"/>
    <x v="40"/>
    <x v="8"/>
    <s v="Offline"/>
    <x v="1"/>
    <d v="2014-08-05T00:00:00"/>
    <s v="828993833"/>
    <d v="2014-09-02T00:00:00"/>
    <n v="28"/>
    <n v="6552"/>
    <n v="255.28"/>
    <n v="159.41999999999999"/>
    <n v="95.860000000000014"/>
    <n v="1672594.56"/>
    <n v="1044519.84"/>
    <n v="628074.72"/>
  </r>
  <r>
    <s v="Europe"/>
    <x v="1"/>
    <x v="6"/>
    <s v="Offline"/>
    <x v="0"/>
    <d v="2015-12-09T00:00:00"/>
    <s v="498946940"/>
    <d v="2016-01-11T00:00:00"/>
    <n v="33"/>
    <n v="8342"/>
    <n v="421.89"/>
    <n v="364.69"/>
    <n v="57.199999999999989"/>
    <n v="3519406.38"/>
    <n v="3042243.98"/>
    <n v="477162.4"/>
  </r>
  <r>
    <s v="Europe"/>
    <x v="7"/>
    <x v="11"/>
    <s v="Offline"/>
    <x v="1"/>
    <d v="2014-08-02T00:00:00"/>
    <s v="287151563"/>
    <d v="2014-08-11T00:00:00"/>
    <n v="9"/>
    <n v="3383"/>
    <n v="81.73"/>
    <n v="56.67"/>
    <n v="25.060000000000002"/>
    <n v="276492.59000000003"/>
    <n v="191714.61"/>
    <n v="84777.98"/>
  </r>
  <r>
    <s v="Europe"/>
    <x v="41"/>
    <x v="3"/>
    <s v="Online"/>
    <x v="0"/>
    <d v="2013-05-22T00:00:00"/>
    <s v="259006392"/>
    <d v="2013-06-06T00:00:00"/>
    <n v="15"/>
    <n v="4602"/>
    <n v="651.21"/>
    <n v="524.96"/>
    <n v="126.25"/>
    <n v="2996868.42"/>
    <n v="2415865.92"/>
    <n v="581002.5"/>
  </r>
  <r>
    <s v="Europe"/>
    <x v="19"/>
    <x v="5"/>
    <s v="Online"/>
    <x v="0"/>
    <d v="2012-09-30T00:00:00"/>
    <s v="556647908"/>
    <d v="2012-10-29T00:00:00"/>
    <n v="29"/>
    <n v="3341"/>
    <n v="154.06"/>
    <n v="90.93"/>
    <n v="63.129999999999995"/>
    <n v="514714.46"/>
    <n v="303797.13"/>
    <n v="210917.33"/>
  </r>
  <r>
    <s v="Europe"/>
    <x v="45"/>
    <x v="5"/>
    <s v="Offline"/>
    <x v="1"/>
    <d v="2011-04-09T00:00:00"/>
    <s v="923922574"/>
    <d v="2011-05-23T00:00:00"/>
    <n v="44"/>
    <n v="8076"/>
    <n v="154.06"/>
    <n v="90.93"/>
    <n v="63.129999999999995"/>
    <n v="1244188.56"/>
    <n v="734350.68"/>
    <n v="509837.88"/>
  </r>
  <r>
    <s v="Europe"/>
    <x v="10"/>
    <x v="7"/>
    <s v="Offline"/>
    <x v="0"/>
    <d v="2017-01-04T00:00:00"/>
    <s v="742100560"/>
    <d v="2017-01-17T00:00:00"/>
    <n v="13"/>
    <n v="2902"/>
    <n v="152.58000000000001"/>
    <n v="97.44"/>
    <n v="55.140000000000015"/>
    <n v="442787.16"/>
    <n v="282770.88"/>
    <n v="160016.28"/>
  </r>
  <r>
    <s v="Europe"/>
    <x v="32"/>
    <x v="4"/>
    <s v="Offline"/>
    <x v="3"/>
    <d v="2014-02-12T00:00:00"/>
    <s v="605029380"/>
    <d v="2014-02-18T00:00:00"/>
    <n v="6"/>
    <n v="493"/>
    <n v="9.33"/>
    <n v="6.92"/>
    <n v="2.41"/>
    <n v="4599.6899999999996"/>
    <n v="3411.56"/>
    <n v="1188.1300000000001"/>
  </r>
  <r>
    <s v="Europe"/>
    <x v="22"/>
    <x v="6"/>
    <s v="Online"/>
    <x v="2"/>
    <d v="2017-06-11T00:00:00"/>
    <s v="333304440"/>
    <d v="2017-07-05T00:00:00"/>
    <n v="24"/>
    <n v="1046"/>
    <n v="421.89"/>
    <n v="364.69"/>
    <n v="57.199999999999989"/>
    <n v="441296.94"/>
    <n v="381465.74"/>
    <n v="59831.199999999997"/>
  </r>
  <r>
    <s v="Europe"/>
    <x v="12"/>
    <x v="10"/>
    <s v="Offline"/>
    <x v="3"/>
    <d v="2014-09-03T00:00:00"/>
    <s v="486345708"/>
    <d v="2014-10-11T00:00:00"/>
    <n v="38"/>
    <n v="9357"/>
    <n v="437.2"/>
    <n v="263.33"/>
    <n v="173.87"/>
    <n v="4090880.4"/>
    <n v="2463978.81"/>
    <n v="1626901.59"/>
  </r>
  <r>
    <s v="Europe"/>
    <x v="21"/>
    <x v="0"/>
    <s v="Online"/>
    <x v="1"/>
    <d v="2016-04-30T00:00:00"/>
    <s v="180358016"/>
    <d v="2016-05-16T00:00:00"/>
    <n v="16"/>
    <n v="800"/>
    <n v="47.45"/>
    <n v="31.79"/>
    <n v="15.660000000000004"/>
    <n v="37960"/>
    <n v="25432"/>
    <n v="12528"/>
  </r>
  <r>
    <s v="Europe"/>
    <x v="47"/>
    <x v="1"/>
    <s v="Online"/>
    <x v="3"/>
    <d v="2012-07-18T00:00:00"/>
    <s v="141846215"/>
    <d v="2012-08-16T00:00:00"/>
    <n v="29"/>
    <n v="4302"/>
    <n v="109.28"/>
    <n v="35.840000000000003"/>
    <n v="73.44"/>
    <n v="470122.56"/>
    <n v="154183.67999999999"/>
    <n v="315938.88"/>
  </r>
  <r>
    <s v="Europe"/>
    <x v="31"/>
    <x v="8"/>
    <s v="Offline"/>
    <x v="0"/>
    <d v="2017-06-09T00:00:00"/>
    <s v="252541625"/>
    <d v="2017-07-05T00:00:00"/>
    <n v="26"/>
    <n v="1534"/>
    <n v="255.28"/>
    <n v="159.41999999999999"/>
    <n v="95.860000000000014"/>
    <n v="391599.52"/>
    <n v="244550.28"/>
    <n v="147049.24"/>
  </r>
  <r>
    <s v="Europe"/>
    <x v="5"/>
    <x v="10"/>
    <s v="Offline"/>
    <x v="0"/>
    <d v="2014-03-29T00:00:00"/>
    <s v="614597785"/>
    <d v="2014-05-14T00:00:00"/>
    <n v="46"/>
    <n v="1997"/>
    <n v="437.2"/>
    <n v="263.33"/>
    <n v="173.87"/>
    <n v="873088.4"/>
    <n v="525870.01"/>
    <n v="347218.39"/>
  </r>
  <r>
    <s v="Europe"/>
    <x v="34"/>
    <x v="11"/>
    <s v="Offline"/>
    <x v="3"/>
    <d v="2011-05-17T00:00:00"/>
    <s v="861976850"/>
    <d v="2011-05-25T00:00:00"/>
    <n v="8"/>
    <n v="6960"/>
    <n v="81.73"/>
    <n v="56.67"/>
    <n v="25.060000000000002"/>
    <n v="568840.80000000005"/>
    <n v="394423.2"/>
    <n v="174417.6"/>
  </r>
  <r>
    <s v="Europe"/>
    <x v="0"/>
    <x v="1"/>
    <s v="Offline"/>
    <x v="2"/>
    <d v="2012-08-21T00:00:00"/>
    <s v="631463515"/>
    <d v="2012-09-25T00:00:00"/>
    <n v="35"/>
    <n v="2942"/>
    <n v="109.28"/>
    <n v="35.840000000000003"/>
    <n v="73.44"/>
    <n v="321501.76"/>
    <n v="105441.28"/>
    <n v="216060.48"/>
  </r>
  <r>
    <s v="Europe"/>
    <x v="31"/>
    <x v="4"/>
    <s v="Online"/>
    <x v="1"/>
    <d v="2013-07-29T00:00:00"/>
    <s v="307305467"/>
    <d v="2013-08-10T00:00:00"/>
    <n v="12"/>
    <n v="7371"/>
    <n v="9.33"/>
    <n v="6.92"/>
    <n v="2.41"/>
    <n v="68771.429999999993"/>
    <n v="51007.32"/>
    <n v="17764.11"/>
  </r>
  <r>
    <s v="Europe"/>
    <x v="22"/>
    <x v="2"/>
    <s v="Offline"/>
    <x v="3"/>
    <d v="2011-07-05T00:00:00"/>
    <s v="392676532"/>
    <d v="2011-08-06T00:00:00"/>
    <n v="32"/>
    <n v="567"/>
    <n v="205.7"/>
    <n v="117.11"/>
    <n v="88.589999999999989"/>
    <n v="116631.9"/>
    <n v="66401.37"/>
    <n v="50230.53"/>
  </r>
  <r>
    <s v="Europe"/>
    <x v="6"/>
    <x v="8"/>
    <s v="Online"/>
    <x v="2"/>
    <d v="2012-05-26T00:00:00"/>
    <s v="111063039"/>
    <d v="2012-07-13T00:00:00"/>
    <n v="48"/>
    <n v="4876"/>
    <n v="255.28"/>
    <n v="159.41999999999999"/>
    <n v="95.860000000000014"/>
    <n v="1244745.28"/>
    <n v="777331.92"/>
    <n v="467413.36"/>
  </r>
  <r>
    <s v="Europe"/>
    <x v="33"/>
    <x v="0"/>
    <s v="Online"/>
    <x v="1"/>
    <d v="2011-12-05T00:00:00"/>
    <s v="556263816"/>
    <d v="2011-12-07T00:00:00"/>
    <n v="2"/>
    <n v="9679"/>
    <n v="47.45"/>
    <n v="31.79"/>
    <n v="15.660000000000004"/>
    <n v="459268.55"/>
    <n v="307695.40999999997"/>
    <n v="151573.14000000001"/>
  </r>
  <r>
    <s v="Europe"/>
    <x v="36"/>
    <x v="0"/>
    <s v="Online"/>
    <x v="1"/>
    <d v="2011-05-25T00:00:00"/>
    <s v="642123687"/>
    <d v="2011-05-30T00:00:00"/>
    <n v="5"/>
    <n v="7523"/>
    <n v="47.45"/>
    <n v="31.79"/>
    <n v="15.660000000000004"/>
    <n v="356966.35"/>
    <n v="239156.17"/>
    <n v="117810.18"/>
  </r>
  <r>
    <s v="Europe"/>
    <x v="0"/>
    <x v="0"/>
    <s v="Online"/>
    <x v="1"/>
    <d v="2010-05-02T00:00:00"/>
    <s v="242168128"/>
    <d v="2010-05-03T00:00:00"/>
    <n v="1"/>
    <n v="1785"/>
    <n v="47.45"/>
    <n v="31.79"/>
    <n v="15.660000000000004"/>
    <n v="84698.25"/>
    <n v="56745.15"/>
    <n v="27953.1"/>
  </r>
  <r>
    <s v="Europe"/>
    <x v="41"/>
    <x v="0"/>
    <s v="Offline"/>
    <x v="3"/>
    <d v="2017-03-11T00:00:00"/>
    <s v="192236125"/>
    <d v="2017-03-22T00:00:00"/>
    <n v="11"/>
    <n v="5796"/>
    <n v="47.45"/>
    <n v="31.79"/>
    <n v="15.660000000000004"/>
    <n v="275020.2"/>
    <n v="184254.84"/>
    <n v="90765.36"/>
  </r>
  <r>
    <s v="Europe"/>
    <x v="36"/>
    <x v="7"/>
    <s v="Online"/>
    <x v="2"/>
    <d v="2016-08-18T00:00:00"/>
    <s v="957926118"/>
    <d v="2016-09-01T00:00:00"/>
    <n v="14"/>
    <n v="480"/>
    <n v="152.58000000000001"/>
    <n v="97.44"/>
    <n v="55.140000000000015"/>
    <n v="73238.399999999994"/>
    <n v="46771.199999999997"/>
    <n v="26467.200000000001"/>
  </r>
  <r>
    <s v="Europe"/>
    <x v="2"/>
    <x v="0"/>
    <s v="Online"/>
    <x v="3"/>
    <d v="2016-11-14T00:00:00"/>
    <s v="646691596"/>
    <d v="2016-12-13T00:00:00"/>
    <n v="29"/>
    <n v="9269"/>
    <n v="47.45"/>
    <n v="31.79"/>
    <n v="15.660000000000004"/>
    <n v="439814.05"/>
    <n v="294661.51"/>
    <n v="145152.54"/>
  </r>
  <r>
    <s v="Europe"/>
    <x v="13"/>
    <x v="3"/>
    <s v="Offline"/>
    <x v="3"/>
    <d v="2015-12-04T00:00:00"/>
    <s v="115363156"/>
    <d v="2016-01-10T00:00:00"/>
    <n v="37"/>
    <n v="7376"/>
    <n v="651.21"/>
    <n v="524.96"/>
    <n v="126.25"/>
    <n v="4803324.96"/>
    <n v="3872104.96"/>
    <n v="931220"/>
  </r>
  <r>
    <s v="Europe"/>
    <x v="43"/>
    <x v="9"/>
    <s v="Offline"/>
    <x v="2"/>
    <d v="2017-03-17T00:00:00"/>
    <s v="922564303"/>
    <d v="2017-04-02T00:00:00"/>
    <n v="16"/>
    <n v="6134"/>
    <n v="668.27"/>
    <n v="502.54"/>
    <n v="165.72999999999996"/>
    <n v="4099168.18"/>
    <n v="3082580.36"/>
    <n v="1016587.82"/>
  </r>
  <r>
    <s v="Europe"/>
    <x v="3"/>
    <x v="2"/>
    <s v="Offline"/>
    <x v="3"/>
    <d v="2011-02-17T00:00:00"/>
    <s v="928168189"/>
    <d v="2011-03-15T00:00:00"/>
    <n v="26"/>
    <n v="4448"/>
    <n v="205.7"/>
    <n v="117.11"/>
    <n v="88.589999999999989"/>
    <n v="914953.6"/>
    <n v="520905.28"/>
    <n v="394048.32"/>
  </r>
  <r>
    <s v="Europe"/>
    <x v="23"/>
    <x v="5"/>
    <s v="Online"/>
    <x v="2"/>
    <d v="2011-03-18T00:00:00"/>
    <s v="346498763"/>
    <d v="2011-04-02T00:00:00"/>
    <n v="15"/>
    <n v="5539"/>
    <n v="154.06"/>
    <n v="90.93"/>
    <n v="63.129999999999995"/>
    <n v="853338.34"/>
    <n v="503661.27"/>
    <n v="349677.07"/>
  </r>
  <r>
    <s v="Europe"/>
    <x v="15"/>
    <x v="0"/>
    <s v="Offline"/>
    <x v="3"/>
    <d v="2016-11-29T00:00:00"/>
    <s v="797316300"/>
    <d v="2016-11-29T00:00:00"/>
    <n v="0"/>
    <n v="2466"/>
    <n v="47.45"/>
    <n v="31.79"/>
    <n v="15.660000000000004"/>
    <n v="117011.7"/>
    <n v="78394.14"/>
    <n v="38617.56"/>
  </r>
  <r>
    <s v="Europe"/>
    <x v="45"/>
    <x v="8"/>
    <s v="Online"/>
    <x v="3"/>
    <d v="2015-04-18T00:00:00"/>
    <s v="497506701"/>
    <d v="2015-05-10T00:00:00"/>
    <n v="22"/>
    <n v="2144"/>
    <n v="255.28"/>
    <n v="159.41999999999999"/>
    <n v="95.860000000000014"/>
    <n v="547320.31999999995"/>
    <n v="341796.48"/>
    <n v="205523.84"/>
  </r>
  <r>
    <s v="Europe"/>
    <x v="39"/>
    <x v="11"/>
    <s v="Online"/>
    <x v="0"/>
    <d v="2010-06-05T00:00:00"/>
    <s v="245556294"/>
    <d v="2010-06-25T00:00:00"/>
    <n v="20"/>
    <n v="4419"/>
    <n v="81.73"/>
    <n v="56.67"/>
    <n v="25.060000000000002"/>
    <n v="361164.87"/>
    <n v="250424.73"/>
    <n v="110740.14"/>
  </r>
  <r>
    <s v="Europe"/>
    <x v="14"/>
    <x v="11"/>
    <s v="Online"/>
    <x v="2"/>
    <d v="2014-01-27T00:00:00"/>
    <s v="716411006"/>
    <d v="2014-02-17T00:00:00"/>
    <n v="21"/>
    <n v="792"/>
    <n v="81.73"/>
    <n v="56.67"/>
    <n v="25.060000000000002"/>
    <n v="64730.16"/>
    <n v="44882.64"/>
    <n v="19847.52"/>
  </r>
  <r>
    <s v="Europe"/>
    <x v="18"/>
    <x v="3"/>
    <s v="Online"/>
    <x v="1"/>
    <d v="2015-11-01T00:00:00"/>
    <s v="186597907"/>
    <d v="2015-12-15T00:00:00"/>
    <n v="44"/>
    <n v="7322"/>
    <n v="651.21"/>
    <n v="524.96"/>
    <n v="126.25"/>
    <n v="4768159.62"/>
    <n v="3843757.12"/>
    <n v="924402.5"/>
  </r>
  <r>
    <s v="Europe"/>
    <x v="25"/>
    <x v="5"/>
    <s v="Online"/>
    <x v="2"/>
    <d v="2016-05-15T00:00:00"/>
    <s v="848737466"/>
    <d v="2016-05-31T00:00:00"/>
    <n v="16"/>
    <n v="9132"/>
    <n v="154.06"/>
    <n v="90.93"/>
    <n v="63.129999999999995"/>
    <n v="1406875.92"/>
    <n v="830372.76"/>
    <n v="576503.16"/>
  </r>
  <r>
    <s v="Europe"/>
    <x v="32"/>
    <x v="3"/>
    <s v="Online"/>
    <x v="3"/>
    <d v="2013-10-27T00:00:00"/>
    <s v="130754315"/>
    <d v="2013-11-02T00:00:00"/>
    <n v="6"/>
    <n v="1962"/>
    <n v="651.21"/>
    <n v="524.96"/>
    <n v="126.25"/>
    <n v="1277674.02"/>
    <n v="1029971.52"/>
    <n v="247702.5"/>
  </r>
  <r>
    <s v="Europe"/>
    <x v="11"/>
    <x v="3"/>
    <s v="Offline"/>
    <x v="1"/>
    <d v="2011-02-02T00:00:00"/>
    <s v="719293630"/>
    <d v="2011-02-25T00:00:00"/>
    <n v="23"/>
    <n v="3824"/>
    <n v="651.21"/>
    <n v="524.96"/>
    <n v="126.25"/>
    <n v="2490227.04"/>
    <n v="2007447.04"/>
    <n v="482780"/>
  </r>
  <r>
    <s v="Europe"/>
    <x v="27"/>
    <x v="3"/>
    <s v="Offline"/>
    <x v="0"/>
    <d v="2011-05-07T00:00:00"/>
    <s v="616775310"/>
    <d v="2011-05-24T00:00:00"/>
    <n v="17"/>
    <n v="6375"/>
    <n v="651.21"/>
    <n v="524.96"/>
    <n v="126.25"/>
    <n v="4151463.75"/>
    <n v="3346620"/>
    <n v="804843.75"/>
  </r>
  <r>
    <s v="Europe"/>
    <x v="8"/>
    <x v="4"/>
    <s v="Offline"/>
    <x v="2"/>
    <d v="2010-09-20T00:00:00"/>
    <s v="591287887"/>
    <d v="2010-10-02T00:00:00"/>
    <n v="12"/>
    <n v="4080"/>
    <n v="9.33"/>
    <n v="6.92"/>
    <n v="2.41"/>
    <n v="38066.400000000001"/>
    <n v="28233.599999999999"/>
    <n v="9832.7999999999993"/>
  </r>
  <r>
    <s v="Europe"/>
    <x v="37"/>
    <x v="1"/>
    <s v="Online"/>
    <x v="1"/>
    <d v="2010-04-18T00:00:00"/>
    <s v="334539973"/>
    <d v="2010-05-11T00:00:00"/>
    <n v="23"/>
    <n v="6667"/>
    <n v="109.28"/>
    <n v="35.840000000000003"/>
    <n v="73.44"/>
    <n v="728569.76"/>
    <n v="238945.28"/>
    <n v="489624.48"/>
  </r>
  <r>
    <s v="Europe"/>
    <x v="44"/>
    <x v="7"/>
    <s v="Offline"/>
    <x v="0"/>
    <d v="2016-01-16T00:00:00"/>
    <s v="403665006"/>
    <d v="2016-02-19T00:00:00"/>
    <n v="34"/>
    <n v="2300"/>
    <n v="152.58000000000001"/>
    <n v="97.44"/>
    <n v="55.140000000000015"/>
    <n v="350934"/>
    <n v="224112"/>
    <n v="126822"/>
  </r>
  <r>
    <s v="Europe"/>
    <x v="17"/>
    <x v="10"/>
    <s v="Offline"/>
    <x v="3"/>
    <d v="2011-04-13T00:00:00"/>
    <s v="892042911"/>
    <d v="2011-05-12T00:00:00"/>
    <n v="29"/>
    <n v="4175"/>
    <n v="437.2"/>
    <n v="263.33"/>
    <n v="173.87"/>
    <n v="1825310"/>
    <n v="1099402.75"/>
    <n v="725907.25"/>
  </r>
  <r>
    <s v="Europe"/>
    <x v="19"/>
    <x v="9"/>
    <s v="Online"/>
    <x v="0"/>
    <d v="2016-07-30T00:00:00"/>
    <s v="394356667"/>
    <d v="2016-08-04T00:00:00"/>
    <n v="5"/>
    <n v="7756"/>
    <n v="668.27"/>
    <n v="502.54"/>
    <n v="165.72999999999996"/>
    <n v="5183102.12"/>
    <n v="3897700.24"/>
    <n v="1285401.8799999999"/>
  </r>
  <r>
    <s v="Europe"/>
    <x v="24"/>
    <x v="4"/>
    <s v="Offline"/>
    <x v="1"/>
    <d v="2012-04-29T00:00:00"/>
    <s v="752792918"/>
    <d v="2012-05-12T00:00:00"/>
    <n v="13"/>
    <n v="7008"/>
    <n v="9.33"/>
    <n v="6.92"/>
    <n v="2.41"/>
    <n v="65384.639999999999"/>
    <n v="48495.360000000001"/>
    <n v="16889.28"/>
  </r>
  <r>
    <s v="Europe"/>
    <x v="1"/>
    <x v="5"/>
    <s v="Online"/>
    <x v="0"/>
    <d v="2012-03-02T00:00:00"/>
    <s v="760619390"/>
    <d v="2012-04-16T00:00:00"/>
    <n v="45"/>
    <n v="3035"/>
    <n v="154.06"/>
    <n v="90.93"/>
    <n v="63.129999999999995"/>
    <n v="467572.1"/>
    <n v="275972.55"/>
    <n v="191599.55"/>
  </r>
  <r>
    <s v="Europe"/>
    <x v="13"/>
    <x v="0"/>
    <s v="Online"/>
    <x v="1"/>
    <d v="2014-02-19T00:00:00"/>
    <s v="343889510"/>
    <d v="2014-04-02T00:00:00"/>
    <n v="42"/>
    <n v="3403"/>
    <n v="47.45"/>
    <n v="31.79"/>
    <n v="15.660000000000004"/>
    <n v="161472.35"/>
    <n v="108181.37"/>
    <n v="53290.98"/>
  </r>
  <r>
    <s v="Europe"/>
    <x v="21"/>
    <x v="8"/>
    <s v="Offline"/>
    <x v="2"/>
    <d v="2012-06-25T00:00:00"/>
    <s v="398104035"/>
    <d v="2012-08-12T00:00:00"/>
    <n v="48"/>
    <n v="6686"/>
    <n v="255.28"/>
    <n v="159.41999999999999"/>
    <n v="95.860000000000014"/>
    <n v="1706802.08"/>
    <n v="1065882.1200000001"/>
    <n v="640919.96"/>
  </r>
  <r>
    <s v="Europe"/>
    <x v="20"/>
    <x v="6"/>
    <s v="Offline"/>
    <x v="1"/>
    <d v="2014-09-25T00:00:00"/>
    <s v="631460940"/>
    <d v="2014-10-05T00:00:00"/>
    <n v="10"/>
    <n v="2180"/>
    <n v="421.89"/>
    <n v="364.69"/>
    <n v="57.199999999999989"/>
    <n v="919720.2"/>
    <n v="795024.2"/>
    <n v="124696"/>
  </r>
  <r>
    <s v="Europe"/>
    <x v="31"/>
    <x v="7"/>
    <s v="Offline"/>
    <x v="1"/>
    <d v="2010-05-01T00:00:00"/>
    <s v="489848029"/>
    <d v="2010-05-20T00:00:00"/>
    <n v="19"/>
    <n v="5772"/>
    <n v="152.58000000000001"/>
    <n v="97.44"/>
    <n v="55.140000000000015"/>
    <n v="880691.76"/>
    <n v="562423.68000000005"/>
    <n v="318268.08"/>
  </r>
  <r>
    <s v="Europe"/>
    <x v="43"/>
    <x v="3"/>
    <s v="Online"/>
    <x v="2"/>
    <d v="2016-11-27T00:00:00"/>
    <s v="797788369"/>
    <d v="2016-11-28T00:00:00"/>
    <n v="1"/>
    <n v="2162"/>
    <n v="651.21"/>
    <n v="524.96"/>
    <n v="126.25"/>
    <n v="1407916.02"/>
    <n v="1134963.52"/>
    <n v="272952.5"/>
  </r>
  <r>
    <s v="Europe"/>
    <x v="19"/>
    <x v="11"/>
    <s v="Online"/>
    <x v="0"/>
    <d v="2013-06-05T00:00:00"/>
    <s v="430687510"/>
    <d v="2013-06-10T00:00:00"/>
    <n v="5"/>
    <n v="8860"/>
    <n v="81.73"/>
    <n v="56.67"/>
    <n v="25.060000000000002"/>
    <n v="724127.8"/>
    <n v="502096.2"/>
    <n v="222031.6"/>
  </r>
  <r>
    <s v="Europe"/>
    <x v="16"/>
    <x v="11"/>
    <s v="Online"/>
    <x v="3"/>
    <d v="2015-02-11T00:00:00"/>
    <s v="667054498"/>
    <d v="2015-02-12T00:00:00"/>
    <n v="1"/>
    <n v="5104"/>
    <n v="81.73"/>
    <n v="56.67"/>
    <n v="25.060000000000002"/>
    <n v="417149.92"/>
    <n v="289243.68"/>
    <n v="127906.24000000001"/>
  </r>
  <r>
    <s v="Europe"/>
    <x v="26"/>
    <x v="2"/>
    <s v="Online"/>
    <x v="3"/>
    <d v="2014-09-14T00:00:00"/>
    <s v="666921460"/>
    <d v="2014-10-10T00:00:00"/>
    <n v="26"/>
    <n v="5735"/>
    <n v="205.7"/>
    <n v="117.11"/>
    <n v="88.589999999999989"/>
    <n v="1179689.5"/>
    <n v="671625.85"/>
    <n v="508063.65"/>
  </r>
  <r>
    <s v="Europe"/>
    <x v="2"/>
    <x v="3"/>
    <s v="Online"/>
    <x v="2"/>
    <d v="2014-03-12T00:00:00"/>
    <s v="861252868"/>
    <d v="2014-03-28T00:00:00"/>
    <n v="16"/>
    <n v="2717"/>
    <n v="651.21"/>
    <n v="524.96"/>
    <n v="126.25"/>
    <n v="1769337.57"/>
    <n v="1426316.32"/>
    <n v="343021.25"/>
  </r>
  <r>
    <s v="Europe"/>
    <x v="43"/>
    <x v="8"/>
    <s v="Online"/>
    <x v="0"/>
    <d v="2017-05-24T00:00:00"/>
    <s v="126948583"/>
    <d v="2017-07-09T00:00:00"/>
    <n v="46"/>
    <n v="5762"/>
    <n v="255.28"/>
    <n v="159.41999999999999"/>
    <n v="95.860000000000014"/>
    <n v="1470923.36"/>
    <n v="918578.04"/>
    <n v="552345.31999999995"/>
  </r>
  <r>
    <s v="Europe"/>
    <x v="4"/>
    <x v="1"/>
    <s v="Offline"/>
    <x v="3"/>
    <d v="2013-06-08T00:00:00"/>
    <s v="353191840"/>
    <d v="2013-07-09T00:00:00"/>
    <n v="31"/>
    <n v="6169"/>
    <n v="109.28"/>
    <n v="35.840000000000003"/>
    <n v="73.44"/>
    <n v="674148.32"/>
    <n v="221096.95999999999"/>
    <n v="453051.36"/>
  </r>
  <r>
    <s v="Europe"/>
    <x v="9"/>
    <x v="5"/>
    <s v="Online"/>
    <x v="2"/>
    <d v="2017-05-09T00:00:00"/>
    <s v="259032571"/>
    <d v="2017-05-13T00:00:00"/>
    <n v="4"/>
    <n v="2349"/>
    <n v="154.06"/>
    <n v="90.93"/>
    <n v="63.129999999999995"/>
    <n v="361886.94"/>
    <n v="213594.57"/>
    <n v="148292.37"/>
  </r>
  <r>
    <s v="Europe"/>
    <x v="47"/>
    <x v="6"/>
    <s v="Offline"/>
    <x v="2"/>
    <d v="2014-08-03T00:00:00"/>
    <s v="517514264"/>
    <d v="2014-09-04T00:00:00"/>
    <n v="32"/>
    <n v="2826"/>
    <n v="421.89"/>
    <n v="364.69"/>
    <n v="57.199999999999989"/>
    <n v="1192261.1399999999"/>
    <n v="1030613.94"/>
    <n v="161647.20000000001"/>
  </r>
  <r>
    <s v="Europe"/>
    <x v="19"/>
    <x v="10"/>
    <s v="Offline"/>
    <x v="3"/>
    <d v="2016-03-02T00:00:00"/>
    <s v="624940383"/>
    <d v="2016-03-30T00:00:00"/>
    <n v="28"/>
    <n v="2602"/>
    <n v="437.2"/>
    <n v="263.33"/>
    <n v="173.87"/>
    <n v="1137594.3999999999"/>
    <n v="685184.66"/>
    <n v="452409.74"/>
  </r>
  <r>
    <s v="Europe"/>
    <x v="21"/>
    <x v="10"/>
    <s v="Online"/>
    <x v="0"/>
    <d v="2011-10-21T00:00:00"/>
    <s v="567751824"/>
    <d v="2011-11-21T00:00:00"/>
    <n v="31"/>
    <n v="9236"/>
    <n v="437.2"/>
    <n v="263.33"/>
    <n v="173.87"/>
    <n v="4037979.2"/>
    <n v="2432115.88"/>
    <n v="1605863.32"/>
  </r>
  <r>
    <s v="Europe"/>
    <x v="33"/>
    <x v="4"/>
    <s v="Offline"/>
    <x v="3"/>
    <d v="2012-12-06T00:00:00"/>
    <s v="262177836"/>
    <d v="2013-01-16T00:00:00"/>
    <n v="41"/>
    <n v="3103"/>
    <n v="9.33"/>
    <n v="6.92"/>
    <n v="2.41"/>
    <n v="28950.99"/>
    <n v="21472.76"/>
    <n v="7478.23"/>
  </r>
  <r>
    <s v="Europe"/>
    <x v="41"/>
    <x v="9"/>
    <s v="Online"/>
    <x v="2"/>
    <d v="2016-05-25T00:00:00"/>
    <s v="582560193"/>
    <d v="2016-05-28T00:00:00"/>
    <n v="3"/>
    <n v="1362"/>
    <n v="668.27"/>
    <n v="502.54"/>
    <n v="165.72999999999996"/>
    <n v="910183.74"/>
    <n v="684459.48"/>
    <n v="225724.26"/>
  </r>
  <r>
    <s v="Europe"/>
    <x v="27"/>
    <x v="5"/>
    <s v="Online"/>
    <x v="3"/>
    <d v="2014-07-01T00:00:00"/>
    <s v="139949357"/>
    <d v="2014-07-14T00:00:00"/>
    <n v="13"/>
    <n v="2980"/>
    <n v="154.06"/>
    <n v="90.93"/>
    <n v="63.129999999999995"/>
    <n v="459098.8"/>
    <n v="270971.40000000002"/>
    <n v="188127.4"/>
  </r>
  <r>
    <s v="Europe"/>
    <x v="30"/>
    <x v="1"/>
    <s v="Offline"/>
    <x v="3"/>
    <d v="2015-03-09T00:00:00"/>
    <s v="470503079"/>
    <d v="2015-03-21T00:00:00"/>
    <n v="12"/>
    <n v="1172"/>
    <n v="109.28"/>
    <n v="35.840000000000003"/>
    <n v="73.44"/>
    <n v="128076.16"/>
    <n v="42004.480000000003"/>
    <n v="86071.679999999993"/>
  </r>
  <r>
    <s v="Europe"/>
    <x v="2"/>
    <x v="0"/>
    <s v="Offline"/>
    <x v="0"/>
    <d v="2015-05-10T00:00:00"/>
    <s v="413951814"/>
    <d v="2015-05-31T00:00:00"/>
    <n v="21"/>
    <n v="6395"/>
    <n v="47.45"/>
    <n v="31.79"/>
    <n v="15.660000000000004"/>
    <n v="303442.75"/>
    <n v="203297.05"/>
    <n v="100145.7"/>
  </r>
  <r>
    <s v="Europe"/>
    <x v="38"/>
    <x v="3"/>
    <s v="Offline"/>
    <x v="2"/>
    <d v="2010-08-19T00:00:00"/>
    <s v="433734500"/>
    <d v="2010-09-08T00:00:00"/>
    <n v="20"/>
    <n v="532"/>
    <n v="651.21"/>
    <n v="524.96"/>
    <n v="126.25"/>
    <n v="346443.72"/>
    <n v="279278.71999999997"/>
    <n v="67165"/>
  </r>
  <r>
    <s v="Europe"/>
    <x v="13"/>
    <x v="3"/>
    <s v="Online"/>
    <x v="0"/>
    <d v="2012-11-14T00:00:00"/>
    <s v="624348151"/>
    <d v="2012-12-08T00:00:00"/>
    <n v="24"/>
    <n v="7347"/>
    <n v="651.21"/>
    <n v="524.96"/>
    <n v="126.25"/>
    <n v="4784439.87"/>
    <n v="3856881.12"/>
    <n v="927558.75"/>
  </r>
  <r>
    <s v="Europe"/>
    <x v="17"/>
    <x v="1"/>
    <s v="Offline"/>
    <x v="1"/>
    <d v="2012-03-12T00:00:00"/>
    <s v="109914195"/>
    <d v="2012-04-16T00:00:00"/>
    <n v="35"/>
    <n v="4908"/>
    <n v="109.28"/>
    <n v="35.840000000000003"/>
    <n v="73.44"/>
    <n v="536346.24"/>
    <n v="175902.72"/>
    <n v="360443.52"/>
  </r>
  <r>
    <s v="Europe"/>
    <x v="47"/>
    <x v="7"/>
    <s v="Online"/>
    <x v="0"/>
    <d v="2010-05-31T00:00:00"/>
    <s v="947073256"/>
    <d v="2010-06-12T00:00:00"/>
    <n v="12"/>
    <n v="8878"/>
    <n v="152.58000000000001"/>
    <n v="97.44"/>
    <n v="55.140000000000015"/>
    <n v="1354605.24"/>
    <n v="865072.32"/>
    <n v="489532.92"/>
  </r>
  <r>
    <s v="Europe"/>
    <x v="1"/>
    <x v="11"/>
    <s v="Online"/>
    <x v="2"/>
    <d v="2014-07-24T00:00:00"/>
    <s v="409514796"/>
    <d v="2014-09-07T00:00:00"/>
    <n v="45"/>
    <n v="3383"/>
    <n v="81.73"/>
    <n v="56.67"/>
    <n v="25.060000000000002"/>
    <n v="276492.59000000003"/>
    <n v="191714.61"/>
    <n v="84777.98"/>
  </r>
  <r>
    <s v="Europe"/>
    <x v="14"/>
    <x v="3"/>
    <s v="Online"/>
    <x v="2"/>
    <d v="2010-05-31T00:00:00"/>
    <s v="182228696"/>
    <d v="2010-07-12T00:00:00"/>
    <n v="42"/>
    <n v="4375"/>
    <n v="651.21"/>
    <n v="524.96"/>
    <n v="126.25"/>
    <n v="2849043.75"/>
    <n v="2296700"/>
    <n v="552343.75"/>
  </r>
  <r>
    <s v="Europe"/>
    <x v="1"/>
    <x v="9"/>
    <s v="Online"/>
    <x v="0"/>
    <d v="2013-02-13T00:00:00"/>
    <s v="723893725"/>
    <d v="2013-03-11T00:00:00"/>
    <n v="26"/>
    <n v="5095"/>
    <n v="668.27"/>
    <n v="502.54"/>
    <n v="165.72999999999996"/>
    <n v="3404835.65"/>
    <n v="2560441.2999999998"/>
    <n v="844394.35"/>
  </r>
  <r>
    <s v="Europe"/>
    <x v="24"/>
    <x v="7"/>
    <s v="Offline"/>
    <x v="2"/>
    <d v="2016-03-12T00:00:00"/>
    <s v="392217338"/>
    <d v="2016-03-15T00:00:00"/>
    <n v="3"/>
    <n v="4681"/>
    <n v="152.58000000000001"/>
    <n v="97.44"/>
    <n v="55.140000000000015"/>
    <n v="714226.98"/>
    <n v="456116.64"/>
    <n v="258110.34"/>
  </r>
  <r>
    <s v="Europe"/>
    <x v="46"/>
    <x v="8"/>
    <s v="Offline"/>
    <x v="0"/>
    <d v="2015-02-19T00:00:00"/>
    <s v="108407437"/>
    <d v="2015-03-27T00:00:00"/>
    <n v="36"/>
    <n v="9025"/>
    <n v="255.28"/>
    <n v="159.41999999999999"/>
    <n v="95.860000000000014"/>
    <n v="2303902"/>
    <n v="1438765.5"/>
    <n v="865136.5"/>
  </r>
  <r>
    <s v="Europe"/>
    <x v="40"/>
    <x v="7"/>
    <s v="Offline"/>
    <x v="2"/>
    <d v="2016-12-20T00:00:00"/>
    <s v="358594453"/>
    <d v="2017-02-02T00:00:00"/>
    <n v="44"/>
    <n v="4922"/>
    <n v="152.58000000000001"/>
    <n v="97.44"/>
    <n v="55.140000000000015"/>
    <n v="750998.76"/>
    <n v="479599.68"/>
    <n v="271399.08"/>
  </r>
  <r>
    <s v="Europe"/>
    <x v="26"/>
    <x v="7"/>
    <s v="Offline"/>
    <x v="0"/>
    <d v="2013-06-03T00:00:00"/>
    <s v="784397923"/>
    <d v="2013-06-15T00:00:00"/>
    <n v="12"/>
    <n v="9631"/>
    <n v="152.58000000000001"/>
    <n v="97.44"/>
    <n v="55.140000000000015"/>
    <n v="1469497.98"/>
    <n v="938444.64"/>
    <n v="531053.34"/>
  </r>
  <r>
    <s v="Europe"/>
    <x v="22"/>
    <x v="6"/>
    <s v="Offline"/>
    <x v="1"/>
    <d v="2017-06-09T00:00:00"/>
    <s v="111246287"/>
    <d v="2017-07-02T00:00:00"/>
    <n v="23"/>
    <n v="9103"/>
    <n v="421.89"/>
    <n v="364.69"/>
    <n v="57.199999999999989"/>
    <n v="3840464.67"/>
    <n v="3319773.07"/>
    <n v="520691.6"/>
  </r>
  <r>
    <s v="Europe"/>
    <x v="17"/>
    <x v="5"/>
    <s v="Online"/>
    <x v="2"/>
    <d v="2016-02-19T00:00:00"/>
    <s v="777018630"/>
    <d v="2016-03-19T00:00:00"/>
    <n v="29"/>
    <n v="5935"/>
    <n v="154.06"/>
    <n v="90.93"/>
    <n v="63.129999999999995"/>
    <n v="914346.1"/>
    <n v="539669.55000000005"/>
    <n v="374676.55"/>
  </r>
  <r>
    <s v="Europe"/>
    <x v="31"/>
    <x v="1"/>
    <s v="Offline"/>
    <x v="3"/>
    <d v="2013-09-01T00:00:00"/>
    <s v="601588857"/>
    <d v="2013-09-10T00:00:00"/>
    <n v="9"/>
    <n v="2366"/>
    <n v="109.28"/>
    <n v="35.840000000000003"/>
    <n v="73.44"/>
    <n v="258556.48"/>
    <n v="84797.440000000002"/>
    <n v="173759.04"/>
  </r>
  <r>
    <s v="Europe"/>
    <x v="12"/>
    <x v="5"/>
    <s v="Offline"/>
    <x v="2"/>
    <d v="2014-03-17T00:00:00"/>
    <s v="249039304"/>
    <d v="2014-05-01T00:00:00"/>
    <n v="45"/>
    <n v="5119"/>
    <n v="154.06"/>
    <n v="90.93"/>
    <n v="63.129999999999995"/>
    <n v="788633.14"/>
    <n v="465470.67"/>
    <n v="323162.46999999997"/>
  </r>
  <r>
    <s v="Europe"/>
    <x v="26"/>
    <x v="2"/>
    <s v="Online"/>
    <x v="0"/>
    <d v="2015-11-30T00:00:00"/>
    <s v="905947482"/>
    <d v="2016-01-18T00:00:00"/>
    <n v="49"/>
    <n v="8847"/>
    <n v="205.7"/>
    <n v="117.11"/>
    <n v="88.589999999999989"/>
    <n v="1819827.9"/>
    <n v="1036072.17"/>
    <n v="783755.73"/>
  </r>
  <r>
    <s v="Europe"/>
    <x v="37"/>
    <x v="5"/>
    <s v="Online"/>
    <x v="3"/>
    <d v="2011-07-22T00:00:00"/>
    <s v="359893071"/>
    <d v="2011-08-06T00:00:00"/>
    <n v="15"/>
    <n v="9212"/>
    <n v="154.06"/>
    <n v="90.93"/>
    <n v="63.129999999999995"/>
    <n v="1419200.72"/>
    <n v="837647.16"/>
    <n v="581553.56000000006"/>
  </r>
  <r>
    <s v="Europe"/>
    <x v="17"/>
    <x v="10"/>
    <s v="Offline"/>
    <x v="1"/>
    <d v="2016-07-20T00:00:00"/>
    <s v="284310567"/>
    <d v="2016-09-02T00:00:00"/>
    <n v="44"/>
    <n v="2670"/>
    <n v="437.2"/>
    <n v="263.33"/>
    <n v="173.87"/>
    <n v="1167324"/>
    <n v="703091.1"/>
    <n v="464232.9"/>
  </r>
  <r>
    <s v="Europe"/>
    <x v="1"/>
    <x v="5"/>
    <s v="Offline"/>
    <x v="1"/>
    <d v="2012-02-06T00:00:00"/>
    <s v="942372310"/>
    <d v="2012-02-19T00:00:00"/>
    <n v="13"/>
    <n v="7763"/>
    <n v="154.06"/>
    <n v="90.93"/>
    <n v="63.129999999999995"/>
    <n v="1195967.78"/>
    <n v="705889.59"/>
    <n v="490078.19"/>
  </r>
  <r>
    <s v="Europe"/>
    <x v="35"/>
    <x v="6"/>
    <s v="Online"/>
    <x v="0"/>
    <d v="2015-03-16T00:00:00"/>
    <s v="604124295"/>
    <d v="2015-04-02T00:00:00"/>
    <n v="17"/>
    <n v="2659"/>
    <n v="421.89"/>
    <n v="364.69"/>
    <n v="57.199999999999989"/>
    <n v="1121805.51"/>
    <n v="969710.71"/>
    <n v="152094.79999999999"/>
  </r>
  <r>
    <s v="Europe"/>
    <x v="27"/>
    <x v="4"/>
    <s v="Online"/>
    <x v="0"/>
    <d v="2015-03-07T00:00:00"/>
    <s v="720229613"/>
    <d v="2015-03-11T00:00:00"/>
    <n v="4"/>
    <n v="803"/>
    <n v="9.33"/>
    <n v="6.92"/>
    <n v="2.41"/>
    <n v="7491.99"/>
    <n v="5556.76"/>
    <n v="1935.23"/>
  </r>
  <r>
    <s v="Europe"/>
    <x v="2"/>
    <x v="11"/>
    <s v="Online"/>
    <x v="1"/>
    <d v="2014-07-31T00:00:00"/>
    <s v="967258059"/>
    <d v="2014-08-08T00:00:00"/>
    <n v="8"/>
    <n v="2009"/>
    <n v="81.73"/>
    <n v="56.67"/>
    <n v="25.060000000000002"/>
    <n v="164195.57"/>
    <n v="113850.03"/>
    <n v="50345.54"/>
  </r>
  <r>
    <s v="Europe"/>
    <x v="17"/>
    <x v="2"/>
    <s v="Offline"/>
    <x v="1"/>
    <d v="2011-06-10T00:00:00"/>
    <s v="520390880"/>
    <d v="2011-07-24T00:00:00"/>
    <n v="44"/>
    <n v="4080"/>
    <n v="205.7"/>
    <n v="117.11"/>
    <n v="88.589999999999989"/>
    <n v="839256"/>
    <n v="477808.8"/>
    <n v="361447.2"/>
  </r>
  <r>
    <s v="Europe"/>
    <x v="1"/>
    <x v="4"/>
    <s v="Offline"/>
    <x v="2"/>
    <d v="2016-10-15T00:00:00"/>
    <s v="623821580"/>
    <d v="2016-10-31T00:00:00"/>
    <n v="16"/>
    <n v="1523"/>
    <n v="9.33"/>
    <n v="6.92"/>
    <n v="2.41"/>
    <n v="14209.59"/>
    <n v="10539.16"/>
    <n v="3670.43"/>
  </r>
  <r>
    <s v="Europe"/>
    <x v="3"/>
    <x v="6"/>
    <s v="Online"/>
    <x v="0"/>
    <d v="2010-07-20T00:00:00"/>
    <s v="273662412"/>
    <d v="2010-07-23T00:00:00"/>
    <n v="3"/>
    <n v="1644"/>
    <n v="421.89"/>
    <n v="364.69"/>
    <n v="57.199999999999989"/>
    <n v="693587.16"/>
    <n v="599550.36"/>
    <n v="94036.800000000003"/>
  </r>
  <r>
    <s v="Europe"/>
    <x v="27"/>
    <x v="5"/>
    <s v="Offline"/>
    <x v="1"/>
    <d v="2017-03-08T00:00:00"/>
    <s v="941061675"/>
    <d v="2017-03-20T00:00:00"/>
    <n v="12"/>
    <n v="9917"/>
    <n v="154.06"/>
    <n v="90.93"/>
    <n v="63.129999999999995"/>
    <n v="1527813.02"/>
    <n v="901752.81"/>
    <n v="626060.21"/>
  </r>
  <r>
    <s v="Europe"/>
    <x v="31"/>
    <x v="6"/>
    <s v="Online"/>
    <x v="1"/>
    <d v="2013-12-07T00:00:00"/>
    <s v="421456849"/>
    <d v="2013-12-10T00:00:00"/>
    <n v="3"/>
    <n v="7302"/>
    <n v="421.89"/>
    <n v="364.69"/>
    <n v="57.199999999999989"/>
    <n v="3080640.78"/>
    <n v="2662966.38"/>
    <n v="417674.4"/>
  </r>
  <r>
    <s v="Europe"/>
    <x v="39"/>
    <x v="10"/>
    <s v="Online"/>
    <x v="3"/>
    <d v="2012-04-10T00:00:00"/>
    <s v="291160714"/>
    <d v="2012-05-26T00:00:00"/>
    <n v="46"/>
    <n v="9780"/>
    <n v="437.2"/>
    <n v="263.33"/>
    <n v="173.87"/>
    <n v="4275816"/>
    <n v="2575367.4"/>
    <n v="1700448.6"/>
  </r>
  <r>
    <s v="Europe"/>
    <x v="47"/>
    <x v="4"/>
    <s v="Offline"/>
    <x v="1"/>
    <d v="2014-01-21T00:00:00"/>
    <s v="724085128"/>
    <d v="2014-02-10T00:00:00"/>
    <n v="20"/>
    <n v="1735"/>
    <n v="9.33"/>
    <n v="6.92"/>
    <n v="2.41"/>
    <n v="16187.55"/>
    <n v="12006.2"/>
    <n v="4181.3500000000004"/>
  </r>
  <r>
    <s v="Europe"/>
    <x v="6"/>
    <x v="5"/>
    <s v="Online"/>
    <x v="1"/>
    <d v="2014-09-30T00:00:00"/>
    <s v="742569196"/>
    <d v="2014-11-17T00:00:00"/>
    <n v="48"/>
    <n v="1581"/>
    <n v="154.06"/>
    <n v="90.93"/>
    <n v="63.129999999999995"/>
    <n v="243568.86"/>
    <n v="143760.32999999999"/>
    <n v="99808.53"/>
  </r>
  <r>
    <s v="Europe"/>
    <x v="17"/>
    <x v="9"/>
    <s v="Online"/>
    <x v="1"/>
    <d v="2016-07-29T00:00:00"/>
    <s v="760346877"/>
    <d v="2016-08-06T00:00:00"/>
    <n v="8"/>
    <n v="2392"/>
    <n v="668.27"/>
    <n v="502.54"/>
    <n v="165.72999999999996"/>
    <n v="1598501.84"/>
    <n v="1202075.68"/>
    <n v="396426.16"/>
  </r>
  <r>
    <s v="Europe"/>
    <x v="31"/>
    <x v="10"/>
    <s v="Online"/>
    <x v="1"/>
    <d v="2015-11-05T00:00:00"/>
    <s v="260630738"/>
    <d v="2015-12-19T00:00:00"/>
    <n v="44"/>
    <n v="5282"/>
    <n v="437.2"/>
    <n v="263.33"/>
    <n v="173.87"/>
    <n v="2309290.4"/>
    <n v="1390909.06"/>
    <n v="918381.34"/>
  </r>
  <r>
    <s v="Europe"/>
    <x v="33"/>
    <x v="6"/>
    <s v="Online"/>
    <x v="3"/>
    <d v="2013-04-02T00:00:00"/>
    <s v="462561166"/>
    <d v="2013-05-02T00:00:00"/>
    <n v="30"/>
    <n v="983"/>
    <n v="421.89"/>
    <n v="364.69"/>
    <n v="57.199999999999989"/>
    <n v="414717.87"/>
    <n v="358490.27"/>
    <n v="56227.6"/>
  </r>
  <r>
    <s v="Europe"/>
    <x v="11"/>
    <x v="11"/>
    <s v="Offline"/>
    <x v="3"/>
    <d v="2014-10-02T00:00:00"/>
    <s v="353475940"/>
    <d v="2014-10-04T00:00:00"/>
    <n v="2"/>
    <n v="240"/>
    <n v="81.73"/>
    <n v="56.67"/>
    <n v="25.060000000000002"/>
    <n v="19615.2"/>
    <n v="13600.8"/>
    <n v="6014.4"/>
  </r>
  <r>
    <s v="Europe"/>
    <x v="25"/>
    <x v="0"/>
    <s v="Online"/>
    <x v="3"/>
    <d v="2011-06-05T00:00:00"/>
    <s v="432031619"/>
    <d v="2011-06-29T00:00:00"/>
    <n v="24"/>
    <n v="6612"/>
    <n v="47.45"/>
    <n v="31.79"/>
    <n v="15.660000000000004"/>
    <n v="313739.40000000002"/>
    <n v="210195.48"/>
    <n v="103543.92"/>
  </r>
  <r>
    <s v="Europe"/>
    <x v="25"/>
    <x v="9"/>
    <s v="Online"/>
    <x v="2"/>
    <d v="2012-02-19T00:00:00"/>
    <s v="104165685"/>
    <d v="2012-03-06T00:00:00"/>
    <n v="16"/>
    <n v="3796"/>
    <n v="668.27"/>
    <n v="502.54"/>
    <n v="165.72999999999996"/>
    <n v="2536752.92"/>
    <n v="1907641.84"/>
    <n v="629111.07999999996"/>
  </r>
  <r>
    <s v="Europe"/>
    <x v="13"/>
    <x v="11"/>
    <s v="Online"/>
    <x v="1"/>
    <d v="2011-02-26T00:00:00"/>
    <s v="762117564"/>
    <d v="2011-03-28T00:00:00"/>
    <n v="30"/>
    <n v="6378"/>
    <n v="81.73"/>
    <n v="56.67"/>
    <n v="25.060000000000002"/>
    <n v="521273.94"/>
    <n v="361441.26"/>
    <n v="159832.68"/>
  </r>
  <r>
    <s v="Europe"/>
    <x v="8"/>
    <x v="7"/>
    <s v="Offline"/>
    <x v="3"/>
    <d v="2013-03-10T00:00:00"/>
    <s v="918364179"/>
    <d v="2013-04-11T00:00:00"/>
    <n v="32"/>
    <n v="3223"/>
    <n v="152.58000000000001"/>
    <n v="97.44"/>
    <n v="55.140000000000015"/>
    <n v="491765.34"/>
    <n v="314049.12"/>
    <n v="177716.22"/>
  </r>
  <r>
    <s v="Europe"/>
    <x v="47"/>
    <x v="6"/>
    <s v="Online"/>
    <x v="1"/>
    <d v="2011-04-18T00:00:00"/>
    <s v="913729751"/>
    <d v="2011-05-09T00:00:00"/>
    <n v="21"/>
    <n v="1793"/>
    <n v="421.89"/>
    <n v="364.69"/>
    <n v="57.199999999999989"/>
    <n v="756448.77"/>
    <n v="653889.17000000004"/>
    <n v="102559.6"/>
  </r>
  <r>
    <s v="Europe"/>
    <x v="25"/>
    <x v="7"/>
    <s v="Online"/>
    <x v="3"/>
    <d v="2011-02-28T00:00:00"/>
    <s v="196346127"/>
    <d v="2011-04-12T00:00:00"/>
    <n v="43"/>
    <n v="2037"/>
    <n v="152.58000000000001"/>
    <n v="97.44"/>
    <n v="55.140000000000015"/>
    <n v="310805.46000000002"/>
    <n v="198485.28"/>
    <n v="112320.18"/>
  </r>
  <r>
    <s v="Europe"/>
    <x v="22"/>
    <x v="11"/>
    <s v="Online"/>
    <x v="1"/>
    <d v="2014-12-21T00:00:00"/>
    <s v="553107821"/>
    <d v="2015-01-13T00:00:00"/>
    <n v="23"/>
    <n v="5751"/>
    <n v="81.73"/>
    <n v="56.67"/>
    <n v="25.060000000000002"/>
    <n v="470029.23"/>
    <n v="325909.17"/>
    <n v="144120.06"/>
  </r>
  <r>
    <s v="Europe"/>
    <x v="10"/>
    <x v="2"/>
    <s v="Online"/>
    <x v="1"/>
    <d v="2014-05-08T00:00:00"/>
    <s v="591774117"/>
    <d v="2014-05-30T00:00:00"/>
    <n v="22"/>
    <n v="7967"/>
    <n v="205.7"/>
    <n v="117.11"/>
    <n v="88.589999999999989"/>
    <n v="1638811.9"/>
    <n v="933015.37"/>
    <n v="705796.53"/>
  </r>
  <r>
    <s v="Europe"/>
    <x v="22"/>
    <x v="11"/>
    <s v="Online"/>
    <x v="0"/>
    <d v="2015-06-02T00:00:00"/>
    <s v="627432048"/>
    <d v="2015-06-23T00:00:00"/>
    <n v="21"/>
    <n v="9941"/>
    <n v="81.73"/>
    <n v="56.67"/>
    <n v="25.060000000000002"/>
    <n v="812477.93"/>
    <n v="563356.47"/>
    <n v="249121.46"/>
  </r>
  <r>
    <s v="Europe"/>
    <x v="38"/>
    <x v="6"/>
    <s v="Offline"/>
    <x v="1"/>
    <d v="2017-01-14T00:00:00"/>
    <s v="615290009"/>
    <d v="2017-01-18T00:00:00"/>
    <n v="4"/>
    <n v="6842"/>
    <n v="421.89"/>
    <n v="364.69"/>
    <n v="57.199999999999989"/>
    <n v="2886571.38"/>
    <n v="2495208.98"/>
    <n v="391362.4"/>
  </r>
  <r>
    <s v="Europe"/>
    <x v="37"/>
    <x v="0"/>
    <s v="Online"/>
    <x v="3"/>
    <d v="2015-08-13T00:00:00"/>
    <s v="897317206"/>
    <d v="2015-09-01T00:00:00"/>
    <n v="19"/>
    <n v="4957"/>
    <n v="47.45"/>
    <n v="31.79"/>
    <n v="15.660000000000004"/>
    <n v="235209.65"/>
    <n v="157583.03"/>
    <n v="77626.62"/>
  </r>
  <r>
    <s v="Europe"/>
    <x v="5"/>
    <x v="11"/>
    <s v="Offline"/>
    <x v="2"/>
    <d v="2016-11-14T00:00:00"/>
    <s v="594699656"/>
    <d v="2016-12-30T00:00:00"/>
    <n v="46"/>
    <n v="3699"/>
    <n v="81.73"/>
    <n v="56.67"/>
    <n v="25.060000000000002"/>
    <n v="302319.27"/>
    <n v="209622.33"/>
    <n v="92696.94"/>
  </r>
  <r>
    <s v="Europe"/>
    <x v="13"/>
    <x v="10"/>
    <s v="Offline"/>
    <x v="1"/>
    <d v="2017-06-28T00:00:00"/>
    <s v="574925124"/>
    <d v="2017-07-13T00:00:00"/>
    <n v="15"/>
    <n v="1975"/>
    <n v="437.2"/>
    <n v="263.33"/>
    <n v="173.87"/>
    <n v="863470"/>
    <n v="520076.75"/>
    <n v="343393.25"/>
  </r>
  <r>
    <s v="Europe"/>
    <x v="13"/>
    <x v="0"/>
    <s v="Offline"/>
    <x v="1"/>
    <d v="2015-03-19T00:00:00"/>
    <s v="946421372"/>
    <d v="2015-03-21T00:00:00"/>
    <n v="2"/>
    <n v="5971"/>
    <n v="47.45"/>
    <n v="31.79"/>
    <n v="15.660000000000004"/>
    <n v="283323.95"/>
    <n v="189818.09"/>
    <n v="93505.86"/>
  </r>
  <r>
    <s v="Europe"/>
    <x v="25"/>
    <x v="1"/>
    <s v="Offline"/>
    <x v="0"/>
    <d v="2017-02-21T00:00:00"/>
    <s v="885998284"/>
    <d v="2017-02-28T00:00:00"/>
    <n v="7"/>
    <n v="5436"/>
    <n v="109.28"/>
    <n v="35.840000000000003"/>
    <n v="73.44"/>
    <n v="594046.07999999996"/>
    <n v="194826.23999999999"/>
    <n v="399219.84"/>
  </r>
  <r>
    <s v="Europe"/>
    <x v="28"/>
    <x v="9"/>
    <s v="Offline"/>
    <x v="2"/>
    <d v="2016-07-17T00:00:00"/>
    <s v="954065883"/>
    <d v="2016-09-01T00:00:00"/>
    <n v="46"/>
    <n v="8151"/>
    <n v="668.27"/>
    <n v="502.54"/>
    <n v="165.72999999999996"/>
    <n v="5447068.7699999996"/>
    <n v="4096203.54"/>
    <n v="1350865.23"/>
  </r>
  <r>
    <s v="Europe"/>
    <x v="21"/>
    <x v="0"/>
    <s v="Online"/>
    <x v="1"/>
    <d v="2015-06-07T00:00:00"/>
    <s v="994406735"/>
    <d v="2015-06-30T00:00:00"/>
    <n v="23"/>
    <n v="5906"/>
    <n v="47.45"/>
    <n v="31.79"/>
    <n v="15.660000000000004"/>
    <n v="280239.7"/>
    <n v="187751.74"/>
    <n v="92487.96"/>
  </r>
  <r>
    <s v="Europe"/>
    <x v="2"/>
    <x v="11"/>
    <s v="Online"/>
    <x v="1"/>
    <d v="2017-07-09T00:00:00"/>
    <s v="132069671"/>
    <d v="2017-07-20T00:00:00"/>
    <n v="11"/>
    <n v="1205"/>
    <n v="81.73"/>
    <n v="56.67"/>
    <n v="25.060000000000002"/>
    <n v="98484.65"/>
    <n v="68287.350000000006"/>
    <n v="30197.3"/>
  </r>
  <r>
    <s v="Europe"/>
    <x v="44"/>
    <x v="9"/>
    <s v="Online"/>
    <x v="1"/>
    <d v="2013-11-30T00:00:00"/>
    <s v="990455090"/>
    <d v="2013-12-14T00:00:00"/>
    <n v="14"/>
    <n v="6526"/>
    <n v="668.27"/>
    <n v="502.54"/>
    <n v="165.72999999999996"/>
    <n v="4361130.0199999996"/>
    <n v="3279576.04"/>
    <n v="1081553.98"/>
  </r>
  <r>
    <s v="Europe"/>
    <x v="24"/>
    <x v="2"/>
    <s v="Offline"/>
    <x v="0"/>
    <d v="2015-06-06T00:00:00"/>
    <s v="445952498"/>
    <d v="2015-07-07T00:00:00"/>
    <n v="31"/>
    <n v="6109"/>
    <n v="205.7"/>
    <n v="117.11"/>
    <n v="88.589999999999989"/>
    <n v="1256621.3"/>
    <n v="715424.99"/>
    <n v="541196.31000000006"/>
  </r>
  <r>
    <s v="Europe"/>
    <x v="4"/>
    <x v="3"/>
    <s v="Offline"/>
    <x v="1"/>
    <d v="2016-04-26T00:00:00"/>
    <s v="628055179"/>
    <d v="2016-05-13T00:00:00"/>
    <n v="17"/>
    <n v="4339"/>
    <n v="651.21"/>
    <n v="524.96"/>
    <n v="126.25"/>
    <n v="2825600.19"/>
    <n v="2277801.44"/>
    <n v="547798.75"/>
  </r>
  <r>
    <s v="Europe"/>
    <x v="20"/>
    <x v="11"/>
    <s v="Online"/>
    <x v="0"/>
    <d v="2010-06-06T00:00:00"/>
    <s v="243391644"/>
    <d v="2010-06-27T00:00:00"/>
    <n v="21"/>
    <n v="3851"/>
    <n v="81.73"/>
    <n v="56.67"/>
    <n v="25.060000000000002"/>
    <n v="314742.23"/>
    <n v="218236.17"/>
    <n v="96506.06"/>
  </r>
  <r>
    <s v="Europe"/>
    <x v="13"/>
    <x v="1"/>
    <s v="Online"/>
    <x v="3"/>
    <d v="2015-03-11T00:00:00"/>
    <s v="823505389"/>
    <d v="2015-03-30T00:00:00"/>
    <n v="19"/>
    <n v="2400"/>
    <n v="109.28"/>
    <n v="35.840000000000003"/>
    <n v="73.44"/>
    <n v="262272"/>
    <n v="86016"/>
    <n v="176256"/>
  </r>
  <r>
    <s v="Europe"/>
    <x v="45"/>
    <x v="7"/>
    <s v="Online"/>
    <x v="2"/>
    <d v="2011-12-30T00:00:00"/>
    <s v="846413600"/>
    <d v="2011-12-31T00:00:00"/>
    <n v="1"/>
    <n v="1448"/>
    <n v="152.58000000000001"/>
    <n v="97.44"/>
    <n v="55.140000000000015"/>
    <n v="220935.84"/>
    <n v="141093.12"/>
    <n v="79842.720000000001"/>
  </r>
  <r>
    <s v="Europe"/>
    <x v="22"/>
    <x v="4"/>
    <s v="Offline"/>
    <x v="0"/>
    <d v="2012-03-31T00:00:00"/>
    <s v="850279843"/>
    <d v="2012-04-10T00:00:00"/>
    <n v="10"/>
    <n v="5556"/>
    <n v="9.33"/>
    <n v="6.92"/>
    <n v="2.41"/>
    <n v="51837.48"/>
    <n v="38447.519999999997"/>
    <n v="13389.96"/>
  </r>
  <r>
    <s v="Europe"/>
    <x v="2"/>
    <x v="3"/>
    <s v="Online"/>
    <x v="3"/>
    <d v="2010-02-25T00:00:00"/>
    <s v="268373954"/>
    <d v="2010-02-28T00:00:00"/>
    <n v="3"/>
    <n v="6672"/>
    <n v="651.21"/>
    <n v="524.96"/>
    <n v="126.25"/>
    <n v="4344873.12"/>
    <n v="3502533.12"/>
    <n v="842340"/>
  </r>
  <r>
    <s v="Europe"/>
    <x v="15"/>
    <x v="10"/>
    <s v="Online"/>
    <x v="3"/>
    <d v="2012-03-25T00:00:00"/>
    <s v="350550401"/>
    <d v="2012-04-22T00:00:00"/>
    <n v="28"/>
    <n v="4508"/>
    <n v="437.2"/>
    <n v="263.33"/>
    <n v="173.87"/>
    <n v="1970897.6"/>
    <n v="1187091.6399999999"/>
    <n v="783805.96"/>
  </r>
  <r>
    <s v="Europe"/>
    <x v="10"/>
    <x v="11"/>
    <s v="Online"/>
    <x v="0"/>
    <d v="2010-05-27T00:00:00"/>
    <s v="293178594"/>
    <d v="2010-06-01T00:00:00"/>
    <n v="5"/>
    <n v="6916"/>
    <n v="81.73"/>
    <n v="56.67"/>
    <n v="25.060000000000002"/>
    <n v="565244.68000000005"/>
    <n v="391929.72"/>
    <n v="173314.96"/>
  </r>
  <r>
    <s v="Europe"/>
    <x v="47"/>
    <x v="8"/>
    <s v="Online"/>
    <x v="3"/>
    <d v="2013-07-14T00:00:00"/>
    <s v="168960559"/>
    <d v="2013-08-19T00:00:00"/>
    <n v="36"/>
    <n v="8039"/>
    <n v="255.28"/>
    <n v="159.41999999999999"/>
    <n v="95.860000000000014"/>
    <n v="2052195.92"/>
    <n v="1281577.3799999999"/>
    <n v="770618.54"/>
  </r>
  <r>
    <s v="Europe"/>
    <x v="30"/>
    <x v="0"/>
    <s v="Offline"/>
    <x v="1"/>
    <d v="2014-12-11T00:00:00"/>
    <s v="270358788"/>
    <d v="2015-01-24T00:00:00"/>
    <n v="44"/>
    <n v="4028"/>
    <n v="47.45"/>
    <n v="31.79"/>
    <n v="15.660000000000004"/>
    <n v="191128.6"/>
    <n v="128050.12"/>
    <n v="63078.48"/>
  </r>
  <r>
    <s v="Europe"/>
    <x v="37"/>
    <x v="11"/>
    <s v="Offline"/>
    <x v="1"/>
    <d v="2016-06-09T00:00:00"/>
    <s v="589842927"/>
    <d v="2016-07-28T00:00:00"/>
    <n v="49"/>
    <n v="6485"/>
    <n v="81.73"/>
    <n v="56.67"/>
    <n v="25.060000000000002"/>
    <n v="530019.05000000005"/>
    <n v="367504.95"/>
    <n v="162514.1"/>
  </r>
  <r>
    <s v="Europe"/>
    <x v="17"/>
    <x v="2"/>
    <s v="Offline"/>
    <x v="0"/>
    <d v="2014-02-10T00:00:00"/>
    <s v="655328738"/>
    <d v="2014-03-22T00:00:00"/>
    <n v="40"/>
    <n v="5191"/>
    <n v="205.7"/>
    <n v="117.11"/>
    <n v="88.589999999999989"/>
    <n v="1067788.7"/>
    <n v="607918.01"/>
    <n v="459870.69"/>
  </r>
  <r>
    <s v="Europe"/>
    <x v="30"/>
    <x v="5"/>
    <s v="Online"/>
    <x v="1"/>
    <d v="2014-08-07T00:00:00"/>
    <s v="406564366"/>
    <d v="2014-08-25T00:00:00"/>
    <n v="18"/>
    <n v="286"/>
    <n v="154.06"/>
    <n v="90.93"/>
    <n v="63.129999999999995"/>
    <n v="44061.16"/>
    <n v="26005.98"/>
    <n v="18055.18"/>
  </r>
  <r>
    <s v="Europe"/>
    <x v="33"/>
    <x v="1"/>
    <s v="Online"/>
    <x v="3"/>
    <d v="2012-08-16T00:00:00"/>
    <s v="374848639"/>
    <d v="2012-09-06T00:00:00"/>
    <n v="21"/>
    <n v="4897"/>
    <n v="109.28"/>
    <n v="35.840000000000003"/>
    <n v="73.44"/>
    <n v="535144.16"/>
    <n v="175508.48000000001"/>
    <n v="359635.68"/>
  </r>
  <r>
    <s v="Europe"/>
    <x v="42"/>
    <x v="4"/>
    <s v="Offline"/>
    <x v="2"/>
    <d v="2012-08-14T00:00:00"/>
    <s v="393858420"/>
    <d v="2012-08-29T00:00:00"/>
    <n v="15"/>
    <n v="314"/>
    <n v="9.33"/>
    <n v="6.92"/>
    <n v="2.41"/>
    <n v="2929.62"/>
    <n v="2172.88"/>
    <n v="756.74"/>
  </r>
  <r>
    <s v="Europe"/>
    <x v="21"/>
    <x v="0"/>
    <s v="Online"/>
    <x v="0"/>
    <d v="2013-10-21T00:00:00"/>
    <s v="435463559"/>
    <d v="2013-10-27T00:00:00"/>
    <n v="6"/>
    <n v="2199"/>
    <n v="47.45"/>
    <n v="31.79"/>
    <n v="15.660000000000004"/>
    <n v="104342.55"/>
    <n v="69906.210000000006"/>
    <n v="34436.339999999997"/>
  </r>
  <r>
    <s v="Europe"/>
    <x v="34"/>
    <x v="5"/>
    <s v="Offline"/>
    <x v="0"/>
    <d v="2016-12-07T00:00:00"/>
    <s v="284403264"/>
    <d v="2016-12-27T00:00:00"/>
    <n v="20"/>
    <n v="101"/>
    <n v="154.06"/>
    <n v="90.93"/>
    <n v="63.129999999999995"/>
    <n v="15560.06"/>
    <n v="9183.93"/>
    <n v="6376.13"/>
  </r>
  <r>
    <s v="Europe"/>
    <x v="46"/>
    <x v="11"/>
    <s v="Online"/>
    <x v="2"/>
    <d v="2010-04-21T00:00:00"/>
    <s v="917904984"/>
    <d v="2010-04-24T00:00:00"/>
    <n v="3"/>
    <n v="7338"/>
    <n v="81.73"/>
    <n v="56.67"/>
    <n v="25.060000000000002"/>
    <n v="599734.74"/>
    <n v="415844.46"/>
    <n v="183890.28"/>
  </r>
  <r>
    <s v="Europe"/>
    <x v="7"/>
    <x v="5"/>
    <s v="Online"/>
    <x v="0"/>
    <d v="2012-10-04T00:00:00"/>
    <s v="670274865"/>
    <d v="2012-11-13T00:00:00"/>
    <n v="40"/>
    <n v="8082"/>
    <n v="154.06"/>
    <n v="90.93"/>
    <n v="63.129999999999995"/>
    <n v="1245112.92"/>
    <n v="734896.26"/>
    <n v="510216.66"/>
  </r>
  <r>
    <s v="Europe"/>
    <x v="6"/>
    <x v="10"/>
    <s v="Offline"/>
    <x v="1"/>
    <d v="2015-01-30T00:00:00"/>
    <s v="380684268"/>
    <d v="2015-02-23T00:00:00"/>
    <n v="24"/>
    <n v="1789"/>
    <n v="437.2"/>
    <n v="263.33"/>
    <n v="173.87"/>
    <n v="782150.8"/>
    <n v="471097.37"/>
    <n v="311053.43"/>
  </r>
  <r>
    <s v="Europe"/>
    <x v="46"/>
    <x v="11"/>
    <s v="Offline"/>
    <x v="3"/>
    <d v="2014-09-30T00:00:00"/>
    <s v="264526593"/>
    <d v="2014-10-07T00:00:00"/>
    <n v="7"/>
    <n v="8152"/>
    <n v="81.73"/>
    <n v="56.67"/>
    <n v="25.060000000000002"/>
    <n v="666262.96"/>
    <n v="461973.84"/>
    <n v="204289.12"/>
  </r>
  <r>
    <s v="Europe"/>
    <x v="13"/>
    <x v="11"/>
    <s v="Offline"/>
    <x v="0"/>
    <d v="2017-04-17T00:00:00"/>
    <s v="485929429"/>
    <d v="2017-05-19T00:00:00"/>
    <n v="32"/>
    <n v="6171"/>
    <n v="81.73"/>
    <n v="56.67"/>
    <n v="25.060000000000002"/>
    <n v="504355.83"/>
    <n v="349710.57"/>
    <n v="154645.26"/>
  </r>
  <r>
    <s v="Europe"/>
    <x v="15"/>
    <x v="3"/>
    <s v="Offline"/>
    <x v="0"/>
    <d v="2014-08-24T00:00:00"/>
    <s v="209736573"/>
    <d v="2014-09-24T00:00:00"/>
    <n v="31"/>
    <n v="4568"/>
    <n v="651.21"/>
    <n v="524.96"/>
    <n v="126.25"/>
    <n v="2974727.28"/>
    <n v="2398017.2799999998"/>
    <n v="576710"/>
  </r>
  <r>
    <s v="Europe"/>
    <x v="9"/>
    <x v="3"/>
    <s v="Offline"/>
    <x v="1"/>
    <d v="2016-01-05T00:00:00"/>
    <s v="233440434"/>
    <d v="2016-02-17T00:00:00"/>
    <n v="43"/>
    <n v="9067"/>
    <n v="651.21"/>
    <n v="524.96"/>
    <n v="126.25"/>
    <n v="5904521.0700000003"/>
    <n v="4759812.32"/>
    <n v="1144708.75"/>
  </r>
  <r>
    <s v="Europe"/>
    <x v="2"/>
    <x v="5"/>
    <s v="Offline"/>
    <x v="2"/>
    <d v="2011-05-05T00:00:00"/>
    <s v="384483993"/>
    <d v="2011-06-19T00:00:00"/>
    <n v="45"/>
    <n v="6212"/>
    <n v="154.06"/>
    <n v="90.93"/>
    <n v="63.129999999999995"/>
    <n v="957020.72"/>
    <n v="564857.16"/>
    <n v="392163.56"/>
  </r>
  <r>
    <s v="Europe"/>
    <x v="44"/>
    <x v="0"/>
    <s v="Online"/>
    <x v="3"/>
    <d v="2010-08-15T00:00:00"/>
    <s v="311921012"/>
    <d v="2010-08-26T00:00:00"/>
    <n v="11"/>
    <n v="3214"/>
    <n v="47.45"/>
    <n v="31.79"/>
    <n v="15.660000000000004"/>
    <n v="152504.29999999999"/>
    <n v="102173.06"/>
    <n v="50331.24"/>
  </r>
  <r>
    <s v="Europe"/>
    <x v="7"/>
    <x v="8"/>
    <s v="Online"/>
    <x v="2"/>
    <d v="2010-09-09T00:00:00"/>
    <s v="128003442"/>
    <d v="2010-10-23T00:00:00"/>
    <n v="44"/>
    <n v="7918"/>
    <n v="255.28"/>
    <n v="159.41999999999999"/>
    <n v="95.860000000000014"/>
    <n v="2021307.04"/>
    <n v="1262287.56"/>
    <n v="759019.48"/>
  </r>
  <r>
    <s v="Europe"/>
    <x v="37"/>
    <x v="0"/>
    <s v="Offline"/>
    <x v="0"/>
    <d v="2013-07-27T00:00:00"/>
    <s v="981154048"/>
    <d v="2013-08-09T00:00:00"/>
    <n v="13"/>
    <n v="4141"/>
    <n v="47.45"/>
    <n v="31.79"/>
    <n v="15.660000000000004"/>
    <n v="196490.45"/>
    <n v="131642.39000000001"/>
    <n v="64848.06"/>
  </r>
  <r>
    <s v="Europe"/>
    <x v="38"/>
    <x v="11"/>
    <s v="Online"/>
    <x v="2"/>
    <d v="2012-12-03T00:00:00"/>
    <s v="287917602"/>
    <d v="2013-01-05T00:00:00"/>
    <n v="33"/>
    <n v="71"/>
    <n v="81.73"/>
    <n v="56.67"/>
    <n v="25.060000000000002"/>
    <n v="5802.83"/>
    <n v="4023.57"/>
    <n v="1779.26"/>
  </r>
  <r>
    <s v="Europe"/>
    <x v="22"/>
    <x v="7"/>
    <s v="Offline"/>
    <x v="2"/>
    <d v="2014-12-04T00:00:00"/>
    <s v="548343789"/>
    <d v="2014-12-06T00:00:00"/>
    <n v="2"/>
    <n v="5967"/>
    <n v="152.58000000000001"/>
    <n v="97.44"/>
    <n v="55.140000000000015"/>
    <n v="910444.86"/>
    <n v="581424.48"/>
    <n v="329020.38"/>
  </r>
  <r>
    <s v="Europe"/>
    <x v="22"/>
    <x v="6"/>
    <s v="Online"/>
    <x v="2"/>
    <d v="2016-03-02T00:00:00"/>
    <s v="498089492"/>
    <d v="2016-03-22T00:00:00"/>
    <n v="20"/>
    <n v="4604"/>
    <n v="421.89"/>
    <n v="364.69"/>
    <n v="57.199999999999989"/>
    <n v="1942381.56"/>
    <n v="1679032.76"/>
    <n v="263348.8"/>
  </r>
  <r>
    <s v="Europe"/>
    <x v="31"/>
    <x v="7"/>
    <s v="Offline"/>
    <x v="0"/>
    <d v="2015-03-01T00:00:00"/>
    <s v="251907765"/>
    <d v="2015-04-07T00:00:00"/>
    <n v="37"/>
    <n v="3961"/>
    <n v="152.58000000000001"/>
    <n v="97.44"/>
    <n v="55.140000000000015"/>
    <n v="604369.38"/>
    <n v="385959.84"/>
    <n v="218409.54"/>
  </r>
  <r>
    <s v="Europe"/>
    <x v="21"/>
    <x v="7"/>
    <s v="Online"/>
    <x v="2"/>
    <d v="2015-05-26T00:00:00"/>
    <s v="339999663"/>
    <d v="2015-06-13T00:00:00"/>
    <n v="18"/>
    <n v="2311"/>
    <n v="152.58000000000001"/>
    <n v="97.44"/>
    <n v="55.140000000000015"/>
    <n v="352612.38"/>
    <n v="225183.84"/>
    <n v="127428.54"/>
  </r>
  <r>
    <s v="Europe"/>
    <x v="12"/>
    <x v="2"/>
    <s v="Offline"/>
    <x v="1"/>
    <d v="2012-06-29T00:00:00"/>
    <s v="958366000"/>
    <d v="2012-08-03T00:00:00"/>
    <n v="35"/>
    <n v="651"/>
    <n v="205.7"/>
    <n v="117.11"/>
    <n v="88.589999999999989"/>
    <n v="133910.70000000001"/>
    <n v="76238.61"/>
    <n v="57672.09"/>
  </r>
  <r>
    <s v="Europe"/>
    <x v="24"/>
    <x v="2"/>
    <s v="Online"/>
    <x v="1"/>
    <d v="2015-11-04T00:00:00"/>
    <s v="481114327"/>
    <d v="2015-11-24T00:00:00"/>
    <n v="20"/>
    <n v="1276"/>
    <n v="205.7"/>
    <n v="117.11"/>
    <n v="88.589999999999989"/>
    <n v="262473.2"/>
    <n v="149432.35999999999"/>
    <n v="113040.84"/>
  </r>
  <r>
    <s v="Europe"/>
    <x v="18"/>
    <x v="2"/>
    <s v="Offline"/>
    <x v="2"/>
    <d v="2014-10-16T00:00:00"/>
    <s v="194785726"/>
    <d v="2014-11-13T00:00:00"/>
    <n v="28"/>
    <n v="280"/>
    <n v="205.7"/>
    <n v="117.11"/>
    <n v="88.589999999999989"/>
    <n v="57596"/>
    <n v="32790.800000000003"/>
    <n v="24805.200000000001"/>
  </r>
  <r>
    <s v="Europe"/>
    <x v="39"/>
    <x v="0"/>
    <s v="Online"/>
    <x v="0"/>
    <d v="2016-04-24T00:00:00"/>
    <s v="443544518"/>
    <d v="2016-04-28T00:00:00"/>
    <n v="4"/>
    <n v="3534"/>
    <n v="47.45"/>
    <n v="31.79"/>
    <n v="15.660000000000004"/>
    <n v="167688.29999999999"/>
    <n v="112345.86"/>
    <n v="55342.44"/>
  </r>
  <r>
    <s v="Europe"/>
    <x v="10"/>
    <x v="1"/>
    <s v="Online"/>
    <x v="3"/>
    <d v="2013-07-30T00:00:00"/>
    <s v="467138516"/>
    <d v="2013-08-08T00:00:00"/>
    <n v="9"/>
    <n v="5523"/>
    <n v="109.28"/>
    <n v="35.840000000000003"/>
    <n v="73.44"/>
    <n v="603553.43999999994"/>
    <n v="197944.32000000001"/>
    <n v="405609.12"/>
  </r>
  <r>
    <s v="Europe"/>
    <x v="1"/>
    <x v="5"/>
    <s v="Online"/>
    <x v="3"/>
    <d v="2016-11-27T00:00:00"/>
    <s v="184708344"/>
    <d v="2016-12-02T00:00:00"/>
    <n v="5"/>
    <n v="8159"/>
    <n v="154.06"/>
    <n v="90.93"/>
    <n v="63.129999999999995"/>
    <n v="1256975.54"/>
    <n v="741897.87"/>
    <n v="515077.67"/>
  </r>
  <r>
    <s v="Europe"/>
    <x v="1"/>
    <x v="3"/>
    <s v="Offline"/>
    <x v="3"/>
    <d v="2015-10-19T00:00:00"/>
    <s v="640394628"/>
    <d v="2015-11-07T00:00:00"/>
    <n v="19"/>
    <n v="5856"/>
    <n v="651.21"/>
    <n v="524.96"/>
    <n v="126.25"/>
    <n v="3813485.76"/>
    <n v="3074165.76"/>
    <n v="739320"/>
  </r>
  <r>
    <s v="Europe"/>
    <x v="39"/>
    <x v="5"/>
    <s v="Offline"/>
    <x v="2"/>
    <d v="2016-10-15T00:00:00"/>
    <s v="403337991"/>
    <d v="2016-11-24T00:00:00"/>
    <n v="40"/>
    <n v="5529"/>
    <n v="154.06"/>
    <n v="90.93"/>
    <n v="63.129999999999995"/>
    <n v="851797.74"/>
    <n v="502751.97"/>
    <n v="349045.77"/>
  </r>
  <r>
    <s v="Europe"/>
    <x v="39"/>
    <x v="5"/>
    <s v="Online"/>
    <x v="0"/>
    <d v="2013-03-03T00:00:00"/>
    <s v="967679059"/>
    <d v="2013-03-19T00:00:00"/>
    <n v="16"/>
    <n v="6592"/>
    <n v="154.06"/>
    <n v="90.93"/>
    <n v="63.129999999999995"/>
    <n v="1015563.52"/>
    <n v="599410.56000000006"/>
    <n v="416152.96"/>
  </r>
  <r>
    <s v="Europe"/>
    <x v="35"/>
    <x v="7"/>
    <s v="Online"/>
    <x v="2"/>
    <d v="2017-07-11T00:00:00"/>
    <s v="125339686"/>
    <d v="2017-07-24T00:00:00"/>
    <n v="13"/>
    <n v="9653"/>
    <n v="152.58000000000001"/>
    <n v="97.44"/>
    <n v="55.140000000000015"/>
    <n v="1472854.74"/>
    <n v="940588.32"/>
    <n v="532266.42000000004"/>
  </r>
  <r>
    <s v="Europe"/>
    <x v="41"/>
    <x v="11"/>
    <s v="Offline"/>
    <x v="1"/>
    <d v="2013-03-29T00:00:00"/>
    <s v="396832883"/>
    <d v="2013-03-31T00:00:00"/>
    <n v="2"/>
    <n v="523"/>
    <n v="81.73"/>
    <n v="56.67"/>
    <n v="25.060000000000002"/>
    <n v="42744.79"/>
    <n v="29638.41"/>
    <n v="13106.38"/>
  </r>
  <r>
    <s v="Europe"/>
    <x v="7"/>
    <x v="10"/>
    <s v="Offline"/>
    <x v="1"/>
    <d v="2014-03-18T00:00:00"/>
    <s v="209445178"/>
    <d v="2014-04-20T00:00:00"/>
    <n v="33"/>
    <n v="8337"/>
    <n v="437.2"/>
    <n v="263.33"/>
    <n v="173.87"/>
    <n v="3644936.4"/>
    <n v="2195382.21"/>
    <n v="1449554.19"/>
  </r>
  <r>
    <s v="Europe"/>
    <x v="7"/>
    <x v="1"/>
    <s v="Offline"/>
    <x v="1"/>
    <d v="2011-05-21T00:00:00"/>
    <s v="933963048"/>
    <d v="2011-06-24T00:00:00"/>
    <n v="34"/>
    <n v="9275"/>
    <n v="109.28"/>
    <n v="35.840000000000003"/>
    <n v="73.44"/>
    <n v="1013572"/>
    <n v="332416"/>
    <n v="681156"/>
  </r>
  <r>
    <s v="Europe"/>
    <x v="36"/>
    <x v="2"/>
    <s v="Online"/>
    <x v="3"/>
    <d v="2015-05-05T00:00:00"/>
    <s v="587598884"/>
    <d v="2015-06-13T00:00:00"/>
    <n v="39"/>
    <n v="2422"/>
    <n v="205.7"/>
    <n v="117.11"/>
    <n v="88.589999999999989"/>
    <n v="498205.4"/>
    <n v="283640.42"/>
    <n v="214564.98"/>
  </r>
  <r>
    <s v="Europe"/>
    <x v="45"/>
    <x v="11"/>
    <s v="Online"/>
    <x v="0"/>
    <d v="2014-10-03T00:00:00"/>
    <s v="941524302"/>
    <d v="2014-10-09T00:00:00"/>
    <n v="6"/>
    <n v="6819"/>
    <n v="81.73"/>
    <n v="56.67"/>
    <n v="25.060000000000002"/>
    <n v="557316.87"/>
    <n v="386432.73"/>
    <n v="170884.14"/>
  </r>
  <r>
    <s v="Europe"/>
    <x v="26"/>
    <x v="10"/>
    <s v="Offline"/>
    <x v="1"/>
    <d v="2012-07-22T00:00:00"/>
    <s v="805974042"/>
    <d v="2012-07-28T00:00:00"/>
    <n v="6"/>
    <n v="4484"/>
    <n v="437.2"/>
    <n v="263.33"/>
    <n v="173.87"/>
    <n v="1960404.8"/>
    <n v="1180771.72"/>
    <n v="779633.08"/>
  </r>
  <r>
    <s v="Europe"/>
    <x v="4"/>
    <x v="0"/>
    <s v="Offline"/>
    <x v="2"/>
    <d v="2016-02-19T00:00:00"/>
    <s v="217859160"/>
    <d v="2016-03-05T00:00:00"/>
    <n v="15"/>
    <n v="8222"/>
    <n v="47.45"/>
    <n v="31.79"/>
    <n v="15.660000000000004"/>
    <n v="390133.9"/>
    <n v="261377.38"/>
    <n v="128756.52"/>
  </r>
  <r>
    <s v="Europe"/>
    <x v="39"/>
    <x v="5"/>
    <s v="Offline"/>
    <x v="2"/>
    <d v="2013-12-15T00:00:00"/>
    <s v="727426946"/>
    <d v="2014-02-03T00:00:00"/>
    <n v="50"/>
    <n v="653"/>
    <n v="154.06"/>
    <n v="90.93"/>
    <n v="63.129999999999995"/>
    <n v="100601.18"/>
    <n v="59377.29"/>
    <n v="41223.89"/>
  </r>
  <r>
    <s v="Europe"/>
    <x v="9"/>
    <x v="4"/>
    <s v="Offline"/>
    <x v="1"/>
    <d v="2011-05-04T00:00:00"/>
    <s v="187103450"/>
    <d v="2011-05-14T00:00:00"/>
    <n v="10"/>
    <n v="6924"/>
    <n v="9.33"/>
    <n v="6.92"/>
    <n v="2.41"/>
    <n v="64600.92"/>
    <n v="47914.080000000002"/>
    <n v="16686.84"/>
  </r>
  <r>
    <s v="Europe"/>
    <x v="46"/>
    <x v="2"/>
    <s v="Online"/>
    <x v="3"/>
    <d v="2016-03-14T00:00:00"/>
    <s v="572634732"/>
    <d v="2016-04-01T00:00:00"/>
    <n v="18"/>
    <n v="4197"/>
    <n v="205.7"/>
    <n v="117.11"/>
    <n v="88.589999999999989"/>
    <n v="863322.9"/>
    <n v="491510.67"/>
    <n v="371812.23"/>
  </r>
  <r>
    <s v="Europe"/>
    <x v="15"/>
    <x v="5"/>
    <s v="Online"/>
    <x v="0"/>
    <d v="2014-08-31T00:00:00"/>
    <s v="285343968"/>
    <d v="2014-09-05T00:00:00"/>
    <n v="5"/>
    <n v="8476"/>
    <n v="154.06"/>
    <n v="90.93"/>
    <n v="63.129999999999995"/>
    <n v="1305812.56"/>
    <n v="770722.68"/>
    <n v="535089.88"/>
  </r>
  <r>
    <s v="Europe"/>
    <x v="20"/>
    <x v="5"/>
    <s v="Offline"/>
    <x v="1"/>
    <d v="2013-04-21T00:00:00"/>
    <s v="886763894"/>
    <d v="2013-05-27T00:00:00"/>
    <n v="36"/>
    <n v="1997"/>
    <n v="154.06"/>
    <n v="90.93"/>
    <n v="63.129999999999995"/>
    <n v="307657.82"/>
    <n v="181587.21"/>
    <n v="126070.61"/>
  </r>
  <r>
    <s v="Europe"/>
    <x v="31"/>
    <x v="0"/>
    <s v="Offline"/>
    <x v="0"/>
    <d v="2013-11-04T00:00:00"/>
    <s v="436606395"/>
    <d v="2013-12-03T00:00:00"/>
    <n v="29"/>
    <n v="389"/>
    <n v="47.45"/>
    <n v="31.79"/>
    <n v="15.660000000000004"/>
    <n v="18458.05"/>
    <n v="12366.31"/>
    <n v="6091.74"/>
  </r>
  <r>
    <s v="Europe"/>
    <x v="27"/>
    <x v="10"/>
    <s v="Online"/>
    <x v="2"/>
    <d v="2010-09-26T00:00:00"/>
    <s v="845738112"/>
    <d v="2010-10-23T00:00:00"/>
    <n v="27"/>
    <n v="1557"/>
    <n v="437.2"/>
    <n v="263.33"/>
    <n v="173.87"/>
    <n v="680720.4"/>
    <n v="410004.81"/>
    <n v="270715.59000000003"/>
  </r>
  <r>
    <s v="Europe"/>
    <x v="44"/>
    <x v="4"/>
    <s v="Online"/>
    <x v="0"/>
    <d v="2014-06-24T00:00:00"/>
    <s v="669353473"/>
    <d v="2014-07-07T00:00:00"/>
    <n v="13"/>
    <n v="5422"/>
    <n v="9.33"/>
    <n v="6.92"/>
    <n v="2.41"/>
    <n v="50587.26"/>
    <n v="37520.239999999998"/>
    <n v="13067.02"/>
  </r>
  <r>
    <s v="Europe"/>
    <x v="9"/>
    <x v="10"/>
    <s v="Online"/>
    <x v="1"/>
    <d v="2015-09-29T00:00:00"/>
    <s v="147826898"/>
    <d v="2015-11-05T00:00:00"/>
    <n v="37"/>
    <n v="4119"/>
    <n v="437.2"/>
    <n v="263.33"/>
    <n v="173.87"/>
    <n v="1800826.8"/>
    <n v="1084656.27"/>
    <n v="716170.53"/>
  </r>
  <r>
    <s v="Europe"/>
    <x v="33"/>
    <x v="10"/>
    <s v="Online"/>
    <x v="0"/>
    <d v="2011-03-02T00:00:00"/>
    <s v="832057130"/>
    <d v="2011-04-02T00:00:00"/>
    <n v="31"/>
    <n v="3050"/>
    <n v="437.2"/>
    <n v="263.33"/>
    <n v="173.87"/>
    <n v="1333460"/>
    <n v="803156.5"/>
    <n v="530303.5"/>
  </r>
  <r>
    <s v="Europe"/>
    <x v="29"/>
    <x v="3"/>
    <s v="Online"/>
    <x v="3"/>
    <d v="2011-08-23T00:00:00"/>
    <s v="212106788"/>
    <d v="2011-09-26T00:00:00"/>
    <n v="34"/>
    <n v="5967"/>
    <n v="651.21"/>
    <n v="524.96"/>
    <n v="126.25"/>
    <n v="3885770.07"/>
    <n v="3132436.32"/>
    <n v="753333.75"/>
  </r>
  <r>
    <s v="Europe"/>
    <x v="12"/>
    <x v="11"/>
    <s v="Online"/>
    <x v="1"/>
    <d v="2014-09-14T00:00:00"/>
    <s v="371814954"/>
    <d v="2014-10-08T00:00:00"/>
    <n v="24"/>
    <n v="7162"/>
    <n v="81.73"/>
    <n v="56.67"/>
    <n v="25.060000000000002"/>
    <n v="585350.26"/>
    <n v="405870.54"/>
    <n v="179479.72"/>
  </r>
  <r>
    <s v="Europe"/>
    <x v="45"/>
    <x v="4"/>
    <s v="Online"/>
    <x v="2"/>
    <d v="2016-09-19T00:00:00"/>
    <s v="548015487"/>
    <d v="2016-10-09T00:00:00"/>
    <n v="20"/>
    <n v="8815"/>
    <n v="9.33"/>
    <n v="6.92"/>
    <n v="2.41"/>
    <n v="82243.95"/>
    <n v="60999.8"/>
    <n v="21244.15"/>
  </r>
  <r>
    <s v="Europe"/>
    <x v="33"/>
    <x v="5"/>
    <s v="Offline"/>
    <x v="1"/>
    <d v="2011-04-14T00:00:00"/>
    <s v="305569112"/>
    <d v="2011-06-03T00:00:00"/>
    <n v="50"/>
    <n v="3545"/>
    <n v="154.06"/>
    <n v="90.93"/>
    <n v="63.129999999999995"/>
    <n v="546142.69999999995"/>
    <n v="322346.84999999998"/>
    <n v="223795.85"/>
  </r>
  <r>
    <s v="Europe"/>
    <x v="42"/>
    <x v="7"/>
    <s v="Offline"/>
    <x v="0"/>
    <d v="2016-11-16T00:00:00"/>
    <s v="536095750"/>
    <d v="2016-12-26T00:00:00"/>
    <n v="40"/>
    <n v="1500"/>
    <n v="152.58000000000001"/>
    <n v="97.44"/>
    <n v="55.140000000000015"/>
    <n v="228870"/>
    <n v="146160"/>
    <n v="82710"/>
  </r>
  <r>
    <s v="Europe"/>
    <x v="25"/>
    <x v="9"/>
    <s v="Offline"/>
    <x v="2"/>
    <d v="2015-09-09T00:00:00"/>
    <s v="621577537"/>
    <d v="2015-09-16T00:00:00"/>
    <n v="7"/>
    <n v="7461"/>
    <n v="668.27"/>
    <n v="502.54"/>
    <n v="165.72999999999996"/>
    <n v="4985962.47"/>
    <n v="3749450.94"/>
    <n v="1236511.53"/>
  </r>
  <r>
    <s v="Europe"/>
    <x v="3"/>
    <x v="10"/>
    <s v="Offline"/>
    <x v="3"/>
    <d v="2017-05-06T00:00:00"/>
    <s v="826968657"/>
    <d v="2017-06-15T00:00:00"/>
    <n v="40"/>
    <n v="7258"/>
    <n v="437.2"/>
    <n v="263.33"/>
    <n v="173.87"/>
    <n v="3173197.6"/>
    <n v="1911249.14"/>
    <n v="1261948.46"/>
  </r>
  <r>
    <s v="Europe"/>
    <x v="5"/>
    <x v="9"/>
    <s v="Offline"/>
    <x v="2"/>
    <d v="2010-11-25T00:00:00"/>
    <s v="546544349"/>
    <d v="2010-12-12T00:00:00"/>
    <n v="17"/>
    <n v="3473"/>
    <n v="668.27"/>
    <n v="502.54"/>
    <n v="165.72999999999996"/>
    <n v="2320901.71"/>
    <n v="1745321.42"/>
    <n v="575580.29"/>
  </r>
  <r>
    <s v="Europe"/>
    <x v="6"/>
    <x v="9"/>
    <s v="Offline"/>
    <x v="0"/>
    <d v="2016-09-05T00:00:00"/>
    <s v="463591134"/>
    <d v="2016-10-01T00:00:00"/>
    <n v="26"/>
    <n v="5773"/>
    <n v="668.27"/>
    <n v="502.54"/>
    <n v="165.72999999999996"/>
    <n v="3857922.71"/>
    <n v="2901163.42"/>
    <n v="956759.29"/>
  </r>
  <r>
    <s v="Europe"/>
    <x v="35"/>
    <x v="3"/>
    <s v="Offline"/>
    <x v="0"/>
    <d v="2015-12-17T00:00:00"/>
    <s v="696839892"/>
    <d v="2016-01-02T00:00:00"/>
    <n v="16"/>
    <n v="9264"/>
    <n v="651.21"/>
    <n v="524.96"/>
    <n v="126.25"/>
    <n v="6032809.4400000004"/>
    <n v="4863229.4400000004"/>
    <n v="1169580"/>
  </r>
  <r>
    <s v="Europe"/>
    <x v="19"/>
    <x v="11"/>
    <s v="Offline"/>
    <x v="1"/>
    <d v="2011-09-22T00:00:00"/>
    <s v="509380948"/>
    <d v="2011-09-27T00:00:00"/>
    <n v="5"/>
    <n v="5997"/>
    <n v="81.73"/>
    <n v="56.67"/>
    <n v="25.060000000000002"/>
    <n v="490134.81"/>
    <n v="339849.99"/>
    <n v="150284.82"/>
  </r>
  <r>
    <s v="Europe"/>
    <x v="12"/>
    <x v="1"/>
    <s v="Offline"/>
    <x v="1"/>
    <d v="2011-07-28T00:00:00"/>
    <s v="221628844"/>
    <d v="2011-09-01T00:00:00"/>
    <n v="35"/>
    <n v="3755"/>
    <n v="109.28"/>
    <n v="35.840000000000003"/>
    <n v="73.44"/>
    <n v="410346.4"/>
    <n v="134579.20000000001"/>
    <n v="275767.2"/>
  </r>
  <r>
    <s v="Europe"/>
    <x v="4"/>
    <x v="0"/>
    <s v="Online"/>
    <x v="3"/>
    <d v="2016-02-29T00:00:00"/>
    <s v="650208079"/>
    <d v="2016-03-19T00:00:00"/>
    <n v="19"/>
    <n v="9875"/>
    <n v="47.45"/>
    <n v="31.79"/>
    <n v="15.660000000000004"/>
    <n v="468568.75"/>
    <n v="313926.25"/>
    <n v="154642.5"/>
  </r>
  <r>
    <s v="Europe"/>
    <x v="31"/>
    <x v="6"/>
    <s v="Offline"/>
    <x v="2"/>
    <d v="2010-06-14T00:00:00"/>
    <s v="229105556"/>
    <d v="2010-08-03T00:00:00"/>
    <n v="50"/>
    <n v="6280"/>
    <n v="421.89"/>
    <n v="364.69"/>
    <n v="57.199999999999989"/>
    <n v="2649469.2000000002"/>
    <n v="2290253.2000000002"/>
    <n v="359216"/>
  </r>
  <r>
    <s v="Europe"/>
    <x v="13"/>
    <x v="3"/>
    <s v="Offline"/>
    <x v="1"/>
    <d v="2016-03-11T00:00:00"/>
    <s v="660481584"/>
    <d v="2016-04-20T00:00:00"/>
    <n v="40"/>
    <n v="33"/>
    <n v="651.21"/>
    <n v="524.96"/>
    <n v="126.25"/>
    <n v="21489.93"/>
    <n v="17323.68"/>
    <n v="4166.25"/>
  </r>
  <r>
    <s v="Europe"/>
    <x v="27"/>
    <x v="3"/>
    <s v="Offline"/>
    <x v="3"/>
    <d v="2014-08-03T00:00:00"/>
    <s v="168487203"/>
    <d v="2014-09-21T00:00:00"/>
    <n v="49"/>
    <n v="7962"/>
    <n v="651.21"/>
    <n v="524.96"/>
    <n v="126.25"/>
    <n v="5184934.0199999996"/>
    <n v="4179731.52"/>
    <n v="1005202.5"/>
  </r>
  <r>
    <s v="Europe"/>
    <x v="12"/>
    <x v="6"/>
    <s v="Online"/>
    <x v="1"/>
    <d v="2010-12-20T00:00:00"/>
    <s v="609952628"/>
    <d v="2011-01-31T00:00:00"/>
    <n v="42"/>
    <n v="7392"/>
    <n v="421.89"/>
    <n v="364.69"/>
    <n v="57.199999999999989"/>
    <n v="3118610.88"/>
    <n v="2695788.48"/>
    <n v="422822.40000000002"/>
  </r>
  <r>
    <s v="Europe"/>
    <x v="42"/>
    <x v="8"/>
    <s v="Offline"/>
    <x v="3"/>
    <d v="2012-05-30T00:00:00"/>
    <s v="891808593"/>
    <d v="2012-06-11T00:00:00"/>
    <n v="12"/>
    <n v="4835"/>
    <n v="255.28"/>
    <n v="159.41999999999999"/>
    <n v="95.860000000000014"/>
    <n v="1234278.8"/>
    <n v="770795.7"/>
    <n v="463483.1"/>
  </r>
  <r>
    <s v="Europe"/>
    <x v="10"/>
    <x v="4"/>
    <s v="Online"/>
    <x v="2"/>
    <d v="2017-07-10T00:00:00"/>
    <s v="765734040"/>
    <d v="2017-08-04T00:00:00"/>
    <n v="25"/>
    <n v="6574"/>
    <n v="9.33"/>
    <n v="6.92"/>
    <n v="2.41"/>
    <n v="61335.42"/>
    <n v="45492.08"/>
    <n v="15843.34"/>
  </r>
  <r>
    <s v="Europe"/>
    <x v="10"/>
    <x v="2"/>
    <s v="Offline"/>
    <x v="2"/>
    <d v="2012-05-18T00:00:00"/>
    <s v="125349128"/>
    <d v="2012-06-06T00:00:00"/>
    <n v="19"/>
    <n v="2447"/>
    <n v="205.7"/>
    <n v="117.11"/>
    <n v="88.589999999999989"/>
    <n v="503347.9"/>
    <n v="286568.17"/>
    <n v="216779.73"/>
  </r>
  <r>
    <s v="Europe"/>
    <x v="11"/>
    <x v="5"/>
    <s v="Offline"/>
    <x v="3"/>
    <d v="2017-03-12T00:00:00"/>
    <s v="688698422"/>
    <d v="2017-04-01T00:00:00"/>
    <n v="20"/>
    <n v="22"/>
    <n v="154.06"/>
    <n v="90.93"/>
    <n v="63.129999999999995"/>
    <n v="3389.32"/>
    <n v="2000.46"/>
    <n v="1388.86"/>
  </r>
  <r>
    <s v="Europe"/>
    <x v="32"/>
    <x v="9"/>
    <s v="Online"/>
    <x v="2"/>
    <d v="2011-06-16T00:00:00"/>
    <s v="367328155"/>
    <d v="2011-07-30T00:00:00"/>
    <n v="44"/>
    <n v="9419"/>
    <n v="668.27"/>
    <n v="502.54"/>
    <n v="165.72999999999996"/>
    <n v="6294435.1299999999"/>
    <n v="4733424.26"/>
    <n v="1561010.87"/>
  </r>
  <r>
    <s v="Europe"/>
    <x v="9"/>
    <x v="2"/>
    <s v="Offline"/>
    <x v="2"/>
    <d v="2012-11-14T00:00:00"/>
    <s v="495450627"/>
    <d v="2012-12-26T00:00:00"/>
    <n v="42"/>
    <n v="3705"/>
    <n v="205.7"/>
    <n v="117.11"/>
    <n v="88.589999999999989"/>
    <n v="762118.5"/>
    <n v="433892.55"/>
    <n v="328225.95"/>
  </r>
  <r>
    <s v="Europe"/>
    <x v="44"/>
    <x v="11"/>
    <s v="Online"/>
    <x v="1"/>
    <d v="2013-07-24T00:00:00"/>
    <s v="638856971"/>
    <d v="2013-08-21T00:00:00"/>
    <n v="28"/>
    <n v="829"/>
    <n v="81.73"/>
    <n v="56.67"/>
    <n v="25.060000000000002"/>
    <n v="67754.17"/>
    <n v="46979.43"/>
    <n v="20774.740000000002"/>
  </r>
  <r>
    <s v="Europe"/>
    <x v="42"/>
    <x v="5"/>
    <s v="Offline"/>
    <x v="1"/>
    <d v="2016-06-01T00:00:00"/>
    <s v="936664998"/>
    <d v="2016-07-05T00:00:00"/>
    <n v="34"/>
    <n v="8843"/>
    <n v="154.06"/>
    <n v="90.93"/>
    <n v="63.129999999999995"/>
    <n v="1362352.58"/>
    <n v="804093.99"/>
    <n v="558258.59"/>
  </r>
  <r>
    <s v="Europe"/>
    <x v="9"/>
    <x v="10"/>
    <s v="Offline"/>
    <x v="0"/>
    <d v="2011-05-21T00:00:00"/>
    <s v="695059764"/>
    <d v="2011-06-29T00:00:00"/>
    <n v="39"/>
    <n v="2485"/>
    <n v="437.2"/>
    <n v="263.33"/>
    <n v="173.87"/>
    <n v="1086442"/>
    <n v="654375.05000000005"/>
    <n v="432066.95"/>
  </r>
  <r>
    <s v="Europe"/>
    <x v="44"/>
    <x v="0"/>
    <s v="Online"/>
    <x v="3"/>
    <d v="2010-03-08T00:00:00"/>
    <s v="681713092"/>
    <d v="2010-03-22T00:00:00"/>
    <n v="14"/>
    <n v="2908"/>
    <n v="47.45"/>
    <n v="31.79"/>
    <n v="15.660000000000004"/>
    <n v="137984.6"/>
    <n v="92445.32"/>
    <n v="45539.28"/>
  </r>
  <r>
    <s v="Europe"/>
    <x v="26"/>
    <x v="0"/>
    <s v="Offline"/>
    <x v="3"/>
    <d v="2010-09-26T00:00:00"/>
    <s v="511155498"/>
    <d v="2010-11-04T00:00:00"/>
    <n v="39"/>
    <n v="1126"/>
    <n v="47.45"/>
    <n v="31.79"/>
    <n v="15.660000000000004"/>
    <n v="53428.7"/>
    <n v="35795.54"/>
    <n v="17633.16"/>
  </r>
  <r>
    <s v="Europe"/>
    <x v="32"/>
    <x v="11"/>
    <s v="Online"/>
    <x v="3"/>
    <d v="2010-10-16T00:00:00"/>
    <s v="762655293"/>
    <d v="2010-11-11T00:00:00"/>
    <n v="26"/>
    <n v="5504"/>
    <n v="81.73"/>
    <n v="56.67"/>
    <n v="25.060000000000002"/>
    <n v="449841.91999999998"/>
    <n v="311911.67999999999"/>
    <n v="137930.23999999999"/>
  </r>
  <r>
    <s v="Europe"/>
    <x v="46"/>
    <x v="11"/>
    <s v="Offline"/>
    <x v="2"/>
    <d v="2015-01-14T00:00:00"/>
    <s v="119935786"/>
    <d v="2015-01-27T00:00:00"/>
    <n v="13"/>
    <n v="519"/>
    <n v="81.73"/>
    <n v="56.67"/>
    <n v="25.060000000000002"/>
    <n v="42417.87"/>
    <n v="29411.73"/>
    <n v="13006.14"/>
  </r>
  <r>
    <s v="Europe"/>
    <x v="0"/>
    <x v="7"/>
    <s v="Online"/>
    <x v="1"/>
    <d v="2010-08-31T00:00:00"/>
    <s v="755605590"/>
    <d v="2010-09-11T00:00:00"/>
    <n v="11"/>
    <n v="9340"/>
    <n v="152.58000000000001"/>
    <n v="97.44"/>
    <n v="55.140000000000015"/>
    <n v="1425097.2"/>
    <n v="910089.6"/>
    <n v="515007.6"/>
  </r>
  <r>
    <s v="Europe"/>
    <x v="31"/>
    <x v="6"/>
    <s v="Online"/>
    <x v="1"/>
    <d v="2010-06-13T00:00:00"/>
    <s v="907047402"/>
    <d v="2010-08-01T00:00:00"/>
    <n v="49"/>
    <n v="4338"/>
    <n v="421.89"/>
    <n v="364.69"/>
    <n v="57.199999999999989"/>
    <n v="1830158.82"/>
    <n v="1582025.22"/>
    <n v="248133.6"/>
  </r>
  <r>
    <s v="Europe"/>
    <x v="24"/>
    <x v="4"/>
    <s v="Offline"/>
    <x v="2"/>
    <d v="2013-08-12T00:00:00"/>
    <s v="638937652"/>
    <d v="2013-09-06T00:00:00"/>
    <n v="25"/>
    <n v="4705"/>
    <n v="9.33"/>
    <n v="6.92"/>
    <n v="2.41"/>
    <n v="43897.65"/>
    <n v="32558.6"/>
    <n v="11339.05"/>
  </r>
  <r>
    <s v="Europe"/>
    <x v="32"/>
    <x v="2"/>
    <s v="Offline"/>
    <x v="3"/>
    <d v="2016-02-26T00:00:00"/>
    <s v="449206340"/>
    <d v="2016-04-03T00:00:00"/>
    <n v="37"/>
    <n v="8993"/>
    <n v="205.7"/>
    <n v="117.11"/>
    <n v="88.589999999999989"/>
    <n v="1849860.1"/>
    <n v="1053170.23"/>
    <n v="796689.87"/>
  </r>
  <r>
    <s v="Europe"/>
    <x v="46"/>
    <x v="0"/>
    <s v="Online"/>
    <x v="2"/>
    <d v="2010-07-10T00:00:00"/>
    <s v="864071118"/>
    <d v="2010-07-18T00:00:00"/>
    <n v="8"/>
    <n v="6700"/>
    <n v="47.45"/>
    <n v="31.79"/>
    <n v="15.660000000000004"/>
    <n v="317915"/>
    <n v="212993"/>
    <n v="104922"/>
  </r>
  <r>
    <s v="Europe"/>
    <x v="12"/>
    <x v="3"/>
    <s v="Online"/>
    <x v="0"/>
    <d v="2010-12-16T00:00:00"/>
    <s v="253211104"/>
    <d v="2010-12-27T00:00:00"/>
    <n v="11"/>
    <n v="9648"/>
    <n v="651.21"/>
    <n v="524.96"/>
    <n v="126.25"/>
    <n v="6282874.0800000001"/>
    <n v="5064814.08"/>
    <n v="1218060"/>
  </r>
  <r>
    <s v="Europe"/>
    <x v="9"/>
    <x v="4"/>
    <s v="Online"/>
    <x v="1"/>
    <d v="2013-11-10T00:00:00"/>
    <s v="609939754"/>
    <d v="2013-11-30T00:00:00"/>
    <n v="20"/>
    <n v="3582"/>
    <n v="9.33"/>
    <n v="6.92"/>
    <n v="2.41"/>
    <n v="33420.06"/>
    <n v="24787.439999999999"/>
    <n v="8632.6200000000008"/>
  </r>
  <r>
    <s v="Europe"/>
    <x v="29"/>
    <x v="2"/>
    <s v="Offline"/>
    <x v="1"/>
    <d v="2014-02-06T00:00:00"/>
    <s v="907691991"/>
    <d v="2014-03-09T00:00:00"/>
    <n v="31"/>
    <n v="5086"/>
    <n v="205.7"/>
    <n v="117.11"/>
    <n v="88.589999999999989"/>
    <n v="1046190.2"/>
    <n v="595621.46"/>
    <n v="450568.74"/>
  </r>
  <r>
    <s v="Europe"/>
    <x v="47"/>
    <x v="4"/>
    <s v="Offline"/>
    <x v="0"/>
    <d v="2017-01-28T00:00:00"/>
    <s v="460693061"/>
    <d v="2017-02-25T00:00:00"/>
    <n v="28"/>
    <n v="8169"/>
    <n v="9.33"/>
    <n v="6.92"/>
    <n v="2.41"/>
    <n v="76216.77"/>
    <n v="56529.48"/>
    <n v="19687.29"/>
  </r>
  <r>
    <s v="Europe"/>
    <x v="7"/>
    <x v="3"/>
    <s v="Offline"/>
    <x v="3"/>
    <d v="2013-04-05T00:00:00"/>
    <s v="424541604"/>
    <d v="2013-05-17T00:00:00"/>
    <n v="42"/>
    <n v="150"/>
    <n v="651.21"/>
    <n v="524.96"/>
    <n v="126.25"/>
    <n v="97681.5"/>
    <n v="78744"/>
    <n v="18937.5"/>
  </r>
  <r>
    <s v="Europe"/>
    <x v="0"/>
    <x v="9"/>
    <s v="Online"/>
    <x v="2"/>
    <d v="2014-08-25T00:00:00"/>
    <s v="571161448"/>
    <d v="2014-09-30T00:00:00"/>
    <n v="36"/>
    <n v="8220"/>
    <n v="668.27"/>
    <n v="502.54"/>
    <n v="165.72999999999996"/>
    <n v="5493179.4000000004"/>
    <n v="4130878.8"/>
    <n v="1362300.6"/>
  </r>
  <r>
    <s v="Europe"/>
    <x v="11"/>
    <x v="0"/>
    <s v="Online"/>
    <x v="3"/>
    <d v="2011-02-04T00:00:00"/>
    <s v="985039174"/>
    <d v="2011-03-10T00:00:00"/>
    <n v="34"/>
    <n v="3836"/>
    <n v="47.45"/>
    <n v="31.79"/>
    <n v="15.660000000000004"/>
    <n v="182018.2"/>
    <n v="121946.44"/>
    <n v="60071.76"/>
  </r>
  <r>
    <s v="Europe"/>
    <x v="46"/>
    <x v="1"/>
    <s v="Online"/>
    <x v="3"/>
    <d v="2015-11-16T00:00:00"/>
    <s v="522323358"/>
    <d v="2015-11-20T00:00:00"/>
    <n v="4"/>
    <n v="5944"/>
    <n v="109.28"/>
    <n v="35.840000000000003"/>
    <n v="73.44"/>
    <n v="649560.31999999995"/>
    <n v="213032.95999999999"/>
    <n v="436527.35999999999"/>
  </r>
  <r>
    <s v="Europe"/>
    <x v="14"/>
    <x v="5"/>
    <s v="Offline"/>
    <x v="1"/>
    <d v="2016-10-05T00:00:00"/>
    <s v="486461150"/>
    <d v="2016-11-13T00:00:00"/>
    <n v="39"/>
    <n v="3519"/>
    <n v="154.06"/>
    <n v="90.93"/>
    <n v="63.129999999999995"/>
    <n v="542137.14"/>
    <n v="319982.67"/>
    <n v="222154.47"/>
  </r>
  <r>
    <s v="Europe"/>
    <x v="20"/>
    <x v="10"/>
    <s v="Online"/>
    <x v="1"/>
    <d v="2017-01-24T00:00:00"/>
    <s v="949912965"/>
    <d v="2017-03-06T00:00:00"/>
    <n v="41"/>
    <n v="9210"/>
    <n v="437.2"/>
    <n v="263.33"/>
    <n v="173.87"/>
    <n v="4026612"/>
    <n v="2425269.2999999998"/>
    <n v="1601342.7"/>
  </r>
  <r>
    <s v="Europe"/>
    <x v="32"/>
    <x v="4"/>
    <s v="Online"/>
    <x v="2"/>
    <d v="2013-04-20T00:00:00"/>
    <s v="103499639"/>
    <d v="2013-06-06T00:00:00"/>
    <n v="47"/>
    <n v="6698"/>
    <n v="9.33"/>
    <n v="6.92"/>
    <n v="2.41"/>
    <n v="62492.34"/>
    <n v="46350.16"/>
    <n v="16142.18"/>
  </r>
  <r>
    <s v="Europe"/>
    <x v="42"/>
    <x v="11"/>
    <s v="Offline"/>
    <x v="0"/>
    <d v="2016-12-23T00:00:00"/>
    <s v="877687728"/>
    <d v="2017-02-07T00:00:00"/>
    <n v="46"/>
    <n v="6158"/>
    <n v="81.73"/>
    <n v="56.67"/>
    <n v="25.060000000000002"/>
    <n v="503293.34"/>
    <n v="348973.86"/>
    <n v="154319.48000000001"/>
  </r>
  <r>
    <s v="Europe"/>
    <x v="36"/>
    <x v="8"/>
    <s v="Offline"/>
    <x v="3"/>
    <d v="2015-01-15T00:00:00"/>
    <s v="288073384"/>
    <d v="2015-02-16T00:00:00"/>
    <n v="32"/>
    <n v="6171"/>
    <n v="255.28"/>
    <n v="159.41999999999999"/>
    <n v="95.860000000000014"/>
    <n v="1575332.88"/>
    <n v="983780.82"/>
    <n v="591552.06000000006"/>
  </r>
  <r>
    <s v="Europe"/>
    <x v="14"/>
    <x v="9"/>
    <s v="Online"/>
    <x v="3"/>
    <d v="2016-08-03T00:00:00"/>
    <s v="607756221"/>
    <d v="2016-08-11T00:00:00"/>
    <n v="8"/>
    <n v="7426"/>
    <n v="668.27"/>
    <n v="502.54"/>
    <n v="165.72999999999996"/>
    <n v="4962573.0199999996"/>
    <n v="3731862.04"/>
    <n v="1230710.98"/>
  </r>
  <r>
    <s v="Europe"/>
    <x v="18"/>
    <x v="9"/>
    <s v="Online"/>
    <x v="3"/>
    <d v="2017-02-13T00:00:00"/>
    <s v="291179597"/>
    <d v="2017-02-20T00:00:00"/>
    <n v="7"/>
    <n v="5368"/>
    <n v="668.27"/>
    <n v="502.54"/>
    <n v="165.72999999999996"/>
    <n v="3587273.36"/>
    <n v="2697634.72"/>
    <n v="889638.64"/>
  </r>
  <r>
    <s v="Europe"/>
    <x v="10"/>
    <x v="4"/>
    <s v="Online"/>
    <x v="2"/>
    <d v="2010-10-25T00:00:00"/>
    <s v="875220096"/>
    <d v="2010-11-06T00:00:00"/>
    <n v="12"/>
    <n v="5930"/>
    <n v="9.33"/>
    <n v="6.92"/>
    <n v="2.41"/>
    <n v="55326.9"/>
    <n v="41035.599999999999"/>
    <n v="14291.3"/>
  </r>
  <r>
    <s v="Europe"/>
    <x v="36"/>
    <x v="9"/>
    <s v="Offline"/>
    <x v="0"/>
    <d v="2016-03-11T00:00:00"/>
    <s v="799848306"/>
    <d v="2016-04-23T00:00:00"/>
    <n v="43"/>
    <n v="1743"/>
    <n v="668.27"/>
    <n v="502.54"/>
    <n v="165.72999999999996"/>
    <n v="1164794.6100000001"/>
    <n v="875927.22"/>
    <n v="288867.39"/>
  </r>
  <r>
    <s v="Europe"/>
    <x v="0"/>
    <x v="6"/>
    <s v="Offline"/>
    <x v="1"/>
    <d v="2011-12-05T00:00:00"/>
    <s v="693583905"/>
    <d v="2012-01-06T00:00:00"/>
    <n v="32"/>
    <n v="5745"/>
    <n v="421.89"/>
    <n v="364.69"/>
    <n v="57.199999999999989"/>
    <n v="2423758.0499999998"/>
    <n v="2095144.05"/>
    <n v="328614"/>
  </r>
  <r>
    <s v="Europe"/>
    <x v="34"/>
    <x v="6"/>
    <s v="Online"/>
    <x v="0"/>
    <d v="2015-01-18T00:00:00"/>
    <s v="437083184"/>
    <d v="2015-02-19T00:00:00"/>
    <n v="32"/>
    <n v="1482"/>
    <n v="421.89"/>
    <n v="364.69"/>
    <n v="57.199999999999989"/>
    <n v="625240.98"/>
    <n v="540470.57999999996"/>
    <n v="84770.4"/>
  </r>
  <r>
    <s v="Europe"/>
    <x v="35"/>
    <x v="5"/>
    <s v="Offline"/>
    <x v="0"/>
    <d v="2017-07-10T00:00:00"/>
    <s v="759594142"/>
    <d v="2017-07-12T00:00:00"/>
    <n v="2"/>
    <n v="9641"/>
    <n v="154.06"/>
    <n v="90.93"/>
    <n v="63.129999999999995"/>
    <n v="1485292.46"/>
    <n v="876656.13"/>
    <n v="608636.32999999996"/>
  </r>
  <r>
    <s v="Europe"/>
    <x v="26"/>
    <x v="9"/>
    <s v="Online"/>
    <x v="2"/>
    <d v="2010-05-16T00:00:00"/>
    <s v="702815854"/>
    <d v="2010-06-06T00:00:00"/>
    <n v="21"/>
    <n v="7684"/>
    <n v="668.27"/>
    <n v="502.54"/>
    <n v="165.72999999999996"/>
    <n v="5134986.68"/>
    <n v="3861517.36"/>
    <n v="1273469.32"/>
  </r>
  <r>
    <s v="Europe"/>
    <x v="34"/>
    <x v="7"/>
    <s v="Online"/>
    <x v="0"/>
    <d v="2013-06-01T00:00:00"/>
    <s v="971899354"/>
    <d v="2013-06-01T00:00:00"/>
    <n v="0"/>
    <n v="5471"/>
    <n v="152.58000000000001"/>
    <n v="97.44"/>
    <n v="55.140000000000015"/>
    <n v="834765.18"/>
    <n v="533094.24"/>
    <n v="301670.94"/>
  </r>
  <r>
    <s v="Europe"/>
    <x v="0"/>
    <x v="3"/>
    <s v="Online"/>
    <x v="1"/>
    <d v="2010-02-16T00:00:00"/>
    <s v="521681344"/>
    <d v="2010-04-03T00:00:00"/>
    <n v="46"/>
    <n v="5957"/>
    <n v="651.21"/>
    <n v="524.96"/>
    <n v="126.25"/>
    <n v="3879257.97"/>
    <n v="3127186.72"/>
    <n v="752071.25"/>
  </r>
  <r>
    <s v="Europe"/>
    <x v="40"/>
    <x v="3"/>
    <s v="Offline"/>
    <x v="2"/>
    <d v="2012-01-18T00:00:00"/>
    <s v="239554154"/>
    <d v="2012-02-13T00:00:00"/>
    <n v="26"/>
    <n v="8253"/>
    <n v="651.21"/>
    <n v="524.96"/>
    <n v="126.25"/>
    <n v="5374436.1299999999"/>
    <n v="4332494.88"/>
    <n v="1041941.25"/>
  </r>
  <r>
    <s v="Europe"/>
    <x v="29"/>
    <x v="3"/>
    <s v="Online"/>
    <x v="1"/>
    <d v="2011-04-17T00:00:00"/>
    <s v="982566821"/>
    <d v="2011-06-05T00:00:00"/>
    <n v="49"/>
    <n v="2212"/>
    <n v="651.21"/>
    <n v="524.96"/>
    <n v="126.25"/>
    <n v="1440476.52"/>
    <n v="1161211.52"/>
    <n v="279265"/>
  </r>
  <r>
    <s v="Europe"/>
    <x v="19"/>
    <x v="10"/>
    <s v="Online"/>
    <x v="0"/>
    <d v="2017-05-05T00:00:00"/>
    <s v="887501180"/>
    <d v="2017-06-20T00:00:00"/>
    <n v="46"/>
    <n v="176"/>
    <n v="437.2"/>
    <n v="263.33"/>
    <n v="173.87"/>
    <n v="76947.199999999997"/>
    <n v="46346.080000000002"/>
    <n v="30601.119999999999"/>
  </r>
  <r>
    <s v="Europe"/>
    <x v="35"/>
    <x v="4"/>
    <s v="Online"/>
    <x v="3"/>
    <d v="2010-10-25T00:00:00"/>
    <s v="278513133"/>
    <d v="2010-11-05T00:00:00"/>
    <n v="11"/>
    <n v="7080"/>
    <n v="9.33"/>
    <n v="6.92"/>
    <n v="2.41"/>
    <n v="66056.399999999994"/>
    <n v="48993.599999999999"/>
    <n v="17062.8"/>
  </r>
  <r>
    <s v="Europe"/>
    <x v="30"/>
    <x v="8"/>
    <s v="Offline"/>
    <x v="2"/>
    <d v="2012-05-18T00:00:00"/>
    <s v="152191388"/>
    <d v="2012-06-22T00:00:00"/>
    <n v="35"/>
    <n v="5669"/>
    <n v="255.28"/>
    <n v="159.41999999999999"/>
    <n v="95.860000000000014"/>
    <n v="1447182.32"/>
    <n v="903751.98"/>
    <n v="543430.34"/>
  </r>
  <r>
    <s v="Europe"/>
    <x v="41"/>
    <x v="11"/>
    <s v="Offline"/>
    <x v="0"/>
    <d v="2014-05-05T00:00:00"/>
    <s v="309655511"/>
    <d v="2014-05-21T00:00:00"/>
    <n v="16"/>
    <n v="2802"/>
    <n v="81.73"/>
    <n v="56.67"/>
    <n v="25.060000000000002"/>
    <n v="229007.46"/>
    <n v="158789.34"/>
    <n v="70218.12"/>
  </r>
  <r>
    <s v="Europe"/>
    <x v="6"/>
    <x v="6"/>
    <s v="Offline"/>
    <x v="1"/>
    <d v="2010-12-18T00:00:00"/>
    <s v="469129359"/>
    <d v="2011-01-26T00:00:00"/>
    <n v="39"/>
    <n v="4657"/>
    <n v="421.89"/>
    <n v="364.69"/>
    <n v="57.199999999999989"/>
    <n v="1964741.73"/>
    <n v="1698361.33"/>
    <n v="266380.40000000002"/>
  </r>
  <r>
    <s v="Europe"/>
    <x v="25"/>
    <x v="7"/>
    <s v="Online"/>
    <x v="2"/>
    <d v="2017-06-16T00:00:00"/>
    <s v="951698243"/>
    <d v="2017-07-03T00:00:00"/>
    <n v="17"/>
    <n v="7514"/>
    <n v="152.58000000000001"/>
    <n v="97.44"/>
    <n v="55.140000000000015"/>
    <n v="1146486.1200000001"/>
    <n v="732164.16"/>
    <n v="414321.96"/>
  </r>
  <r>
    <s v="Europe"/>
    <x v="21"/>
    <x v="7"/>
    <s v="Online"/>
    <x v="2"/>
    <d v="2012-01-27T00:00:00"/>
    <s v="981808078"/>
    <d v="2012-01-28T00:00:00"/>
    <n v="1"/>
    <n v="7683"/>
    <n v="152.58000000000001"/>
    <n v="97.44"/>
    <n v="55.140000000000015"/>
    <n v="1172272.1399999999"/>
    <n v="748631.52"/>
    <n v="423640.62"/>
  </r>
  <r>
    <s v="Europe"/>
    <x v="22"/>
    <x v="2"/>
    <s v="Online"/>
    <x v="1"/>
    <d v="2013-03-27T00:00:00"/>
    <s v="833706796"/>
    <d v="2013-04-03T00:00:00"/>
    <n v="7"/>
    <n v="1223"/>
    <n v="205.7"/>
    <n v="117.11"/>
    <n v="88.589999999999989"/>
    <n v="251571.1"/>
    <n v="143225.53"/>
    <n v="108345.57"/>
  </r>
  <r>
    <s v="Europe"/>
    <x v="41"/>
    <x v="3"/>
    <s v="Online"/>
    <x v="3"/>
    <d v="2010-06-09T00:00:00"/>
    <s v="650078475"/>
    <d v="2010-06-18T00:00:00"/>
    <n v="9"/>
    <n v="1522"/>
    <n v="651.21"/>
    <n v="524.96"/>
    <n v="126.25"/>
    <n v="991141.62"/>
    <n v="798989.12"/>
    <n v="192152.5"/>
  </r>
  <r>
    <s v="Europe"/>
    <x v="34"/>
    <x v="7"/>
    <s v="Offline"/>
    <x v="3"/>
    <d v="2012-10-27T00:00:00"/>
    <s v="507531726"/>
    <d v="2012-11-11T00:00:00"/>
    <n v="15"/>
    <n v="8771"/>
    <n v="152.58000000000001"/>
    <n v="97.44"/>
    <n v="55.140000000000015"/>
    <n v="1338279.18"/>
    <n v="854646.24"/>
    <n v="483632.94"/>
  </r>
  <r>
    <s v="Europe"/>
    <x v="11"/>
    <x v="11"/>
    <s v="Online"/>
    <x v="0"/>
    <d v="2012-03-10T00:00:00"/>
    <s v="544741475"/>
    <d v="2012-03-25T00:00:00"/>
    <n v="15"/>
    <n v="9963"/>
    <n v="81.73"/>
    <n v="56.67"/>
    <n v="25.060000000000002"/>
    <n v="814275.99"/>
    <n v="564603.21"/>
    <n v="249672.78"/>
  </r>
  <r>
    <s v="Europe"/>
    <x v="37"/>
    <x v="8"/>
    <s v="Online"/>
    <x v="3"/>
    <d v="2011-01-15T00:00:00"/>
    <s v="926826655"/>
    <d v="2011-02-16T00:00:00"/>
    <n v="32"/>
    <n v="7458"/>
    <n v="255.28"/>
    <n v="159.41999999999999"/>
    <n v="95.860000000000014"/>
    <n v="1903878.24"/>
    <n v="1188954.3600000001"/>
    <n v="714923.88"/>
  </r>
  <r>
    <s v="Europe"/>
    <x v="0"/>
    <x v="9"/>
    <s v="Online"/>
    <x v="2"/>
    <d v="2011-02-21T00:00:00"/>
    <s v="759086453"/>
    <d v="2011-02-27T00:00:00"/>
    <n v="6"/>
    <n v="9405"/>
    <n v="668.27"/>
    <n v="502.54"/>
    <n v="165.72999999999996"/>
    <n v="6285079.3499999996"/>
    <n v="4726388.7"/>
    <n v="1558690.65"/>
  </r>
  <r>
    <s v="Europe"/>
    <x v="38"/>
    <x v="8"/>
    <s v="Offline"/>
    <x v="0"/>
    <d v="2014-11-01T00:00:00"/>
    <s v="523899209"/>
    <d v="2014-11-16T00:00:00"/>
    <n v="15"/>
    <n v="2273"/>
    <n v="255.28"/>
    <n v="159.41999999999999"/>
    <n v="95.860000000000014"/>
    <n v="580251.43999999994"/>
    <n v="362361.66"/>
    <n v="217889.78"/>
  </r>
  <r>
    <s v="Europe"/>
    <x v="30"/>
    <x v="1"/>
    <s v="Online"/>
    <x v="1"/>
    <d v="2011-04-07T00:00:00"/>
    <s v="647943866"/>
    <d v="2011-04-18T00:00:00"/>
    <n v="11"/>
    <n v="9843"/>
    <n v="109.28"/>
    <n v="35.840000000000003"/>
    <n v="73.44"/>
    <n v="1075643.04"/>
    <n v="352773.12"/>
    <n v="722869.92"/>
  </r>
  <r>
    <s v="Europe"/>
    <x v="46"/>
    <x v="2"/>
    <s v="Offline"/>
    <x v="0"/>
    <d v="2012-09-29T00:00:00"/>
    <s v="812632358"/>
    <d v="2012-10-17T00:00:00"/>
    <n v="18"/>
    <n v="4828"/>
    <n v="205.7"/>
    <n v="117.11"/>
    <n v="88.589999999999989"/>
    <n v="993119.6"/>
    <n v="565407.07999999996"/>
    <n v="427712.52"/>
  </r>
  <r>
    <s v="Europe"/>
    <x v="44"/>
    <x v="10"/>
    <s v="Online"/>
    <x v="2"/>
    <d v="2014-10-17T00:00:00"/>
    <s v="231861150"/>
    <d v="2014-11-01T00:00:00"/>
    <n v="15"/>
    <n v="1722"/>
    <n v="437.2"/>
    <n v="263.33"/>
    <n v="173.87"/>
    <n v="752858.4"/>
    <n v="453454.26"/>
    <n v="299404.14"/>
  </r>
  <r>
    <s v="Europe"/>
    <x v="39"/>
    <x v="7"/>
    <s v="Online"/>
    <x v="1"/>
    <d v="2010-05-03T00:00:00"/>
    <s v="348080623"/>
    <d v="2010-05-19T00:00:00"/>
    <n v="16"/>
    <n v="3646"/>
    <n v="152.58000000000001"/>
    <n v="97.44"/>
    <n v="55.140000000000015"/>
    <n v="556306.68000000005"/>
    <n v="355266.24"/>
    <n v="201040.44"/>
  </r>
  <r>
    <s v="Europe"/>
    <x v="38"/>
    <x v="3"/>
    <s v="Online"/>
    <x v="2"/>
    <d v="2013-09-11T00:00:00"/>
    <s v="368865811"/>
    <d v="2013-10-16T00:00:00"/>
    <n v="35"/>
    <n v="4445"/>
    <n v="651.21"/>
    <n v="524.96"/>
    <n v="126.25"/>
    <n v="2894628.45"/>
    <n v="2333447.2000000002"/>
    <n v="561181.25"/>
  </r>
  <r>
    <s v="Europe"/>
    <x v="26"/>
    <x v="11"/>
    <s v="Online"/>
    <x v="2"/>
    <d v="2016-02-04T00:00:00"/>
    <s v="478840672"/>
    <d v="2016-02-09T00:00:00"/>
    <n v="5"/>
    <n v="8451"/>
    <n v="81.73"/>
    <n v="56.67"/>
    <n v="25.060000000000002"/>
    <n v="690700.23"/>
    <n v="478918.17"/>
    <n v="211782.06"/>
  </r>
  <r>
    <s v="Europe"/>
    <x v="34"/>
    <x v="2"/>
    <s v="Online"/>
    <x v="2"/>
    <d v="2010-07-19T00:00:00"/>
    <s v="772643411"/>
    <d v="2010-08-25T00:00:00"/>
    <n v="37"/>
    <n v="1210"/>
    <n v="205.7"/>
    <n v="117.11"/>
    <n v="88.589999999999989"/>
    <n v="248897"/>
    <n v="141703.1"/>
    <n v="107193.9"/>
  </r>
  <r>
    <s v="Europe"/>
    <x v="17"/>
    <x v="0"/>
    <s v="Online"/>
    <x v="1"/>
    <d v="2013-08-22T00:00:00"/>
    <s v="742843854"/>
    <d v="2013-09-04T00:00:00"/>
    <n v="13"/>
    <n v="2859"/>
    <n v="47.45"/>
    <n v="31.79"/>
    <n v="15.660000000000004"/>
    <n v="135659.54999999999"/>
    <n v="90887.61"/>
    <n v="44771.94"/>
  </r>
  <r>
    <s v="Europe"/>
    <x v="15"/>
    <x v="0"/>
    <s v="Offline"/>
    <x v="0"/>
    <d v="2012-12-23T00:00:00"/>
    <s v="308582627"/>
    <d v="2013-02-09T00:00:00"/>
    <n v="48"/>
    <n v="5312"/>
    <n v="47.45"/>
    <n v="31.79"/>
    <n v="15.660000000000004"/>
    <n v="252054.39999999999"/>
    <n v="168868.48000000001"/>
    <n v="83185.919999999998"/>
  </r>
  <r>
    <s v="Europe"/>
    <x v="14"/>
    <x v="11"/>
    <s v="Online"/>
    <x v="2"/>
    <d v="2011-03-29T00:00:00"/>
    <s v="140499961"/>
    <d v="2011-04-30T00:00:00"/>
    <n v="32"/>
    <n v="5915"/>
    <n v="81.73"/>
    <n v="56.67"/>
    <n v="25.060000000000002"/>
    <n v="483432.95"/>
    <n v="335203.05"/>
    <n v="148229.9"/>
  </r>
  <r>
    <s v="Europe"/>
    <x v="18"/>
    <x v="2"/>
    <s v="Online"/>
    <x v="1"/>
    <d v="2010-12-13T00:00:00"/>
    <s v="856648051"/>
    <d v="2010-12-23T00:00:00"/>
    <n v="10"/>
    <n v="50"/>
    <n v="205.7"/>
    <n v="117.11"/>
    <n v="88.589999999999989"/>
    <n v="10285"/>
    <n v="5855.5"/>
    <n v="4429.5"/>
  </r>
  <r>
    <s v="Europe"/>
    <x v="42"/>
    <x v="10"/>
    <s v="Offline"/>
    <x v="3"/>
    <d v="2012-06-13T00:00:00"/>
    <s v="780899035"/>
    <d v="2012-07-30T00:00:00"/>
    <n v="47"/>
    <n v="4233"/>
    <n v="437.2"/>
    <n v="263.33"/>
    <n v="173.87"/>
    <n v="1850667.6"/>
    <n v="1114675.8899999999"/>
    <n v="735991.71"/>
  </r>
  <r>
    <s v="Europe"/>
    <x v="23"/>
    <x v="6"/>
    <s v="Offline"/>
    <x v="2"/>
    <d v="2013-07-15T00:00:00"/>
    <s v="177147090"/>
    <d v="2013-08-17T00:00:00"/>
    <n v="33"/>
    <n v="615"/>
    <n v="421.89"/>
    <n v="364.69"/>
    <n v="57.199999999999989"/>
    <n v="259462.35"/>
    <n v="224284.35"/>
    <n v="35178"/>
  </r>
  <r>
    <s v="Europe"/>
    <x v="16"/>
    <x v="3"/>
    <s v="Offline"/>
    <x v="0"/>
    <d v="2012-02-17T00:00:00"/>
    <s v="775849616"/>
    <d v="2012-03-05T00:00:00"/>
    <n v="17"/>
    <n v="9997"/>
    <n v="651.21"/>
    <n v="524.96"/>
    <n v="126.25"/>
    <n v="6510146.3700000001"/>
    <n v="5248025.12"/>
    <n v="1262121.25"/>
  </r>
  <r>
    <s v="Europe"/>
    <x v="35"/>
    <x v="6"/>
    <s v="Online"/>
    <x v="0"/>
    <d v="2013-12-14T00:00:00"/>
    <s v="979200112"/>
    <d v="2013-12-30T00:00:00"/>
    <n v="16"/>
    <n v="5928"/>
    <n v="421.89"/>
    <n v="364.69"/>
    <n v="57.199999999999989"/>
    <n v="2500963.92"/>
    <n v="2161882.3199999998"/>
    <n v="339081.6"/>
  </r>
  <r>
    <s v="Europe"/>
    <x v="43"/>
    <x v="7"/>
    <s v="Offline"/>
    <x v="1"/>
    <d v="2014-10-18T00:00:00"/>
    <s v="429123675"/>
    <d v="2014-11-11T00:00:00"/>
    <n v="24"/>
    <n v="6086"/>
    <n v="152.58000000000001"/>
    <n v="97.44"/>
    <n v="55.140000000000015"/>
    <n v="928601.88"/>
    <n v="593019.84"/>
    <n v="335582.04"/>
  </r>
  <r>
    <s v="Europe"/>
    <x v="10"/>
    <x v="5"/>
    <s v="Offline"/>
    <x v="2"/>
    <d v="2012-02-19T00:00:00"/>
    <s v="515771901"/>
    <d v="2012-03-19T00:00:00"/>
    <n v="29"/>
    <n v="7222"/>
    <n v="154.06"/>
    <n v="90.93"/>
    <n v="63.129999999999995"/>
    <n v="1112621.32"/>
    <n v="656696.46"/>
    <n v="455924.86"/>
  </r>
  <r>
    <s v="Europe"/>
    <x v="13"/>
    <x v="2"/>
    <s v="Online"/>
    <x v="0"/>
    <d v="2012-08-07T00:00:00"/>
    <s v="626109397"/>
    <d v="2012-09-15T00:00:00"/>
    <n v="39"/>
    <n v="8539"/>
    <n v="205.7"/>
    <n v="117.11"/>
    <n v="88.589999999999989"/>
    <n v="1756472.3"/>
    <n v="1000002.29"/>
    <n v="756470.01"/>
  </r>
  <r>
    <s v="Europe"/>
    <x v="0"/>
    <x v="9"/>
    <s v="Offline"/>
    <x v="3"/>
    <d v="2012-12-05T00:00:00"/>
    <s v="574247491"/>
    <d v="2012-12-17T00:00:00"/>
    <n v="12"/>
    <n v="1448"/>
    <n v="668.27"/>
    <n v="502.54"/>
    <n v="165.72999999999996"/>
    <n v="967654.96"/>
    <n v="727677.92"/>
    <n v="239977.04"/>
  </r>
  <r>
    <s v="Europe"/>
    <x v="12"/>
    <x v="7"/>
    <s v="Online"/>
    <x v="1"/>
    <d v="2013-01-05T00:00:00"/>
    <s v="941933286"/>
    <d v="2013-02-08T00:00:00"/>
    <n v="34"/>
    <n v="7846"/>
    <n v="152.58000000000001"/>
    <n v="97.44"/>
    <n v="55.140000000000015"/>
    <n v="1197142.68"/>
    <n v="764514.24"/>
    <n v="432628.44"/>
  </r>
  <r>
    <s v="Europe"/>
    <x v="32"/>
    <x v="2"/>
    <s v="Offline"/>
    <x v="2"/>
    <d v="2010-08-28T00:00:00"/>
    <s v="797718417"/>
    <d v="2010-10-15T00:00:00"/>
    <n v="48"/>
    <n v="1462"/>
    <n v="205.7"/>
    <n v="117.11"/>
    <n v="88.589999999999989"/>
    <n v="300733.40000000002"/>
    <n v="171214.82"/>
    <n v="129518.58"/>
  </r>
  <r>
    <s v="Europe"/>
    <x v="4"/>
    <x v="2"/>
    <s v="Online"/>
    <x v="0"/>
    <d v="2013-10-14T00:00:00"/>
    <s v="220607459"/>
    <d v="2013-10-17T00:00:00"/>
    <n v="3"/>
    <n v="1504"/>
    <n v="205.7"/>
    <n v="117.11"/>
    <n v="88.589999999999989"/>
    <n v="309372.79999999999"/>
    <n v="176133.44"/>
    <n v="133239.35999999999"/>
  </r>
  <r>
    <s v="Europe"/>
    <x v="45"/>
    <x v="8"/>
    <s v="Offline"/>
    <x v="2"/>
    <d v="2010-07-19T00:00:00"/>
    <s v="629301440"/>
    <d v="2010-07-29T00:00:00"/>
    <n v="10"/>
    <n v="3135"/>
    <n v="255.28"/>
    <n v="159.41999999999999"/>
    <n v="95.860000000000014"/>
    <n v="800302.8"/>
    <n v="499781.7"/>
    <n v="300521.09999999998"/>
  </r>
  <r>
    <s v="Europe"/>
    <x v="35"/>
    <x v="1"/>
    <s v="Offline"/>
    <x v="3"/>
    <d v="2016-08-01T00:00:00"/>
    <s v="431432092"/>
    <d v="2016-09-13T00:00:00"/>
    <n v="43"/>
    <n v="9198"/>
    <n v="109.28"/>
    <n v="35.840000000000003"/>
    <n v="73.44"/>
    <n v="1005157.44"/>
    <n v="329656.32000000001"/>
    <n v="675501.12"/>
  </r>
  <r>
    <s v="Europe"/>
    <x v="39"/>
    <x v="8"/>
    <s v="Online"/>
    <x v="3"/>
    <d v="2010-09-27T00:00:00"/>
    <s v="442318427"/>
    <d v="2010-10-08T00:00:00"/>
    <n v="11"/>
    <n v="707"/>
    <n v="255.28"/>
    <n v="159.41999999999999"/>
    <n v="95.860000000000014"/>
    <n v="180482.96"/>
    <n v="112709.94"/>
    <n v="67773.02"/>
  </r>
  <r>
    <s v="Europe"/>
    <x v="2"/>
    <x v="10"/>
    <s v="Offline"/>
    <x v="2"/>
    <d v="2010-07-24T00:00:00"/>
    <s v="540982520"/>
    <d v="2010-09-01T00:00:00"/>
    <n v="39"/>
    <n v="7604"/>
    <n v="437.2"/>
    <n v="263.33"/>
    <n v="173.87"/>
    <n v="3324468.8"/>
    <n v="2002361.32"/>
    <n v="1322107.48"/>
  </r>
  <r>
    <s v="Europe"/>
    <x v="40"/>
    <x v="1"/>
    <s v="Offline"/>
    <x v="0"/>
    <d v="2010-11-11T00:00:00"/>
    <s v="563939225"/>
    <d v="2010-12-19T00:00:00"/>
    <n v="38"/>
    <n v="1004"/>
    <n v="109.28"/>
    <n v="35.840000000000003"/>
    <n v="73.44"/>
    <n v="109717.12"/>
    <n v="35983.360000000001"/>
    <n v="73733.759999999995"/>
  </r>
  <r>
    <s v="Europe"/>
    <x v="2"/>
    <x v="2"/>
    <s v="Online"/>
    <x v="3"/>
    <d v="2015-12-24T00:00:00"/>
    <s v="323293578"/>
    <d v="2016-02-02T00:00:00"/>
    <n v="40"/>
    <n v="8609"/>
    <n v="205.7"/>
    <n v="117.11"/>
    <n v="88.589999999999989"/>
    <n v="1770871.3"/>
    <n v="1008199.99"/>
    <n v="762671.31"/>
  </r>
  <r>
    <s v="Europe"/>
    <x v="4"/>
    <x v="7"/>
    <s v="Online"/>
    <x v="2"/>
    <d v="2015-07-22T00:00:00"/>
    <s v="507040774"/>
    <d v="2015-07-25T00:00:00"/>
    <n v="3"/>
    <n v="3488"/>
    <n v="152.58000000000001"/>
    <n v="97.44"/>
    <n v="55.140000000000015"/>
    <n v="532199.04"/>
    <n v="339870.71999999997"/>
    <n v="192328.32000000001"/>
  </r>
  <r>
    <s v="Europe"/>
    <x v="36"/>
    <x v="3"/>
    <s v="Offline"/>
    <x v="1"/>
    <d v="2013-04-02T00:00:00"/>
    <s v="516599738"/>
    <d v="2013-05-09T00:00:00"/>
    <n v="37"/>
    <n v="2197"/>
    <n v="651.21"/>
    <n v="524.96"/>
    <n v="126.25"/>
    <n v="1430708.37"/>
    <n v="1153337.1200000001"/>
    <n v="277371.25"/>
  </r>
  <r>
    <s v="Europe"/>
    <x v="44"/>
    <x v="1"/>
    <s v="Online"/>
    <x v="3"/>
    <d v="2016-07-22T00:00:00"/>
    <s v="383611094"/>
    <d v="2016-08-26T00:00:00"/>
    <n v="35"/>
    <n v="7902"/>
    <n v="109.28"/>
    <n v="35.840000000000003"/>
    <n v="73.44"/>
    <n v="863530.56"/>
    <n v="283207.67999999999"/>
    <n v="580322.88"/>
  </r>
  <r>
    <s v="Europe"/>
    <x v="10"/>
    <x v="8"/>
    <s v="Offline"/>
    <x v="1"/>
    <d v="2016-06-03T00:00:00"/>
    <s v="412416303"/>
    <d v="2016-06-11T00:00:00"/>
    <n v="8"/>
    <n v="2004"/>
    <n v="255.28"/>
    <n v="159.41999999999999"/>
    <n v="95.860000000000014"/>
    <n v="511581.12"/>
    <n v="319477.68"/>
    <n v="192103.44"/>
  </r>
  <r>
    <s v="Europe"/>
    <x v="41"/>
    <x v="10"/>
    <s v="Offline"/>
    <x v="1"/>
    <d v="2012-02-15T00:00:00"/>
    <s v="364715468"/>
    <d v="2012-02-19T00:00:00"/>
    <n v="4"/>
    <n v="6267"/>
    <n v="437.2"/>
    <n v="263.33"/>
    <n v="173.87"/>
    <n v="2739932.4"/>
    <n v="1650289.11"/>
    <n v="1089643.29"/>
  </r>
  <r>
    <s v="Europe"/>
    <x v="11"/>
    <x v="11"/>
    <s v="Offline"/>
    <x v="3"/>
    <d v="2010-05-08T00:00:00"/>
    <s v="392752492"/>
    <d v="2010-06-03T00:00:00"/>
    <n v="26"/>
    <n v="3045"/>
    <n v="81.73"/>
    <n v="56.67"/>
    <n v="25.060000000000002"/>
    <n v="248867.85"/>
    <n v="172560.15"/>
    <n v="76307.7"/>
  </r>
  <r>
    <s v="Europe"/>
    <x v="28"/>
    <x v="4"/>
    <s v="Offline"/>
    <x v="3"/>
    <d v="2014-01-04T00:00:00"/>
    <s v="633992946"/>
    <d v="2014-01-06T00:00:00"/>
    <n v="2"/>
    <n v="1456"/>
    <n v="9.33"/>
    <n v="6.92"/>
    <n v="2.41"/>
    <n v="13584.48"/>
    <n v="10075.52"/>
    <n v="3508.96"/>
  </r>
  <r>
    <s v="Europe"/>
    <x v="10"/>
    <x v="1"/>
    <s v="Online"/>
    <x v="0"/>
    <d v="2011-10-30T00:00:00"/>
    <s v="937875640"/>
    <d v="2011-11-30T00:00:00"/>
    <n v="31"/>
    <n v="7098"/>
    <n v="109.28"/>
    <n v="35.840000000000003"/>
    <n v="73.44"/>
    <n v="775669.44"/>
    <n v="254392.32000000001"/>
    <n v="521277.12"/>
  </r>
  <r>
    <s v="Europe"/>
    <x v="44"/>
    <x v="5"/>
    <s v="Online"/>
    <x v="0"/>
    <d v="2016-08-12T00:00:00"/>
    <s v="614054477"/>
    <d v="2016-08-16T00:00:00"/>
    <n v="4"/>
    <n v="1220"/>
    <n v="154.06"/>
    <n v="90.93"/>
    <n v="63.129999999999995"/>
    <n v="187953.2"/>
    <n v="110934.6"/>
    <n v="77018.600000000006"/>
  </r>
  <r>
    <s v="Europe"/>
    <x v="34"/>
    <x v="8"/>
    <s v="Offline"/>
    <x v="3"/>
    <d v="2011-03-29T00:00:00"/>
    <s v="369170081"/>
    <d v="2011-04-03T00:00:00"/>
    <n v="5"/>
    <n v="4486"/>
    <n v="255.28"/>
    <n v="159.41999999999999"/>
    <n v="95.860000000000014"/>
    <n v="1145186.08"/>
    <n v="715158.12"/>
    <n v="430027.96"/>
  </r>
  <r>
    <s v="Europe"/>
    <x v="30"/>
    <x v="1"/>
    <s v="Offline"/>
    <x v="0"/>
    <d v="2016-01-16T00:00:00"/>
    <s v="357930982"/>
    <d v="2016-03-05T00:00:00"/>
    <n v="49"/>
    <n v="8586"/>
    <n v="109.28"/>
    <n v="35.840000000000003"/>
    <n v="73.44"/>
    <n v="938278.08"/>
    <n v="307722.23999999999"/>
    <n v="630555.84"/>
  </r>
  <r>
    <s v="Europe"/>
    <x v="12"/>
    <x v="3"/>
    <s v="Offline"/>
    <x v="1"/>
    <d v="2013-03-15T00:00:00"/>
    <s v="586812674"/>
    <d v="2013-03-31T00:00:00"/>
    <n v="16"/>
    <n v="9766"/>
    <n v="651.21"/>
    <n v="524.96"/>
    <n v="126.25"/>
    <n v="6359716.8600000003"/>
    <n v="5126759.3600000003"/>
    <n v="1232957.5"/>
  </r>
  <r>
    <s v="Europe"/>
    <x v="34"/>
    <x v="4"/>
    <s v="Online"/>
    <x v="2"/>
    <d v="2016-04-11T00:00:00"/>
    <s v="311221492"/>
    <d v="2016-05-07T00:00:00"/>
    <n v="26"/>
    <n v="6210"/>
    <n v="9.33"/>
    <n v="6.92"/>
    <n v="2.41"/>
    <n v="57939.3"/>
    <n v="42973.2"/>
    <n v="14966.1"/>
  </r>
  <r>
    <s v="Europe"/>
    <x v="34"/>
    <x v="7"/>
    <s v="Online"/>
    <x v="1"/>
    <d v="2012-05-28T00:00:00"/>
    <s v="274989354"/>
    <d v="2012-07-10T00:00:00"/>
    <n v="43"/>
    <n v="4316"/>
    <n v="152.58000000000001"/>
    <n v="97.44"/>
    <n v="55.140000000000015"/>
    <n v="658535.28"/>
    <n v="420551.04"/>
    <n v="237984.24"/>
  </r>
  <r>
    <s v="Europe"/>
    <x v="22"/>
    <x v="3"/>
    <s v="Offline"/>
    <x v="2"/>
    <d v="2013-05-08T00:00:00"/>
    <s v="897785842"/>
    <d v="2013-05-12T00:00:00"/>
    <n v="4"/>
    <n v="3636"/>
    <n v="651.21"/>
    <n v="524.96"/>
    <n v="126.25"/>
    <n v="2367799.56"/>
    <n v="1908754.56"/>
    <n v="459045"/>
  </r>
  <r>
    <s v="Europe"/>
    <x v="46"/>
    <x v="6"/>
    <s v="Online"/>
    <x v="3"/>
    <d v="2017-05-22T00:00:00"/>
    <s v="929812705"/>
    <d v="2017-05-25T00:00:00"/>
    <n v="3"/>
    <n v="1097"/>
    <n v="421.89"/>
    <n v="364.69"/>
    <n v="57.199999999999989"/>
    <n v="462813.33"/>
    <n v="400064.93"/>
    <n v="62748.4"/>
  </r>
  <r>
    <s v="Europe"/>
    <x v="13"/>
    <x v="10"/>
    <s v="Online"/>
    <x v="3"/>
    <d v="2012-01-29T00:00:00"/>
    <s v="202047002"/>
    <d v="2012-03-06T00:00:00"/>
    <n v="37"/>
    <n v="9053"/>
    <n v="437.2"/>
    <n v="263.33"/>
    <n v="173.87"/>
    <n v="3957971.6"/>
    <n v="2383926.4900000002"/>
    <n v="1574045.11"/>
  </r>
  <r>
    <s v="Europe"/>
    <x v="27"/>
    <x v="4"/>
    <s v="Online"/>
    <x v="2"/>
    <d v="2011-08-27T00:00:00"/>
    <s v="919922006"/>
    <d v="2011-09-18T00:00:00"/>
    <n v="22"/>
    <n v="4219"/>
    <n v="9.33"/>
    <n v="6.92"/>
    <n v="2.41"/>
    <n v="39363.269999999997"/>
    <n v="29195.48"/>
    <n v="10167.790000000001"/>
  </r>
  <r>
    <s v="Europe"/>
    <x v="31"/>
    <x v="0"/>
    <s v="Offline"/>
    <x v="3"/>
    <d v="2013-06-17T00:00:00"/>
    <s v="243226420"/>
    <d v="2013-07-03T00:00:00"/>
    <n v="16"/>
    <n v="4958"/>
    <n v="47.45"/>
    <n v="31.79"/>
    <n v="15.660000000000004"/>
    <n v="235257.1"/>
    <n v="157614.82"/>
    <n v="77642.28"/>
  </r>
  <r>
    <s v="Europe"/>
    <x v="19"/>
    <x v="1"/>
    <s v="Online"/>
    <x v="1"/>
    <d v="2016-11-13T00:00:00"/>
    <s v="249765861"/>
    <d v="2016-11-24T00:00:00"/>
    <n v="11"/>
    <n v="123"/>
    <n v="109.28"/>
    <n v="35.840000000000003"/>
    <n v="73.44"/>
    <n v="13441.44"/>
    <n v="4408.32"/>
    <n v="9033.1200000000008"/>
  </r>
  <r>
    <s v="Europe"/>
    <x v="46"/>
    <x v="0"/>
    <s v="Online"/>
    <x v="3"/>
    <d v="2016-05-31T00:00:00"/>
    <s v="253055322"/>
    <d v="2016-06-12T00:00:00"/>
    <n v="12"/>
    <n v="3548"/>
    <n v="47.45"/>
    <n v="31.79"/>
    <n v="15.660000000000004"/>
    <n v="168352.6"/>
    <n v="112790.92"/>
    <n v="55561.68"/>
  </r>
  <r>
    <s v="Europe"/>
    <x v="5"/>
    <x v="0"/>
    <s v="Offline"/>
    <x v="0"/>
    <d v="2016-08-06T00:00:00"/>
    <s v="243340575"/>
    <d v="2016-09-04T00:00:00"/>
    <n v="29"/>
    <n v="8739"/>
    <n v="47.45"/>
    <n v="31.79"/>
    <n v="15.660000000000004"/>
    <n v="414665.55"/>
    <n v="277812.81"/>
    <n v="136852.74"/>
  </r>
  <r>
    <s v="Europe"/>
    <x v="0"/>
    <x v="9"/>
    <s v="Offline"/>
    <x v="3"/>
    <d v="2014-11-06T00:00:00"/>
    <s v="988599860"/>
    <d v="2014-12-11T00:00:00"/>
    <n v="35"/>
    <n v="7522"/>
    <n v="668.27"/>
    <n v="502.54"/>
    <n v="165.72999999999996"/>
    <n v="5026726.9400000004"/>
    <n v="3780105.88"/>
    <n v="1246621.06"/>
  </r>
  <r>
    <s v="Europe"/>
    <x v="22"/>
    <x v="7"/>
    <s v="Online"/>
    <x v="1"/>
    <d v="2011-04-18T00:00:00"/>
    <s v="581193768"/>
    <d v="2011-04-24T00:00:00"/>
    <n v="6"/>
    <n v="7006"/>
    <n v="152.58000000000001"/>
    <n v="97.44"/>
    <n v="55.140000000000015"/>
    <n v="1068975.48"/>
    <n v="682664.64"/>
    <n v="386310.84"/>
  </r>
  <r>
    <s v="Europe"/>
    <x v="15"/>
    <x v="2"/>
    <s v="Offline"/>
    <x v="0"/>
    <d v="2016-08-11T00:00:00"/>
    <s v="100983083"/>
    <d v="2016-08-11T00:00:00"/>
    <n v="0"/>
    <n v="1993"/>
    <n v="205.7"/>
    <n v="117.11"/>
    <n v="88.589999999999989"/>
    <n v="409960.1"/>
    <n v="233400.23"/>
    <n v="176559.87"/>
  </r>
  <r>
    <s v="Europe"/>
    <x v="14"/>
    <x v="11"/>
    <s v="Offline"/>
    <x v="2"/>
    <d v="2012-09-13T00:00:00"/>
    <s v="936411798"/>
    <d v="2012-09-17T00:00:00"/>
    <n v="4"/>
    <n v="3915"/>
    <n v="81.73"/>
    <n v="56.67"/>
    <n v="25.060000000000002"/>
    <n v="319972.95"/>
    <n v="221863.05"/>
    <n v="98109.9"/>
  </r>
  <r>
    <s v="Europe"/>
    <x v="1"/>
    <x v="9"/>
    <s v="Offline"/>
    <x v="1"/>
    <d v="2015-06-22T00:00:00"/>
    <s v="261640536"/>
    <d v="2015-08-01T00:00:00"/>
    <n v="40"/>
    <n v="4104"/>
    <n v="668.27"/>
    <n v="502.54"/>
    <n v="165.72999999999996"/>
    <n v="2742580.08"/>
    <n v="2062424.16"/>
    <n v="680155.92"/>
  </r>
  <r>
    <s v="Europe"/>
    <x v="8"/>
    <x v="8"/>
    <s v="Offline"/>
    <x v="2"/>
    <d v="2017-04-21T00:00:00"/>
    <s v="564173543"/>
    <d v="2017-04-26T00:00:00"/>
    <n v="5"/>
    <n v="343"/>
    <n v="255.28"/>
    <n v="159.41999999999999"/>
    <n v="95.860000000000014"/>
    <n v="87561.04"/>
    <n v="54681.06"/>
    <n v="32879.980000000003"/>
  </r>
  <r>
    <s v="Europe"/>
    <x v="13"/>
    <x v="2"/>
    <s v="Offline"/>
    <x v="0"/>
    <d v="2011-10-10T00:00:00"/>
    <s v="580463349"/>
    <d v="2011-11-08T00:00:00"/>
    <n v="29"/>
    <n v="859"/>
    <n v="205.7"/>
    <n v="117.11"/>
    <n v="88.589999999999989"/>
    <n v="176696.3"/>
    <n v="100597.49"/>
    <n v="76098.81"/>
  </r>
  <r>
    <s v="Europe"/>
    <x v="32"/>
    <x v="3"/>
    <s v="Offline"/>
    <x v="1"/>
    <d v="2013-11-04T00:00:00"/>
    <s v="428419864"/>
    <d v="2013-12-05T00:00:00"/>
    <n v="31"/>
    <n v="7813"/>
    <n v="651.21"/>
    <n v="524.96"/>
    <n v="126.25"/>
    <n v="5087903.7300000004"/>
    <n v="4101512.48"/>
    <n v="986391.25"/>
  </r>
  <r>
    <s v="Europe"/>
    <x v="16"/>
    <x v="8"/>
    <s v="Offline"/>
    <x v="0"/>
    <d v="2010-01-11T00:00:00"/>
    <s v="479171121"/>
    <d v="2010-01-27T00:00:00"/>
    <n v="16"/>
    <n v="6238"/>
    <n v="255.28"/>
    <n v="159.41999999999999"/>
    <n v="95.860000000000014"/>
    <n v="1592436.64"/>
    <n v="994461.96"/>
    <n v="597974.68000000005"/>
  </r>
  <r>
    <s v="Europe"/>
    <x v="29"/>
    <x v="11"/>
    <s v="Online"/>
    <x v="3"/>
    <d v="2015-05-13T00:00:00"/>
    <s v="120419871"/>
    <d v="2015-06-26T00:00:00"/>
    <n v="44"/>
    <n v="3771"/>
    <n v="81.73"/>
    <n v="56.67"/>
    <n v="25.060000000000002"/>
    <n v="308203.83"/>
    <n v="213702.57"/>
    <n v="94501.26"/>
  </r>
  <r>
    <s v="Europe"/>
    <x v="37"/>
    <x v="1"/>
    <s v="Offline"/>
    <x v="1"/>
    <d v="2012-09-11T00:00:00"/>
    <s v="602301251"/>
    <d v="2012-09-27T00:00:00"/>
    <n v="16"/>
    <n v="3180"/>
    <n v="109.28"/>
    <n v="35.840000000000003"/>
    <n v="73.44"/>
    <n v="347510.4"/>
    <n v="113971.2"/>
    <n v="233539.20000000001"/>
  </r>
  <r>
    <s v="Europe"/>
    <x v="26"/>
    <x v="8"/>
    <s v="Online"/>
    <x v="1"/>
    <d v="2012-12-09T00:00:00"/>
    <s v="471484124"/>
    <d v="2013-01-24T00:00:00"/>
    <n v="46"/>
    <n v="1485"/>
    <n v="255.28"/>
    <n v="159.41999999999999"/>
    <n v="95.860000000000014"/>
    <n v="379090.8"/>
    <n v="236738.7"/>
    <n v="142352.1"/>
  </r>
  <r>
    <s v="Europe"/>
    <x v="28"/>
    <x v="7"/>
    <s v="Offline"/>
    <x v="1"/>
    <d v="2017-02-01T00:00:00"/>
    <s v="291611325"/>
    <d v="2017-02-10T00:00:00"/>
    <n v="9"/>
    <n v="3126"/>
    <n v="152.58000000000001"/>
    <n v="97.44"/>
    <n v="55.140000000000015"/>
    <n v="476965.08"/>
    <n v="304597.44"/>
    <n v="172367.64"/>
  </r>
  <r>
    <s v="Europe"/>
    <x v="20"/>
    <x v="5"/>
    <s v="Offline"/>
    <x v="1"/>
    <d v="2013-02-10T00:00:00"/>
    <s v="691383635"/>
    <d v="2013-03-19T00:00:00"/>
    <n v="37"/>
    <n v="4637"/>
    <n v="154.06"/>
    <n v="90.93"/>
    <n v="63.129999999999995"/>
    <n v="714376.22"/>
    <n v="421642.41"/>
    <n v="292733.81"/>
  </r>
  <r>
    <s v="Europe"/>
    <x v="27"/>
    <x v="7"/>
    <s v="Online"/>
    <x v="3"/>
    <d v="2013-02-05T00:00:00"/>
    <s v="783913838"/>
    <d v="2013-03-09T00:00:00"/>
    <n v="32"/>
    <n v="6380"/>
    <n v="152.58000000000001"/>
    <n v="97.44"/>
    <n v="55.140000000000015"/>
    <n v="973460.4"/>
    <n v="621667.19999999995"/>
    <n v="351793.2"/>
  </r>
  <r>
    <s v="Europe"/>
    <x v="35"/>
    <x v="1"/>
    <s v="Online"/>
    <x v="0"/>
    <d v="2013-03-14T00:00:00"/>
    <s v="799109733"/>
    <d v="2013-04-29T00:00:00"/>
    <n v="46"/>
    <n v="3183"/>
    <n v="109.28"/>
    <n v="35.840000000000003"/>
    <n v="73.44"/>
    <n v="347838.24"/>
    <n v="114078.72"/>
    <n v="233759.52"/>
  </r>
  <r>
    <s v="Europe"/>
    <x v="26"/>
    <x v="0"/>
    <s v="Online"/>
    <x v="2"/>
    <d v="2016-11-21T00:00:00"/>
    <s v="223199975"/>
    <d v="2017-01-04T00:00:00"/>
    <n v="44"/>
    <n v="8687"/>
    <n v="47.45"/>
    <n v="31.79"/>
    <n v="15.660000000000004"/>
    <n v="412198.15"/>
    <n v="276159.73"/>
    <n v="136038.42000000001"/>
  </r>
  <r>
    <s v="Europe"/>
    <x v="47"/>
    <x v="2"/>
    <s v="Offline"/>
    <x v="3"/>
    <d v="2016-11-30T00:00:00"/>
    <s v="391849982"/>
    <d v="2016-12-11T00:00:00"/>
    <n v="11"/>
    <n v="5972"/>
    <n v="205.7"/>
    <n v="117.11"/>
    <n v="88.589999999999989"/>
    <n v="1228440.3999999999"/>
    <n v="699380.92"/>
    <n v="529059.48"/>
  </r>
  <r>
    <s v="Europe"/>
    <x v="41"/>
    <x v="1"/>
    <s v="Online"/>
    <x v="3"/>
    <d v="2014-01-13T00:00:00"/>
    <s v="906508815"/>
    <d v="2014-01-23T00:00:00"/>
    <n v="10"/>
    <n v="4958"/>
    <n v="109.28"/>
    <n v="35.840000000000003"/>
    <n v="73.44"/>
    <n v="541810.24"/>
    <n v="177694.72"/>
    <n v="364115.52"/>
  </r>
  <r>
    <s v="Europe"/>
    <x v="36"/>
    <x v="2"/>
    <s v="Offline"/>
    <x v="1"/>
    <d v="2013-10-10T00:00:00"/>
    <s v="524844634"/>
    <d v="2013-10-13T00:00:00"/>
    <n v="3"/>
    <n v="2045"/>
    <n v="205.7"/>
    <n v="117.11"/>
    <n v="88.589999999999989"/>
    <n v="420656.5"/>
    <n v="239489.95"/>
    <n v="181166.55"/>
  </r>
  <r>
    <s v="Europe"/>
    <x v="40"/>
    <x v="4"/>
    <s v="Online"/>
    <x v="3"/>
    <d v="2014-10-21T00:00:00"/>
    <s v="640476596"/>
    <d v="2014-10-24T00:00:00"/>
    <n v="3"/>
    <n v="112"/>
    <n v="9.33"/>
    <n v="6.92"/>
    <n v="2.41"/>
    <n v="1044.96"/>
    <n v="775.04"/>
    <n v="269.92"/>
  </r>
  <r>
    <s v="Europe"/>
    <x v="13"/>
    <x v="6"/>
    <s v="Online"/>
    <x v="1"/>
    <d v="2012-08-20T00:00:00"/>
    <s v="733636796"/>
    <d v="2012-09-15T00:00:00"/>
    <n v="26"/>
    <n v="8286"/>
    <n v="421.89"/>
    <n v="364.69"/>
    <n v="57.199999999999989"/>
    <n v="3495780.54"/>
    <n v="3021821.34"/>
    <n v="473959.2"/>
  </r>
  <r>
    <s v="Europe"/>
    <x v="1"/>
    <x v="7"/>
    <s v="Online"/>
    <x v="2"/>
    <d v="2012-12-24T00:00:00"/>
    <s v="183778369"/>
    <d v="2013-01-07T00:00:00"/>
    <n v="14"/>
    <n v="2958"/>
    <n v="152.58000000000001"/>
    <n v="97.44"/>
    <n v="55.140000000000015"/>
    <n v="451331.64"/>
    <n v="288227.52"/>
    <n v="163104.12"/>
  </r>
  <r>
    <s v="Europe"/>
    <x v="6"/>
    <x v="7"/>
    <s v="Offline"/>
    <x v="1"/>
    <d v="2017-04-22T00:00:00"/>
    <s v="594991052"/>
    <d v="2017-06-06T00:00:00"/>
    <n v="45"/>
    <n v="9929"/>
    <n v="152.58000000000001"/>
    <n v="97.44"/>
    <n v="55.140000000000015"/>
    <n v="1514966.82"/>
    <n v="967481.76"/>
    <n v="547485.06000000006"/>
  </r>
  <r>
    <s v="Europe"/>
    <x v="30"/>
    <x v="3"/>
    <s v="Online"/>
    <x v="3"/>
    <d v="2015-07-13T00:00:00"/>
    <s v="246922719"/>
    <d v="2015-07-29T00:00:00"/>
    <n v="16"/>
    <n v="8775"/>
    <n v="651.21"/>
    <n v="524.96"/>
    <n v="126.25"/>
    <n v="5714367.75"/>
    <n v="4606524"/>
    <n v="1107843.75"/>
  </r>
  <r>
    <s v="Europe"/>
    <x v="42"/>
    <x v="7"/>
    <s v="Offline"/>
    <x v="2"/>
    <d v="2013-10-10T00:00:00"/>
    <s v="315066277"/>
    <d v="2013-11-28T00:00:00"/>
    <n v="49"/>
    <n v="3968"/>
    <n v="152.58000000000001"/>
    <n v="97.44"/>
    <n v="55.140000000000015"/>
    <n v="605437.43999999994"/>
    <n v="386641.91999999998"/>
    <n v="218795.51999999999"/>
  </r>
  <r>
    <s v="Europe"/>
    <x v="34"/>
    <x v="9"/>
    <s v="Offline"/>
    <x v="0"/>
    <d v="2010-10-09T00:00:00"/>
    <s v="766118133"/>
    <d v="2010-10-10T00:00:00"/>
    <n v="1"/>
    <n v="235"/>
    <n v="668.27"/>
    <n v="502.54"/>
    <n v="165.72999999999996"/>
    <n v="157043.45000000001"/>
    <n v="118096.9"/>
    <n v="38946.550000000003"/>
  </r>
  <r>
    <s v="Europe"/>
    <x v="12"/>
    <x v="1"/>
    <s v="Offline"/>
    <x v="2"/>
    <d v="2010-07-09T00:00:00"/>
    <s v="138820683"/>
    <d v="2010-07-09T00:00:00"/>
    <n v="0"/>
    <n v="8980"/>
    <n v="109.28"/>
    <n v="35.840000000000003"/>
    <n v="73.44"/>
    <n v="981334.4"/>
    <n v="321843.20000000001"/>
    <n v="659491.19999999995"/>
  </r>
  <r>
    <s v="Europe"/>
    <x v="6"/>
    <x v="2"/>
    <s v="Online"/>
    <x v="1"/>
    <d v="2012-12-18T00:00:00"/>
    <s v="733648812"/>
    <d v="2012-12-24T00:00:00"/>
    <n v="6"/>
    <n v="1842"/>
    <n v="205.7"/>
    <n v="117.11"/>
    <n v="88.589999999999989"/>
    <n v="378899.4"/>
    <n v="215716.62"/>
    <n v="163182.78"/>
  </r>
  <r>
    <s v="Europe"/>
    <x v="27"/>
    <x v="3"/>
    <s v="Online"/>
    <x v="0"/>
    <d v="2015-02-16T00:00:00"/>
    <s v="580782210"/>
    <d v="2015-02-20T00:00:00"/>
    <n v="4"/>
    <n v="5217"/>
    <n v="651.21"/>
    <n v="524.96"/>
    <n v="126.25"/>
    <n v="3397362.57"/>
    <n v="2738716.32"/>
    <n v="658646.25"/>
  </r>
  <r>
    <s v="Europe"/>
    <x v="28"/>
    <x v="8"/>
    <s v="Offline"/>
    <x v="0"/>
    <d v="2010-01-01T00:00:00"/>
    <s v="279703605"/>
    <d v="2010-01-10T00:00:00"/>
    <n v="9"/>
    <n v="9367"/>
    <n v="255.28"/>
    <n v="159.41999999999999"/>
    <n v="95.860000000000014"/>
    <n v="2391207.7599999998"/>
    <n v="1493287.14"/>
    <n v="897920.62"/>
  </r>
  <r>
    <s v="Europe"/>
    <x v="17"/>
    <x v="8"/>
    <s v="Offline"/>
    <x v="3"/>
    <d v="2016-02-20T00:00:00"/>
    <s v="645956456"/>
    <d v="2016-04-08T00:00:00"/>
    <n v="48"/>
    <n v="1725"/>
    <n v="255.28"/>
    <n v="159.41999999999999"/>
    <n v="95.860000000000014"/>
    <n v="440358"/>
    <n v="274999.5"/>
    <n v="165358.5"/>
  </r>
  <r>
    <s v="Europe"/>
    <x v="5"/>
    <x v="1"/>
    <s v="Offline"/>
    <x v="1"/>
    <d v="2011-11-19T00:00:00"/>
    <s v="526350104"/>
    <d v="2011-12-04T00:00:00"/>
    <n v="15"/>
    <n v="7547"/>
    <n v="109.28"/>
    <n v="35.840000000000003"/>
    <n v="73.44"/>
    <n v="824736.16"/>
    <n v="270484.47999999998"/>
    <n v="554251.68000000005"/>
  </r>
  <r>
    <s v="Europe"/>
    <x v="39"/>
    <x v="6"/>
    <s v="Online"/>
    <x v="2"/>
    <d v="2015-02-26T00:00:00"/>
    <s v="212903726"/>
    <d v="2015-02-26T00:00:00"/>
    <n v="0"/>
    <n v="1798"/>
    <n v="421.89"/>
    <n v="364.69"/>
    <n v="57.199999999999989"/>
    <n v="758558.22"/>
    <n v="655712.62"/>
    <n v="102845.6"/>
  </r>
  <r>
    <s v="Europe"/>
    <x v="8"/>
    <x v="5"/>
    <s v="Online"/>
    <x v="0"/>
    <d v="2017-06-21T00:00:00"/>
    <s v="680325210"/>
    <d v="2017-07-23T00:00:00"/>
    <n v="32"/>
    <n v="2203"/>
    <n v="154.06"/>
    <n v="90.93"/>
    <n v="63.129999999999995"/>
    <n v="339394.18"/>
    <n v="200318.79"/>
    <n v="139075.39000000001"/>
  </r>
  <r>
    <s v="Europe"/>
    <x v="20"/>
    <x v="0"/>
    <s v="Online"/>
    <x v="1"/>
    <d v="2011-02-03T00:00:00"/>
    <s v="263882005"/>
    <d v="2011-02-27T00:00:00"/>
    <n v="24"/>
    <n v="7404"/>
    <n v="47.45"/>
    <n v="31.79"/>
    <n v="15.660000000000004"/>
    <n v="351319.8"/>
    <n v="235373.16"/>
    <n v="115946.64"/>
  </r>
  <r>
    <s v="Europe"/>
    <x v="20"/>
    <x v="4"/>
    <s v="Offline"/>
    <x v="2"/>
    <d v="2016-05-28T00:00:00"/>
    <s v="295168149"/>
    <d v="2016-07-16T00:00:00"/>
    <n v="49"/>
    <n v="5669"/>
    <n v="9.33"/>
    <n v="6.92"/>
    <n v="2.41"/>
    <n v="52891.77"/>
    <n v="39229.480000000003"/>
    <n v="13662.29"/>
  </r>
  <r>
    <s v="Europe"/>
    <x v="36"/>
    <x v="6"/>
    <s v="Offline"/>
    <x v="0"/>
    <d v="2016-09-12T00:00:00"/>
    <s v="645111024"/>
    <d v="2016-09-26T00:00:00"/>
    <n v="14"/>
    <n v="1543"/>
    <n v="421.89"/>
    <n v="364.69"/>
    <n v="57.199999999999989"/>
    <n v="650976.27"/>
    <n v="562716.67000000004"/>
    <n v="88259.6"/>
  </r>
  <r>
    <s v="Europe"/>
    <x v="7"/>
    <x v="8"/>
    <s v="Offline"/>
    <x v="1"/>
    <d v="2014-08-11T00:00:00"/>
    <s v="850562655"/>
    <d v="2014-09-25T00:00:00"/>
    <n v="45"/>
    <n v="9246"/>
    <n v="255.28"/>
    <n v="159.41999999999999"/>
    <n v="95.860000000000014"/>
    <n v="2360318.88"/>
    <n v="1473997.32"/>
    <n v="886321.56"/>
  </r>
  <r>
    <s v="Europe"/>
    <x v="45"/>
    <x v="11"/>
    <s v="Offline"/>
    <x v="2"/>
    <d v="2014-01-05T00:00:00"/>
    <s v="702357947"/>
    <d v="2014-02-04T00:00:00"/>
    <n v="30"/>
    <n v="2179"/>
    <n v="81.73"/>
    <n v="56.67"/>
    <n v="25.060000000000002"/>
    <n v="178089.67"/>
    <n v="123483.93"/>
    <n v="54605.74"/>
  </r>
  <r>
    <s v="Europe"/>
    <x v="5"/>
    <x v="1"/>
    <s v="Online"/>
    <x v="2"/>
    <d v="2017-05-13T00:00:00"/>
    <s v="102230632"/>
    <d v="2017-06-13T00:00:00"/>
    <n v="31"/>
    <n v="1171"/>
    <n v="109.28"/>
    <n v="35.840000000000003"/>
    <n v="73.44"/>
    <n v="127966.88"/>
    <n v="41968.639999999999"/>
    <n v="85998.24"/>
  </r>
  <r>
    <s v="Europe"/>
    <x v="25"/>
    <x v="1"/>
    <s v="Online"/>
    <x v="2"/>
    <d v="2010-01-03T00:00:00"/>
    <s v="231450879"/>
    <d v="2010-02-22T00:00:00"/>
    <n v="50"/>
    <n v="313"/>
    <n v="109.28"/>
    <n v="35.840000000000003"/>
    <n v="73.44"/>
    <n v="34204.639999999999"/>
    <n v="11217.92"/>
    <n v="22986.720000000001"/>
  </r>
  <r>
    <s v="Europe"/>
    <x v="17"/>
    <x v="1"/>
    <s v="Online"/>
    <x v="1"/>
    <d v="2010-10-01T00:00:00"/>
    <s v="880176818"/>
    <d v="2010-10-15T00:00:00"/>
    <n v="14"/>
    <n v="2735"/>
    <n v="109.28"/>
    <n v="35.840000000000003"/>
    <n v="73.44"/>
    <n v="298880.8"/>
    <n v="98022.399999999994"/>
    <n v="200858.4"/>
  </r>
  <r>
    <s v="Europe"/>
    <x v="37"/>
    <x v="1"/>
    <s v="Online"/>
    <x v="3"/>
    <d v="2011-06-10T00:00:00"/>
    <s v="755318915"/>
    <d v="2011-06-25T00:00:00"/>
    <n v="15"/>
    <n v="4507"/>
    <n v="109.28"/>
    <n v="35.840000000000003"/>
    <n v="73.44"/>
    <n v="492524.96"/>
    <n v="161530.88"/>
    <n v="330994.08"/>
  </r>
  <r>
    <s v="Europe"/>
    <x v="39"/>
    <x v="0"/>
    <s v="Online"/>
    <x v="3"/>
    <d v="2012-11-25T00:00:00"/>
    <s v="378873240"/>
    <d v="2012-11-28T00:00:00"/>
    <n v="3"/>
    <n v="5866"/>
    <n v="47.45"/>
    <n v="31.79"/>
    <n v="15.660000000000004"/>
    <n v="278341.7"/>
    <n v="186480.14"/>
    <n v="91861.56"/>
  </r>
  <r>
    <s v="Europe"/>
    <x v="22"/>
    <x v="4"/>
    <s v="Online"/>
    <x v="2"/>
    <d v="2011-11-27T00:00:00"/>
    <s v="264856183"/>
    <d v="2011-12-23T00:00:00"/>
    <n v="26"/>
    <n v="5685"/>
    <n v="9.33"/>
    <n v="6.92"/>
    <n v="2.41"/>
    <n v="53041.05"/>
    <n v="39340.199999999997"/>
    <n v="13700.85"/>
  </r>
  <r>
    <s v="Europe"/>
    <x v="0"/>
    <x v="2"/>
    <s v="Online"/>
    <x v="0"/>
    <d v="2014-08-02T00:00:00"/>
    <s v="118659913"/>
    <d v="2014-08-17T00:00:00"/>
    <n v="15"/>
    <n v="2960"/>
    <n v="205.7"/>
    <n v="117.11"/>
    <n v="88.589999999999989"/>
    <n v="608872"/>
    <n v="346645.6"/>
    <n v="262226.40000000002"/>
  </r>
  <r>
    <s v="Europe"/>
    <x v="10"/>
    <x v="8"/>
    <s v="Online"/>
    <x v="2"/>
    <d v="2012-10-18T00:00:00"/>
    <s v="667324435"/>
    <d v="2012-10-31T00:00:00"/>
    <n v="13"/>
    <n v="4985"/>
    <n v="255.28"/>
    <n v="159.41999999999999"/>
    <n v="95.860000000000014"/>
    <n v="1272570.8"/>
    <n v="794708.7"/>
    <n v="477862.1"/>
  </r>
  <r>
    <s v="Europe"/>
    <x v="17"/>
    <x v="8"/>
    <s v="Online"/>
    <x v="0"/>
    <d v="2011-09-26T00:00:00"/>
    <s v="685233008"/>
    <d v="2011-10-17T00:00:00"/>
    <n v="21"/>
    <n v="4529"/>
    <n v="255.28"/>
    <n v="159.41999999999999"/>
    <n v="95.860000000000014"/>
    <n v="1156163.1200000001"/>
    <n v="722013.18"/>
    <n v="434149.94"/>
  </r>
  <r>
    <s v="Europe"/>
    <x v="23"/>
    <x v="0"/>
    <s v="Online"/>
    <x v="3"/>
    <d v="2013-03-14T00:00:00"/>
    <s v="757468974"/>
    <d v="2013-03-23T00:00:00"/>
    <n v="9"/>
    <n v="757"/>
    <n v="47.45"/>
    <n v="31.79"/>
    <n v="15.660000000000004"/>
    <n v="35919.65"/>
    <n v="24065.03"/>
    <n v="11854.62"/>
  </r>
  <r>
    <s v="Europe"/>
    <x v="9"/>
    <x v="6"/>
    <s v="Online"/>
    <x v="3"/>
    <d v="2015-09-23T00:00:00"/>
    <s v="512714612"/>
    <d v="2015-10-09T00:00:00"/>
    <n v="16"/>
    <n v="2502"/>
    <n v="421.89"/>
    <n v="364.69"/>
    <n v="57.199999999999989"/>
    <n v="1055568.78"/>
    <n v="912454.38"/>
    <n v="143114.4"/>
  </r>
  <r>
    <s v="Europe"/>
    <x v="47"/>
    <x v="6"/>
    <s v="Offline"/>
    <x v="1"/>
    <d v="2010-02-11T00:00:00"/>
    <s v="516485583"/>
    <d v="2010-03-06T00:00:00"/>
    <n v="23"/>
    <n v="8416"/>
    <n v="421.89"/>
    <n v="364.69"/>
    <n v="57.199999999999989"/>
    <n v="3550626.24"/>
    <n v="3069231.04"/>
    <n v="481395.20000000001"/>
  </r>
  <r>
    <s v="Europe"/>
    <x v="27"/>
    <x v="5"/>
    <s v="Online"/>
    <x v="3"/>
    <d v="2014-11-07T00:00:00"/>
    <s v="491547477"/>
    <d v="2014-11-07T00:00:00"/>
    <n v="0"/>
    <n v="8676"/>
    <n v="154.06"/>
    <n v="90.93"/>
    <n v="63.129999999999995"/>
    <n v="1336624.56"/>
    <n v="788908.68"/>
    <n v="547715.88"/>
  </r>
  <r>
    <s v="Europe"/>
    <x v="3"/>
    <x v="4"/>
    <s v="Offline"/>
    <x v="0"/>
    <d v="2013-10-08T00:00:00"/>
    <s v="911891257"/>
    <d v="2013-11-01T00:00:00"/>
    <n v="24"/>
    <n v="7742"/>
    <n v="9.33"/>
    <n v="6.92"/>
    <n v="2.41"/>
    <n v="72232.86"/>
    <n v="53574.64"/>
    <n v="18658.22"/>
  </r>
  <r>
    <s v="Europe"/>
    <x v="12"/>
    <x v="7"/>
    <s v="Offline"/>
    <x v="2"/>
    <d v="2015-11-29T00:00:00"/>
    <s v="214033257"/>
    <d v="2015-12-03T00:00:00"/>
    <n v="4"/>
    <n v="6052"/>
    <n v="152.58000000000001"/>
    <n v="97.44"/>
    <n v="55.140000000000015"/>
    <n v="923414.16"/>
    <n v="589706.88"/>
    <n v="333707.28000000003"/>
  </r>
  <r>
    <s v="Europe"/>
    <x v="13"/>
    <x v="2"/>
    <s v="Online"/>
    <x v="3"/>
    <d v="2015-12-14T00:00:00"/>
    <s v="504024684"/>
    <d v="2016-01-14T00:00:00"/>
    <n v="31"/>
    <n v="959"/>
    <n v="205.7"/>
    <n v="117.11"/>
    <n v="88.589999999999989"/>
    <n v="197266.3"/>
    <n v="112308.49"/>
    <n v="84957.81"/>
  </r>
  <r>
    <s v="Europe"/>
    <x v="29"/>
    <x v="5"/>
    <s v="Online"/>
    <x v="2"/>
    <d v="2016-07-17T00:00:00"/>
    <s v="386601865"/>
    <d v="2016-07-26T00:00:00"/>
    <n v="9"/>
    <n v="2938"/>
    <n v="154.06"/>
    <n v="90.93"/>
    <n v="63.129999999999995"/>
    <n v="452628.28"/>
    <n v="267152.34000000003"/>
    <n v="185475.94"/>
  </r>
  <r>
    <s v="Europe"/>
    <x v="34"/>
    <x v="10"/>
    <s v="Offline"/>
    <x v="0"/>
    <d v="2010-01-16T00:00:00"/>
    <s v="336813628"/>
    <d v="2010-02-23T00:00:00"/>
    <n v="38"/>
    <n v="9492"/>
    <n v="437.2"/>
    <n v="263.33"/>
    <n v="173.87"/>
    <n v="4149902.4"/>
    <n v="2499528.36"/>
    <n v="1650374.04"/>
  </r>
  <r>
    <s v="Europe"/>
    <x v="9"/>
    <x v="4"/>
    <s v="Online"/>
    <x v="0"/>
    <d v="2015-07-24T00:00:00"/>
    <s v="309188163"/>
    <d v="2015-08-12T00:00:00"/>
    <n v="19"/>
    <n v="4503"/>
    <n v="9.33"/>
    <n v="6.92"/>
    <n v="2.41"/>
    <n v="42012.99"/>
    <n v="31160.76"/>
    <n v="10852.23"/>
  </r>
  <r>
    <s v="Europe"/>
    <x v="27"/>
    <x v="3"/>
    <s v="Offline"/>
    <x v="1"/>
    <d v="2012-08-01T00:00:00"/>
    <s v="760280358"/>
    <d v="2012-08-21T00:00:00"/>
    <n v="20"/>
    <n v="2708"/>
    <n v="651.21"/>
    <n v="524.96"/>
    <n v="126.25"/>
    <n v="1763476.68"/>
    <n v="1421591.68"/>
    <n v="341885"/>
  </r>
  <r>
    <s v="Europe"/>
    <x v="42"/>
    <x v="0"/>
    <s v="Offline"/>
    <x v="1"/>
    <d v="2015-09-15T00:00:00"/>
    <s v="495593106"/>
    <d v="2015-10-08T00:00:00"/>
    <n v="23"/>
    <n v="5868"/>
    <n v="47.45"/>
    <n v="31.79"/>
    <n v="15.660000000000004"/>
    <n v="278436.59999999998"/>
    <n v="186543.72"/>
    <n v="91892.88"/>
  </r>
  <r>
    <s v="Europe"/>
    <x v="22"/>
    <x v="1"/>
    <s v="Offline"/>
    <x v="2"/>
    <d v="2013-01-09T00:00:00"/>
    <s v="209598815"/>
    <d v="2013-01-11T00:00:00"/>
    <n v="2"/>
    <n v="3802"/>
    <n v="109.28"/>
    <n v="35.840000000000003"/>
    <n v="73.44"/>
    <n v="415482.56"/>
    <n v="136263.67999999999"/>
    <n v="279218.88"/>
  </r>
  <r>
    <s v="Europe"/>
    <x v="47"/>
    <x v="6"/>
    <s v="Online"/>
    <x v="3"/>
    <d v="2012-08-23T00:00:00"/>
    <s v="483438193"/>
    <d v="2012-09-26T00:00:00"/>
    <n v="34"/>
    <n v="8959"/>
    <n v="421.89"/>
    <n v="364.69"/>
    <n v="57.199999999999989"/>
    <n v="3779712.51"/>
    <n v="3267257.71"/>
    <n v="512454.8"/>
  </r>
  <r>
    <s v="Europe"/>
    <x v="7"/>
    <x v="5"/>
    <s v="Online"/>
    <x v="2"/>
    <d v="2016-10-15T00:00:00"/>
    <s v="819037473"/>
    <d v="2016-10-15T00:00:00"/>
    <n v="0"/>
    <n v="244"/>
    <n v="154.06"/>
    <n v="90.93"/>
    <n v="63.129999999999995"/>
    <n v="37590.639999999999"/>
    <n v="22186.92"/>
    <n v="15403.72"/>
  </r>
  <r>
    <s v="Europe"/>
    <x v="18"/>
    <x v="4"/>
    <s v="Offline"/>
    <x v="3"/>
    <d v="2011-04-26T00:00:00"/>
    <s v="974420630"/>
    <d v="2011-06-15T00:00:00"/>
    <n v="50"/>
    <n v="1573"/>
    <n v="9.33"/>
    <n v="6.92"/>
    <n v="2.41"/>
    <n v="14676.09"/>
    <n v="10885.16"/>
    <n v="3790.93"/>
  </r>
  <r>
    <s v="Europe"/>
    <x v="12"/>
    <x v="0"/>
    <s v="Offline"/>
    <x v="2"/>
    <d v="2012-08-07T00:00:00"/>
    <s v="534641349"/>
    <d v="2012-08-27T00:00:00"/>
    <n v="20"/>
    <n v="1111"/>
    <n v="47.45"/>
    <n v="31.79"/>
    <n v="15.660000000000004"/>
    <n v="52716.95"/>
    <n v="35318.69"/>
    <n v="17398.259999999998"/>
  </r>
  <r>
    <s v="Europe"/>
    <x v="9"/>
    <x v="7"/>
    <s v="Online"/>
    <x v="2"/>
    <d v="2013-08-05T00:00:00"/>
    <s v="921133935"/>
    <d v="2013-08-11T00:00:00"/>
    <n v="6"/>
    <n v="2856"/>
    <n v="152.58000000000001"/>
    <n v="97.44"/>
    <n v="55.140000000000015"/>
    <n v="435768.48"/>
    <n v="278288.64000000001"/>
    <n v="157479.84"/>
  </r>
  <r>
    <s v="Europe"/>
    <x v="10"/>
    <x v="6"/>
    <s v="Offline"/>
    <x v="2"/>
    <d v="2012-03-23T00:00:00"/>
    <s v="456934964"/>
    <d v="2012-05-05T00:00:00"/>
    <n v="43"/>
    <n v="6065"/>
    <n v="421.89"/>
    <n v="364.69"/>
    <n v="57.199999999999989"/>
    <n v="2558762.85"/>
    <n v="2211844.85"/>
    <n v="346918"/>
  </r>
  <r>
    <s v="Europe"/>
    <x v="3"/>
    <x v="4"/>
    <s v="Online"/>
    <x v="2"/>
    <d v="2010-08-31T00:00:00"/>
    <s v="468803632"/>
    <d v="2010-10-02T00:00:00"/>
    <n v="32"/>
    <n v="8267"/>
    <n v="9.33"/>
    <n v="6.92"/>
    <n v="2.41"/>
    <n v="77131.11"/>
    <n v="57207.64"/>
    <n v="19923.47"/>
  </r>
  <r>
    <s v="Europe"/>
    <x v="8"/>
    <x v="8"/>
    <s v="Online"/>
    <x v="1"/>
    <d v="2010-10-13T00:00:00"/>
    <s v="646981704"/>
    <d v="2010-11-23T00:00:00"/>
    <n v="41"/>
    <n v="5118"/>
    <n v="255.28"/>
    <n v="159.41999999999999"/>
    <n v="95.860000000000014"/>
    <n v="1306523.04"/>
    <n v="815911.56"/>
    <n v="490611.48"/>
  </r>
  <r>
    <s v="Europe"/>
    <x v="8"/>
    <x v="5"/>
    <s v="Online"/>
    <x v="2"/>
    <d v="2015-08-22T00:00:00"/>
    <s v="972452533"/>
    <d v="2015-10-04T00:00:00"/>
    <n v="43"/>
    <n v="9169"/>
    <n v="154.06"/>
    <n v="90.93"/>
    <n v="63.129999999999995"/>
    <n v="1412576.14"/>
    <n v="833737.17"/>
    <n v="578838.97"/>
  </r>
  <r>
    <s v="Europe"/>
    <x v="2"/>
    <x v="11"/>
    <s v="Offline"/>
    <x v="1"/>
    <d v="2010-05-10T00:00:00"/>
    <s v="535740411"/>
    <d v="2010-06-07T00:00:00"/>
    <n v="28"/>
    <n v="6348"/>
    <n v="81.73"/>
    <n v="56.67"/>
    <n v="25.060000000000002"/>
    <n v="518822.04"/>
    <n v="359741.16"/>
    <n v="159080.88"/>
  </r>
  <r>
    <s v="Europe"/>
    <x v="45"/>
    <x v="11"/>
    <s v="Offline"/>
    <x v="3"/>
    <d v="2017-02-26T00:00:00"/>
    <s v="309285581"/>
    <d v="2017-04-17T00:00:00"/>
    <n v="50"/>
    <n v="3331"/>
    <n v="81.73"/>
    <n v="56.67"/>
    <n v="25.060000000000002"/>
    <n v="272242.63"/>
    <n v="188767.77"/>
    <n v="83474.86"/>
  </r>
  <r>
    <s v="Europe"/>
    <x v="39"/>
    <x v="8"/>
    <s v="Offline"/>
    <x v="0"/>
    <d v="2013-03-07T00:00:00"/>
    <s v="380733191"/>
    <d v="2013-04-13T00:00:00"/>
    <n v="37"/>
    <n v="6267"/>
    <n v="255.28"/>
    <n v="159.41999999999999"/>
    <n v="95.860000000000014"/>
    <n v="1599839.76"/>
    <n v="999085.14"/>
    <n v="600754.62"/>
  </r>
  <r>
    <s v="Europe"/>
    <x v="27"/>
    <x v="4"/>
    <s v="Online"/>
    <x v="2"/>
    <d v="2012-06-11T00:00:00"/>
    <s v="989102828"/>
    <d v="2012-07-08T00:00:00"/>
    <n v="27"/>
    <n v="6362"/>
    <n v="9.33"/>
    <n v="6.92"/>
    <n v="2.41"/>
    <n v="59357.46"/>
    <n v="44025.04"/>
    <n v="15332.42"/>
  </r>
  <r>
    <s v="Europe"/>
    <x v="14"/>
    <x v="0"/>
    <s v="Online"/>
    <x v="1"/>
    <d v="2012-05-02T00:00:00"/>
    <s v="862326610"/>
    <d v="2012-05-28T00:00:00"/>
    <n v="26"/>
    <n v="461"/>
    <n v="47.45"/>
    <n v="31.79"/>
    <n v="15.660000000000004"/>
    <n v="21874.45"/>
    <n v="14655.19"/>
    <n v="7219.26"/>
  </r>
  <r>
    <s v="Europe"/>
    <x v="34"/>
    <x v="6"/>
    <s v="Online"/>
    <x v="3"/>
    <d v="2013-01-04T00:00:00"/>
    <s v="152411115"/>
    <d v="2013-02-21T00:00:00"/>
    <n v="48"/>
    <n v="691"/>
    <n v="421.89"/>
    <n v="364.69"/>
    <n v="57.199999999999989"/>
    <n v="291525.99"/>
    <n v="252000.79"/>
    <n v="39525.199999999997"/>
  </r>
  <r>
    <s v="Europe"/>
    <x v="13"/>
    <x v="3"/>
    <s v="Offline"/>
    <x v="0"/>
    <d v="2016-09-16T00:00:00"/>
    <s v="862485826"/>
    <d v="2016-10-27T00:00:00"/>
    <n v="41"/>
    <n v="7577"/>
    <n v="651.21"/>
    <n v="524.96"/>
    <n v="126.25"/>
    <n v="4934218.17"/>
    <n v="3977621.92"/>
    <n v="956596.25"/>
  </r>
  <r>
    <s v="Europe"/>
    <x v="43"/>
    <x v="4"/>
    <s v="Offline"/>
    <x v="1"/>
    <d v="2016-07-25T00:00:00"/>
    <s v="299739491"/>
    <d v="2016-09-01T00:00:00"/>
    <n v="38"/>
    <n v="8431"/>
    <n v="9.33"/>
    <n v="6.92"/>
    <n v="2.41"/>
    <n v="78661.23"/>
    <n v="58342.52"/>
    <n v="20318.71"/>
  </r>
  <r>
    <s v="Europe"/>
    <x v="32"/>
    <x v="6"/>
    <s v="Offline"/>
    <x v="2"/>
    <d v="2011-07-17T00:00:00"/>
    <s v="633312737"/>
    <d v="2011-08-11T00:00:00"/>
    <n v="25"/>
    <n v="167"/>
    <n v="421.89"/>
    <n v="364.69"/>
    <n v="57.199999999999989"/>
    <n v="70455.63"/>
    <n v="60903.23"/>
    <n v="9552.4"/>
  </r>
  <r>
    <s v="Europe"/>
    <x v="24"/>
    <x v="3"/>
    <s v="Offline"/>
    <x v="0"/>
    <d v="2012-12-14T00:00:00"/>
    <s v="884192836"/>
    <d v="2013-01-15T00:00:00"/>
    <n v="32"/>
    <n v="1164"/>
    <n v="651.21"/>
    <n v="524.96"/>
    <n v="126.25"/>
    <n v="758008.44"/>
    <n v="611053.43999999994"/>
    <n v="146955"/>
  </r>
  <r>
    <s v="Europe"/>
    <x v="40"/>
    <x v="6"/>
    <s v="Online"/>
    <x v="1"/>
    <d v="2015-07-09T00:00:00"/>
    <s v="578356206"/>
    <d v="2015-07-15T00:00:00"/>
    <n v="6"/>
    <n v="7309"/>
    <n v="421.89"/>
    <n v="364.69"/>
    <n v="57.199999999999989"/>
    <n v="3083594.01"/>
    <n v="2665519.21"/>
    <n v="418074.8"/>
  </r>
  <r>
    <s v="Europe"/>
    <x v="6"/>
    <x v="11"/>
    <s v="Online"/>
    <x v="2"/>
    <d v="2011-05-17T00:00:00"/>
    <s v="194858253"/>
    <d v="2011-05-22T00:00:00"/>
    <n v="5"/>
    <n v="1742"/>
    <n v="81.73"/>
    <n v="56.67"/>
    <n v="25.060000000000002"/>
    <n v="142373.66"/>
    <n v="98719.14"/>
    <n v="43654.52"/>
  </r>
  <r>
    <s v="Europe"/>
    <x v="35"/>
    <x v="2"/>
    <s v="Offline"/>
    <x v="2"/>
    <d v="2010-11-28T00:00:00"/>
    <s v="988614022"/>
    <d v="2011-01-11T00:00:00"/>
    <n v="44"/>
    <n v="1713"/>
    <n v="205.7"/>
    <n v="117.11"/>
    <n v="88.589999999999989"/>
    <n v="352364.1"/>
    <n v="200609.43"/>
    <n v="151754.67000000001"/>
  </r>
  <r>
    <s v="Europe"/>
    <x v="12"/>
    <x v="2"/>
    <s v="Online"/>
    <x v="2"/>
    <d v="2014-01-10T00:00:00"/>
    <s v="279338395"/>
    <d v="2014-02-24T00:00:00"/>
    <n v="45"/>
    <n v="1293"/>
    <n v="205.7"/>
    <n v="117.11"/>
    <n v="88.589999999999989"/>
    <n v="265970.09999999998"/>
    <n v="151423.23000000001"/>
    <n v="114546.87"/>
  </r>
  <r>
    <s v="Europe"/>
    <x v="4"/>
    <x v="8"/>
    <s v="Offline"/>
    <x v="1"/>
    <d v="2014-01-02T00:00:00"/>
    <s v="123086202"/>
    <d v="2014-02-20T00:00:00"/>
    <n v="49"/>
    <n v="2797"/>
    <n v="255.28"/>
    <n v="159.41999999999999"/>
    <n v="95.860000000000014"/>
    <n v="714018.16"/>
    <n v="445897.74"/>
    <n v="268120.42"/>
  </r>
  <r>
    <s v="Europe"/>
    <x v="6"/>
    <x v="6"/>
    <s v="Online"/>
    <x v="1"/>
    <d v="2015-12-19T00:00:00"/>
    <s v="216278588"/>
    <d v="2015-12-19T00:00:00"/>
    <n v="0"/>
    <n v="495"/>
    <n v="421.89"/>
    <n v="364.69"/>
    <n v="57.199999999999989"/>
    <n v="208835.55"/>
    <n v="180521.55"/>
    <n v="28314"/>
  </r>
  <r>
    <s v="Europe"/>
    <x v="46"/>
    <x v="8"/>
    <s v="Offline"/>
    <x v="3"/>
    <d v="2015-06-23T00:00:00"/>
    <s v="693831098"/>
    <d v="2015-07-14T00:00:00"/>
    <n v="21"/>
    <n v="8895"/>
    <n v="255.28"/>
    <n v="159.41999999999999"/>
    <n v="95.860000000000014"/>
    <n v="2270715.6"/>
    <n v="1418040.9"/>
    <n v="852674.7"/>
  </r>
  <r>
    <s v="Europe"/>
    <x v="35"/>
    <x v="2"/>
    <s v="Online"/>
    <x v="0"/>
    <d v="2010-09-01T00:00:00"/>
    <s v="963219296"/>
    <d v="2010-09-18T00:00:00"/>
    <n v="17"/>
    <n v="6850"/>
    <n v="205.7"/>
    <n v="117.11"/>
    <n v="88.589999999999989"/>
    <n v="1409045"/>
    <n v="802203.5"/>
    <n v="606841.5"/>
  </r>
  <r>
    <s v="Europe"/>
    <x v="2"/>
    <x v="5"/>
    <s v="Offline"/>
    <x v="1"/>
    <d v="2016-11-12T00:00:00"/>
    <s v="468320834"/>
    <d v="2016-12-21T00:00:00"/>
    <n v="39"/>
    <n v="5397"/>
    <n v="154.06"/>
    <n v="90.93"/>
    <n v="63.129999999999995"/>
    <n v="831461.82"/>
    <n v="490749.21"/>
    <n v="340712.61"/>
  </r>
  <r>
    <s v="Europe"/>
    <x v="40"/>
    <x v="2"/>
    <s v="Online"/>
    <x v="1"/>
    <d v="2010-06-15T00:00:00"/>
    <s v="203955876"/>
    <d v="2010-07-18T00:00:00"/>
    <n v="33"/>
    <n v="3931"/>
    <n v="205.7"/>
    <n v="117.11"/>
    <n v="88.589999999999989"/>
    <n v="808606.7"/>
    <n v="460359.41"/>
    <n v="348247.29"/>
  </r>
  <r>
    <s v="Europe"/>
    <x v="31"/>
    <x v="7"/>
    <s v="Offline"/>
    <x v="3"/>
    <d v="2016-01-11T00:00:00"/>
    <s v="583451974"/>
    <d v="2016-02-05T00:00:00"/>
    <n v="25"/>
    <n v="5260"/>
    <n v="152.58000000000001"/>
    <n v="97.44"/>
    <n v="55.140000000000015"/>
    <n v="802570.8"/>
    <n v="512534.4"/>
    <n v="290036.40000000002"/>
  </r>
  <r>
    <s v="Europe"/>
    <x v="6"/>
    <x v="1"/>
    <s v="Online"/>
    <x v="1"/>
    <d v="2013-01-30T00:00:00"/>
    <s v="250848186"/>
    <d v="2013-03-07T00:00:00"/>
    <n v="36"/>
    <n v="407"/>
    <n v="109.28"/>
    <n v="35.840000000000003"/>
    <n v="73.44"/>
    <n v="44476.959999999999"/>
    <n v="14586.88"/>
    <n v="29890.080000000002"/>
  </r>
  <r>
    <s v="Europe"/>
    <x v="30"/>
    <x v="6"/>
    <s v="Online"/>
    <x v="0"/>
    <d v="2010-11-12T00:00:00"/>
    <s v="863138997"/>
    <d v="2010-12-21T00:00:00"/>
    <n v="39"/>
    <n v="865"/>
    <n v="421.89"/>
    <n v="364.69"/>
    <n v="57.199999999999989"/>
    <n v="364934.85"/>
    <n v="315456.84999999998"/>
    <n v="49478"/>
  </r>
  <r>
    <s v="Europe"/>
    <x v="15"/>
    <x v="9"/>
    <s v="Online"/>
    <x v="1"/>
    <d v="2013-09-23T00:00:00"/>
    <s v="266614854"/>
    <d v="2013-10-10T00:00:00"/>
    <n v="17"/>
    <n v="6115"/>
    <n v="668.27"/>
    <n v="502.54"/>
    <n v="165.72999999999996"/>
    <n v="4086471.05"/>
    <n v="3073032.1"/>
    <n v="1013438.95"/>
  </r>
  <r>
    <s v="Europe"/>
    <x v="39"/>
    <x v="9"/>
    <s v="Offline"/>
    <x v="2"/>
    <d v="2016-08-14T00:00:00"/>
    <s v="834065997"/>
    <d v="2016-09-14T00:00:00"/>
    <n v="31"/>
    <n v="7518"/>
    <n v="668.27"/>
    <n v="502.54"/>
    <n v="165.72999999999996"/>
    <n v="5024053.8600000003"/>
    <n v="3778095.72"/>
    <n v="1245958.1399999999"/>
  </r>
  <r>
    <s v="Europe"/>
    <x v="29"/>
    <x v="4"/>
    <s v="Offline"/>
    <x v="1"/>
    <d v="2010-04-14T00:00:00"/>
    <s v="879845082"/>
    <d v="2010-05-01T00:00:00"/>
    <n v="17"/>
    <n v="4567"/>
    <n v="9.33"/>
    <n v="6.92"/>
    <n v="2.41"/>
    <n v="42610.11"/>
    <n v="31603.64"/>
    <n v="11006.47"/>
  </r>
  <r>
    <s v="Europe"/>
    <x v="42"/>
    <x v="10"/>
    <s v="Offline"/>
    <x v="1"/>
    <d v="2011-11-27T00:00:00"/>
    <s v="146545875"/>
    <d v="2012-01-07T00:00:00"/>
    <n v="41"/>
    <n v="5036"/>
    <n v="437.2"/>
    <n v="263.33"/>
    <n v="173.87"/>
    <n v="2201739.2000000002"/>
    <n v="1326129.8799999999"/>
    <n v="875609.32"/>
  </r>
  <r>
    <s v="Europe"/>
    <x v="46"/>
    <x v="8"/>
    <s v="Offline"/>
    <x v="0"/>
    <d v="2014-08-30T00:00:00"/>
    <s v="414359509"/>
    <d v="2014-09-11T00:00:00"/>
    <n v="12"/>
    <n v="7042"/>
    <n v="255.28"/>
    <n v="159.41999999999999"/>
    <n v="95.860000000000014"/>
    <n v="1797681.76"/>
    <n v="1122635.6399999999"/>
    <n v="675046.12"/>
  </r>
  <r>
    <s v="Europe"/>
    <x v="21"/>
    <x v="8"/>
    <s v="Offline"/>
    <x v="2"/>
    <d v="2011-08-21T00:00:00"/>
    <s v="276850593"/>
    <d v="2011-09-03T00:00:00"/>
    <n v="13"/>
    <n v="5097"/>
    <n v="255.28"/>
    <n v="159.41999999999999"/>
    <n v="95.860000000000014"/>
    <n v="1301162.1599999999"/>
    <n v="812563.74"/>
    <n v="488598.42"/>
  </r>
  <r>
    <s v="Europe"/>
    <x v="39"/>
    <x v="2"/>
    <s v="Online"/>
    <x v="2"/>
    <d v="2011-04-05T00:00:00"/>
    <s v="556947886"/>
    <d v="2011-05-17T00:00:00"/>
    <n v="42"/>
    <n v="2111"/>
    <n v="205.7"/>
    <n v="117.11"/>
    <n v="88.589999999999989"/>
    <n v="434232.7"/>
    <n v="247219.21"/>
    <n v="187013.49"/>
  </r>
  <r>
    <s v="Europe"/>
    <x v="19"/>
    <x v="9"/>
    <s v="Online"/>
    <x v="0"/>
    <d v="2012-03-23T00:00:00"/>
    <s v="548403012"/>
    <d v="2012-04-04T00:00:00"/>
    <n v="12"/>
    <n v="3493"/>
    <n v="668.27"/>
    <n v="502.54"/>
    <n v="165.72999999999996"/>
    <n v="2334267.11"/>
    <n v="1755372.22"/>
    <n v="578894.89"/>
  </r>
  <r>
    <s v="Europe"/>
    <x v="19"/>
    <x v="5"/>
    <s v="Online"/>
    <x v="2"/>
    <d v="2010-09-07T00:00:00"/>
    <s v="652252137"/>
    <d v="2010-09-26T00:00:00"/>
    <n v="19"/>
    <n v="4757"/>
    <n v="154.06"/>
    <n v="90.93"/>
    <n v="63.129999999999995"/>
    <n v="732863.42"/>
    <n v="432554.01"/>
    <n v="300309.40999999997"/>
  </r>
  <r>
    <s v="Europe"/>
    <x v="21"/>
    <x v="10"/>
    <s v="Online"/>
    <x v="1"/>
    <d v="2014-03-29T00:00:00"/>
    <s v="284108436"/>
    <d v="2014-04-03T00:00:00"/>
    <n v="5"/>
    <n v="2854"/>
    <n v="437.2"/>
    <n v="263.33"/>
    <n v="173.87"/>
    <n v="1247768.8"/>
    <n v="751543.82"/>
    <n v="496224.98"/>
  </r>
  <r>
    <s v="Europe"/>
    <x v="24"/>
    <x v="5"/>
    <s v="Offline"/>
    <x v="3"/>
    <d v="2012-07-05T00:00:00"/>
    <s v="416682088"/>
    <d v="2012-08-14T00:00:00"/>
    <n v="40"/>
    <n v="4344"/>
    <n v="154.06"/>
    <n v="90.93"/>
    <n v="63.129999999999995"/>
    <n v="669236.64"/>
    <n v="394999.92"/>
    <n v="274236.71999999997"/>
  </r>
  <r>
    <s v="Europe"/>
    <x v="22"/>
    <x v="5"/>
    <s v="Offline"/>
    <x v="1"/>
    <d v="2010-12-08T00:00:00"/>
    <s v="579094779"/>
    <d v="2010-12-11T00:00:00"/>
    <n v="3"/>
    <n v="5869"/>
    <n v="154.06"/>
    <n v="90.93"/>
    <n v="63.129999999999995"/>
    <n v="904178.14"/>
    <n v="533668.17000000004"/>
    <n v="370509.97"/>
  </r>
  <r>
    <s v="Europe"/>
    <x v="0"/>
    <x v="4"/>
    <s v="Online"/>
    <x v="1"/>
    <d v="2012-11-01T00:00:00"/>
    <s v="192589318"/>
    <d v="2012-12-16T00:00:00"/>
    <n v="45"/>
    <n v="314"/>
    <n v="9.33"/>
    <n v="6.92"/>
    <n v="2.41"/>
    <n v="2929.62"/>
    <n v="2172.88"/>
    <n v="756.74"/>
  </r>
  <r>
    <s v="Europe"/>
    <x v="44"/>
    <x v="9"/>
    <s v="Offline"/>
    <x v="1"/>
    <d v="2015-02-12T00:00:00"/>
    <s v="785364806"/>
    <d v="2015-03-21T00:00:00"/>
    <n v="37"/>
    <n v="5754"/>
    <n v="668.27"/>
    <n v="502.54"/>
    <n v="165.72999999999996"/>
    <n v="3845225.58"/>
    <n v="2891615.16"/>
    <n v="953610.42"/>
  </r>
  <r>
    <s v="Europe"/>
    <x v="12"/>
    <x v="8"/>
    <s v="Offline"/>
    <x v="1"/>
    <d v="2011-12-24T00:00:00"/>
    <s v="450550019"/>
    <d v="2012-01-02T00:00:00"/>
    <n v="9"/>
    <n v="6618"/>
    <n v="255.28"/>
    <n v="159.41999999999999"/>
    <n v="95.860000000000014"/>
    <n v="1689443.04"/>
    <n v="1055041.56"/>
    <n v="634401.48"/>
  </r>
  <r>
    <s v="Europe"/>
    <x v="3"/>
    <x v="5"/>
    <s v="Offline"/>
    <x v="0"/>
    <d v="2010-01-26T00:00:00"/>
    <s v="817061221"/>
    <d v="2010-02-21T00:00:00"/>
    <n v="26"/>
    <n v="5427"/>
    <n v="154.06"/>
    <n v="90.93"/>
    <n v="63.129999999999995"/>
    <n v="836083.62"/>
    <n v="493477.11"/>
    <n v="342606.51"/>
  </r>
  <r>
    <s v="Europe"/>
    <x v="42"/>
    <x v="3"/>
    <s v="Online"/>
    <x v="3"/>
    <d v="2012-02-20T00:00:00"/>
    <s v="168319404"/>
    <d v="2012-03-10T00:00:00"/>
    <n v="19"/>
    <n v="8307"/>
    <n v="651.21"/>
    <n v="524.96"/>
    <n v="126.25"/>
    <n v="5409601.4699999997"/>
    <n v="4360842.72"/>
    <n v="1048758.75"/>
  </r>
  <r>
    <s v="Europe"/>
    <x v="41"/>
    <x v="1"/>
    <s v="Online"/>
    <x v="0"/>
    <d v="2016-06-09T00:00:00"/>
    <s v="781083571"/>
    <d v="2016-06-18T00:00:00"/>
    <n v="9"/>
    <n v="8841"/>
    <n v="109.28"/>
    <n v="35.840000000000003"/>
    <n v="73.44"/>
    <n v="966144.48"/>
    <n v="316861.44"/>
    <n v="649283.04"/>
  </r>
  <r>
    <s v="Europe"/>
    <x v="13"/>
    <x v="2"/>
    <s v="Offline"/>
    <x v="1"/>
    <d v="2011-03-21T00:00:00"/>
    <s v="401993882"/>
    <d v="2011-04-11T00:00:00"/>
    <n v="21"/>
    <n v="7778"/>
    <n v="205.7"/>
    <n v="117.11"/>
    <n v="88.589999999999989"/>
    <n v="1599934.6"/>
    <n v="910881.58"/>
    <n v="689053.02"/>
  </r>
  <r>
    <s v="Europe"/>
    <x v="32"/>
    <x v="3"/>
    <s v="Online"/>
    <x v="2"/>
    <d v="2012-01-19T00:00:00"/>
    <s v="391200673"/>
    <d v="2012-02-13T00:00:00"/>
    <n v="25"/>
    <n v="3827"/>
    <n v="651.21"/>
    <n v="524.96"/>
    <n v="126.25"/>
    <n v="2492180.67"/>
    <n v="2009021.92"/>
    <n v="483158.75"/>
  </r>
  <r>
    <s v="Europe"/>
    <x v="10"/>
    <x v="5"/>
    <s v="Offline"/>
    <x v="1"/>
    <d v="2013-09-30T00:00:00"/>
    <s v="408540618"/>
    <d v="2013-11-13T00:00:00"/>
    <n v="44"/>
    <n v="5102"/>
    <n v="154.06"/>
    <n v="90.93"/>
    <n v="63.129999999999995"/>
    <n v="786014.12"/>
    <n v="463924.86"/>
    <n v="322089.26"/>
  </r>
  <r>
    <s v="Europe"/>
    <x v="10"/>
    <x v="11"/>
    <s v="Online"/>
    <x v="2"/>
    <d v="2016-07-17T00:00:00"/>
    <s v="239048612"/>
    <d v="2016-07-26T00:00:00"/>
    <n v="9"/>
    <n v="8651"/>
    <n v="81.73"/>
    <n v="56.67"/>
    <n v="25.060000000000002"/>
    <n v="707046.23"/>
    <n v="490252.17"/>
    <n v="216794.06"/>
  </r>
  <r>
    <s v="Europe"/>
    <x v="43"/>
    <x v="10"/>
    <s v="Offline"/>
    <x v="0"/>
    <d v="2012-05-24T00:00:00"/>
    <s v="292424571"/>
    <d v="2012-06-05T00:00:00"/>
    <n v="12"/>
    <n v="3784"/>
    <n v="437.2"/>
    <n v="263.33"/>
    <n v="173.87"/>
    <n v="1654364.8"/>
    <n v="996440.72"/>
    <n v="657924.07999999996"/>
  </r>
  <r>
    <s v="Europe"/>
    <x v="1"/>
    <x v="0"/>
    <s v="Online"/>
    <x v="1"/>
    <d v="2015-08-28T00:00:00"/>
    <s v="231341445"/>
    <d v="2015-10-07T00:00:00"/>
    <n v="40"/>
    <n v="7929"/>
    <n v="47.45"/>
    <n v="31.79"/>
    <n v="15.660000000000004"/>
    <n v="376231.05"/>
    <n v="252062.91"/>
    <n v="124168.14"/>
  </r>
  <r>
    <s v="Europe"/>
    <x v="16"/>
    <x v="3"/>
    <s v="Online"/>
    <x v="1"/>
    <d v="2013-02-09T00:00:00"/>
    <s v="533597218"/>
    <d v="2013-02-24T00:00:00"/>
    <n v="15"/>
    <n v="2130"/>
    <n v="651.21"/>
    <n v="524.96"/>
    <n v="126.25"/>
    <n v="1387077.3"/>
    <n v="1118164.8"/>
    <n v="268912.5"/>
  </r>
  <r>
    <s v="Europe"/>
    <x v="46"/>
    <x v="6"/>
    <s v="Offline"/>
    <x v="0"/>
    <d v="2016-01-16T00:00:00"/>
    <s v="682162415"/>
    <d v="2016-02-26T00:00:00"/>
    <n v="41"/>
    <n v="5873"/>
    <n v="421.89"/>
    <n v="364.69"/>
    <n v="57.199999999999989"/>
    <n v="2477759.9700000002"/>
    <n v="2141824.37"/>
    <n v="335935.6"/>
  </r>
  <r>
    <s v="Europe"/>
    <x v="40"/>
    <x v="5"/>
    <s v="Offline"/>
    <x v="0"/>
    <d v="2015-02-13T00:00:00"/>
    <s v="706176555"/>
    <d v="2015-02-26T00:00:00"/>
    <n v="13"/>
    <n v="2190"/>
    <n v="154.06"/>
    <n v="90.93"/>
    <n v="63.129999999999995"/>
    <n v="337391.4"/>
    <n v="199136.7"/>
    <n v="138254.70000000001"/>
  </r>
  <r>
    <s v="Europe"/>
    <x v="6"/>
    <x v="3"/>
    <s v="Offline"/>
    <x v="3"/>
    <d v="2011-09-17T00:00:00"/>
    <s v="339786803"/>
    <d v="2011-10-25T00:00:00"/>
    <n v="38"/>
    <n v="9321"/>
    <n v="651.21"/>
    <n v="524.96"/>
    <n v="126.25"/>
    <n v="6069928.4100000001"/>
    <n v="4893152.16"/>
    <n v="1176776.25"/>
  </r>
  <r>
    <s v="Europe"/>
    <x v="21"/>
    <x v="11"/>
    <s v="Offline"/>
    <x v="0"/>
    <d v="2017-04-13T00:00:00"/>
    <s v="274694526"/>
    <d v="2017-05-11T00:00:00"/>
    <n v="28"/>
    <n v="7069"/>
    <n v="81.73"/>
    <n v="56.67"/>
    <n v="25.060000000000002"/>
    <n v="577749.37"/>
    <n v="400600.23"/>
    <n v="177149.14"/>
  </r>
  <r>
    <s v="Europe"/>
    <x v="32"/>
    <x v="1"/>
    <s v="Online"/>
    <x v="1"/>
    <d v="2014-04-15T00:00:00"/>
    <s v="633806264"/>
    <d v="2014-04-26T00:00:00"/>
    <n v="11"/>
    <n v="6213"/>
    <n v="109.28"/>
    <n v="35.840000000000003"/>
    <n v="73.44"/>
    <n v="678956.64"/>
    <n v="222673.92000000001"/>
    <n v="456282.72"/>
  </r>
  <r>
    <s v="Europe"/>
    <x v="33"/>
    <x v="11"/>
    <s v="Online"/>
    <x v="0"/>
    <d v="2013-12-08T00:00:00"/>
    <s v="955466639"/>
    <d v="2014-01-27T00:00:00"/>
    <n v="50"/>
    <n v="2666"/>
    <n v="81.73"/>
    <n v="56.67"/>
    <n v="25.060000000000002"/>
    <n v="217892.18"/>
    <n v="151082.22"/>
    <n v="66809.960000000006"/>
  </r>
  <r>
    <s v="Europe"/>
    <x v="24"/>
    <x v="3"/>
    <s v="Online"/>
    <x v="2"/>
    <d v="2012-01-30T00:00:00"/>
    <s v="330590474"/>
    <d v="2012-03-14T00:00:00"/>
    <n v="44"/>
    <n v="7923"/>
    <n v="651.21"/>
    <n v="524.96"/>
    <n v="126.25"/>
    <n v="5159536.83"/>
    <n v="4159258.08"/>
    <n v="1000278.75"/>
  </r>
  <r>
    <s v="Europe"/>
    <x v="21"/>
    <x v="10"/>
    <s v="Offline"/>
    <x v="0"/>
    <d v="2015-11-26T00:00:00"/>
    <s v="819516837"/>
    <d v="2015-12-25T00:00:00"/>
    <n v="29"/>
    <n v="2098"/>
    <n v="437.2"/>
    <n v="263.33"/>
    <n v="173.87"/>
    <n v="917245.6"/>
    <n v="552466.34"/>
    <n v="364779.26"/>
  </r>
  <r>
    <s v="Europe"/>
    <x v="27"/>
    <x v="7"/>
    <s v="Offline"/>
    <x v="0"/>
    <d v="2011-07-13T00:00:00"/>
    <s v="499101436"/>
    <d v="2011-08-28T00:00:00"/>
    <n v="46"/>
    <n v="4061"/>
    <n v="152.58000000000001"/>
    <n v="97.44"/>
    <n v="55.140000000000015"/>
    <n v="619627.38"/>
    <n v="395703.84"/>
    <n v="223923.54"/>
  </r>
  <r>
    <s v="Europe"/>
    <x v="39"/>
    <x v="1"/>
    <s v="Online"/>
    <x v="0"/>
    <d v="2017-06-20T00:00:00"/>
    <s v="190002810"/>
    <d v="2017-08-05T00:00:00"/>
    <n v="46"/>
    <n v="4909"/>
    <n v="109.28"/>
    <n v="35.840000000000003"/>
    <n v="73.44"/>
    <n v="536455.52"/>
    <n v="175938.56"/>
    <n v="360516.96"/>
  </r>
  <r>
    <s v="Europe"/>
    <x v="35"/>
    <x v="0"/>
    <s v="Offline"/>
    <x v="1"/>
    <d v="2015-12-17T00:00:00"/>
    <s v="653152501"/>
    <d v="2015-12-22T00:00:00"/>
    <n v="5"/>
    <n v="1194"/>
    <n v="47.45"/>
    <n v="31.79"/>
    <n v="15.660000000000004"/>
    <n v="56655.3"/>
    <n v="37957.26"/>
    <n v="18698.04"/>
  </r>
  <r>
    <s v="Europe"/>
    <x v="2"/>
    <x v="5"/>
    <s v="Offline"/>
    <x v="0"/>
    <d v="2014-05-09T00:00:00"/>
    <s v="489600837"/>
    <d v="2014-06-09T00:00:00"/>
    <n v="31"/>
    <n v="2622"/>
    <n v="154.06"/>
    <n v="90.93"/>
    <n v="63.129999999999995"/>
    <n v="403945.32"/>
    <n v="238418.46"/>
    <n v="165526.85999999999"/>
  </r>
  <r>
    <s v="Europe"/>
    <x v="5"/>
    <x v="8"/>
    <s v="Online"/>
    <x v="1"/>
    <d v="2016-01-05T00:00:00"/>
    <s v="750959146"/>
    <d v="2016-01-25T00:00:00"/>
    <n v="20"/>
    <n v="4354"/>
    <n v="255.28"/>
    <n v="159.41999999999999"/>
    <n v="95.860000000000014"/>
    <n v="1111489.1200000001"/>
    <n v="694114.68"/>
    <n v="417374.44"/>
  </r>
  <r>
    <s v="Europe"/>
    <x v="1"/>
    <x v="11"/>
    <s v="Offline"/>
    <x v="2"/>
    <d v="2010-01-12T00:00:00"/>
    <s v="356413495"/>
    <d v="2010-01-18T00:00:00"/>
    <n v="6"/>
    <n v="9528"/>
    <n v="81.73"/>
    <n v="56.67"/>
    <n v="25.060000000000002"/>
    <n v="778723.44"/>
    <n v="539951.76"/>
    <n v="238771.68"/>
  </r>
  <r>
    <s v="Europe"/>
    <x v="1"/>
    <x v="3"/>
    <s v="Offline"/>
    <x v="2"/>
    <d v="2015-11-30T00:00:00"/>
    <s v="288656175"/>
    <d v="2015-12-30T00:00:00"/>
    <n v="30"/>
    <n v="8632"/>
    <n v="651.21"/>
    <n v="524.96"/>
    <n v="126.25"/>
    <n v="5621244.7199999997"/>
    <n v="4531454.72"/>
    <n v="1089790"/>
  </r>
  <r>
    <s v="Europe"/>
    <x v="12"/>
    <x v="10"/>
    <s v="Offline"/>
    <x v="0"/>
    <d v="2015-07-28T00:00:00"/>
    <s v="659671771"/>
    <d v="2015-07-29T00:00:00"/>
    <n v="1"/>
    <n v="391"/>
    <n v="437.2"/>
    <n v="263.33"/>
    <n v="173.87"/>
    <n v="170945.2"/>
    <n v="102962.03"/>
    <n v="67983.17"/>
  </r>
  <r>
    <s v="Europe"/>
    <x v="11"/>
    <x v="1"/>
    <s v="Offline"/>
    <x v="3"/>
    <d v="2016-07-26T00:00:00"/>
    <s v="513611114"/>
    <d v="2016-09-05T00:00:00"/>
    <n v="41"/>
    <n v="7797"/>
    <n v="109.28"/>
    <n v="35.840000000000003"/>
    <n v="73.44"/>
    <n v="852056.16"/>
    <n v="279444.47999999998"/>
    <n v="572611.68000000005"/>
  </r>
  <r>
    <s v="Europe"/>
    <x v="12"/>
    <x v="0"/>
    <s v="Offline"/>
    <x v="1"/>
    <d v="2014-04-21T00:00:00"/>
    <s v="543322694"/>
    <d v="2014-06-01T00:00:00"/>
    <n v="41"/>
    <n v="114"/>
    <n v="47.45"/>
    <n v="31.79"/>
    <n v="15.660000000000004"/>
    <n v="5409.3"/>
    <n v="3624.06"/>
    <n v="1785.24"/>
  </r>
  <r>
    <s v="Europe"/>
    <x v="23"/>
    <x v="5"/>
    <s v="Offline"/>
    <x v="0"/>
    <d v="2012-11-06T00:00:00"/>
    <s v="671616399"/>
    <d v="2012-12-10T00:00:00"/>
    <n v="34"/>
    <n v="5072"/>
    <n v="154.06"/>
    <n v="90.93"/>
    <n v="63.129999999999995"/>
    <n v="781392.32"/>
    <n v="461196.96"/>
    <n v="320195.36"/>
  </r>
  <r>
    <s v="Europe"/>
    <x v="35"/>
    <x v="0"/>
    <s v="Offline"/>
    <x v="2"/>
    <d v="2015-04-30T00:00:00"/>
    <s v="212319648"/>
    <d v="2015-05-15T00:00:00"/>
    <n v="15"/>
    <n v="8957"/>
    <n v="47.45"/>
    <n v="31.79"/>
    <n v="15.660000000000004"/>
    <n v="425009.65"/>
    <n v="284743.03000000003"/>
    <n v="140266.62"/>
  </r>
  <r>
    <s v="Europe"/>
    <x v="23"/>
    <x v="9"/>
    <s v="Online"/>
    <x v="2"/>
    <d v="2014-04-30T00:00:00"/>
    <s v="971578347"/>
    <d v="2014-06-16T00:00:00"/>
    <n v="47"/>
    <n v="478"/>
    <n v="668.27"/>
    <n v="502.54"/>
    <n v="165.72999999999996"/>
    <n v="319433.06"/>
    <n v="240214.12"/>
    <n v="79218.94"/>
  </r>
  <r>
    <s v="Europe"/>
    <x v="37"/>
    <x v="4"/>
    <s v="Offline"/>
    <x v="2"/>
    <d v="2016-11-17T00:00:00"/>
    <s v="704233348"/>
    <d v="2016-11-26T00:00:00"/>
    <n v="9"/>
    <n v="7152"/>
    <n v="9.33"/>
    <n v="6.92"/>
    <n v="2.41"/>
    <n v="66728.160000000003"/>
    <n v="49491.839999999997"/>
    <n v="17236.32"/>
  </r>
  <r>
    <s v="Europe"/>
    <x v="3"/>
    <x v="7"/>
    <s v="Online"/>
    <x v="0"/>
    <d v="2010-05-31T00:00:00"/>
    <s v="768230426"/>
    <d v="2010-06-22T00:00:00"/>
    <n v="22"/>
    <n v="5310"/>
    <n v="152.58000000000001"/>
    <n v="97.44"/>
    <n v="55.140000000000015"/>
    <n v="810199.8"/>
    <n v="517406.4"/>
    <n v="292793.40000000002"/>
  </r>
  <r>
    <s v="Europe"/>
    <x v="6"/>
    <x v="4"/>
    <s v="Offline"/>
    <x v="1"/>
    <d v="2016-12-31T00:00:00"/>
    <s v="707661855"/>
    <d v="2017-01-26T00:00:00"/>
    <n v="26"/>
    <n v="1723"/>
    <n v="9.33"/>
    <n v="6.92"/>
    <n v="2.41"/>
    <n v="16075.59"/>
    <n v="11923.16"/>
    <n v="4152.43"/>
  </r>
  <r>
    <s v="Europe"/>
    <x v="28"/>
    <x v="4"/>
    <s v="Offline"/>
    <x v="1"/>
    <d v="2011-09-08T00:00:00"/>
    <s v="628595054"/>
    <d v="2011-10-21T00:00:00"/>
    <n v="43"/>
    <n v="4100"/>
    <n v="9.33"/>
    <n v="6.92"/>
    <n v="2.41"/>
    <n v="38253"/>
    <n v="28372"/>
    <n v="9881"/>
  </r>
  <r>
    <s v="Europe"/>
    <x v="36"/>
    <x v="0"/>
    <s v="Offline"/>
    <x v="3"/>
    <d v="2010-02-20T00:00:00"/>
    <s v="795141351"/>
    <d v="2010-02-24T00:00:00"/>
    <n v="4"/>
    <n v="8850"/>
    <n v="47.45"/>
    <n v="31.79"/>
    <n v="15.660000000000004"/>
    <n v="419932.5"/>
    <n v="281341.5"/>
    <n v="138591"/>
  </r>
  <r>
    <s v="Europe"/>
    <x v="9"/>
    <x v="6"/>
    <s v="Offline"/>
    <x v="1"/>
    <d v="2015-03-22T00:00:00"/>
    <s v="164259612"/>
    <d v="2015-04-29T00:00:00"/>
    <n v="38"/>
    <n v="6924"/>
    <n v="421.89"/>
    <n v="364.69"/>
    <n v="57.199999999999989"/>
    <n v="2921166.36"/>
    <n v="2525113.56"/>
    <n v="396052.8"/>
  </r>
  <r>
    <s v="Europe"/>
    <x v="24"/>
    <x v="7"/>
    <s v="Online"/>
    <x v="3"/>
    <d v="2016-11-15T00:00:00"/>
    <s v="750439441"/>
    <d v="2016-12-29T00:00:00"/>
    <n v="44"/>
    <n v="562"/>
    <n v="152.58000000000001"/>
    <n v="97.44"/>
    <n v="55.140000000000015"/>
    <n v="85749.96"/>
    <n v="54761.279999999999"/>
    <n v="30988.68"/>
  </r>
  <r>
    <s v="Europe"/>
    <x v="25"/>
    <x v="4"/>
    <s v="Offline"/>
    <x v="0"/>
    <d v="2014-11-29T00:00:00"/>
    <s v="362258565"/>
    <d v="2014-12-14T00:00:00"/>
    <n v="15"/>
    <n v="9214"/>
    <n v="9.33"/>
    <n v="6.92"/>
    <n v="2.41"/>
    <n v="85966.62"/>
    <n v="63760.88"/>
    <n v="22205.74"/>
  </r>
  <r>
    <s v="Europe"/>
    <x v="42"/>
    <x v="2"/>
    <s v="Online"/>
    <x v="3"/>
    <d v="2015-01-14T00:00:00"/>
    <s v="209357202"/>
    <d v="2015-01-22T00:00:00"/>
    <n v="8"/>
    <n v="2303"/>
    <n v="205.7"/>
    <n v="117.11"/>
    <n v="88.589999999999989"/>
    <n v="473727.1"/>
    <n v="269704.33"/>
    <n v="204022.77"/>
  </r>
  <r>
    <s v="Europe"/>
    <x v="16"/>
    <x v="10"/>
    <s v="Offline"/>
    <x v="2"/>
    <d v="2014-03-20T00:00:00"/>
    <s v="450041043"/>
    <d v="2014-04-16T00:00:00"/>
    <n v="27"/>
    <n v="6000"/>
    <n v="437.2"/>
    <n v="263.33"/>
    <n v="173.87"/>
    <n v="2623200"/>
    <n v="1579980"/>
    <n v="1043220"/>
  </r>
  <r>
    <s v="Europe"/>
    <x v="42"/>
    <x v="3"/>
    <s v="Online"/>
    <x v="3"/>
    <d v="2015-03-15T00:00:00"/>
    <s v="103450715"/>
    <d v="2015-04-18T00:00:00"/>
    <n v="34"/>
    <n v="2220"/>
    <n v="651.21"/>
    <n v="524.96"/>
    <n v="126.25"/>
    <n v="1445686.2"/>
    <n v="1165411.2"/>
    <n v="280275"/>
  </r>
  <r>
    <s v="Europe"/>
    <x v="6"/>
    <x v="4"/>
    <s v="Online"/>
    <x v="1"/>
    <d v="2016-09-25T00:00:00"/>
    <s v="384601581"/>
    <d v="2016-10-19T00:00:00"/>
    <n v="24"/>
    <n v="1009"/>
    <n v="9.33"/>
    <n v="6.92"/>
    <n v="2.41"/>
    <n v="9413.9699999999993"/>
    <n v="6982.28"/>
    <n v="2431.69"/>
  </r>
  <r>
    <s v="Europe"/>
    <x v="26"/>
    <x v="5"/>
    <s v="Online"/>
    <x v="2"/>
    <d v="2015-08-25T00:00:00"/>
    <s v="186079490"/>
    <d v="2015-08-29T00:00:00"/>
    <n v="4"/>
    <n v="3911"/>
    <n v="154.06"/>
    <n v="90.93"/>
    <n v="63.129999999999995"/>
    <n v="602528.66"/>
    <n v="355627.23"/>
    <n v="246901.43"/>
  </r>
  <r>
    <s v="Europe"/>
    <x v="3"/>
    <x v="3"/>
    <s v="Online"/>
    <x v="1"/>
    <d v="2012-05-22T00:00:00"/>
    <s v="513026177"/>
    <d v="2012-06-05T00:00:00"/>
    <n v="14"/>
    <n v="4701"/>
    <n v="651.21"/>
    <n v="524.96"/>
    <n v="126.25"/>
    <n v="3061338.21"/>
    <n v="2467836.96"/>
    <n v="593501.25"/>
  </r>
  <r>
    <s v="Europe"/>
    <x v="21"/>
    <x v="8"/>
    <s v="Offline"/>
    <x v="2"/>
    <d v="2010-03-16T00:00:00"/>
    <s v="222720611"/>
    <d v="2010-04-01T00:00:00"/>
    <n v="16"/>
    <n v="6833"/>
    <n v="255.28"/>
    <n v="159.41999999999999"/>
    <n v="95.860000000000014"/>
    <n v="1744328.24"/>
    <n v="1089316.8600000001"/>
    <n v="655011.38"/>
  </r>
  <r>
    <s v="Europe"/>
    <x v="1"/>
    <x v="9"/>
    <s v="Offline"/>
    <x v="1"/>
    <d v="2012-03-01T00:00:00"/>
    <s v="891681563"/>
    <d v="2012-03-27T00:00:00"/>
    <n v="26"/>
    <n v="7245"/>
    <n v="668.27"/>
    <n v="502.54"/>
    <n v="165.72999999999996"/>
    <n v="4841616.1500000004"/>
    <n v="3640902.3"/>
    <n v="1200713.8500000001"/>
  </r>
  <r>
    <s v="Europe"/>
    <x v="27"/>
    <x v="0"/>
    <s v="Offline"/>
    <x v="1"/>
    <d v="2012-06-08T00:00:00"/>
    <s v="129169023"/>
    <d v="2012-07-18T00:00:00"/>
    <n v="40"/>
    <n v="2839"/>
    <n v="47.45"/>
    <n v="31.79"/>
    <n v="15.660000000000004"/>
    <n v="134710.54999999999"/>
    <n v="90251.81"/>
    <n v="44458.74"/>
  </r>
  <r>
    <s v="Europe"/>
    <x v="32"/>
    <x v="2"/>
    <s v="Online"/>
    <x v="0"/>
    <d v="2012-09-19T00:00:00"/>
    <s v="764811360"/>
    <d v="2012-09-30T00:00:00"/>
    <n v="11"/>
    <n v="3532"/>
    <n v="205.7"/>
    <n v="117.11"/>
    <n v="88.589999999999989"/>
    <n v="726532.4"/>
    <n v="413632.52"/>
    <n v="312899.88"/>
  </r>
  <r>
    <s v="Europe"/>
    <x v="18"/>
    <x v="5"/>
    <s v="Offline"/>
    <x v="0"/>
    <d v="2013-10-17T00:00:00"/>
    <s v="801925837"/>
    <d v="2013-10-26T00:00:00"/>
    <n v="9"/>
    <n v="6531"/>
    <n v="154.06"/>
    <n v="90.93"/>
    <n v="63.129999999999995"/>
    <n v="1006165.86"/>
    <n v="593863.82999999996"/>
    <n v="412302.03"/>
  </r>
  <r>
    <s v="Europe"/>
    <x v="10"/>
    <x v="3"/>
    <s v="Offline"/>
    <x v="0"/>
    <d v="2013-11-05T00:00:00"/>
    <s v="881194770"/>
    <d v="2013-12-05T00:00:00"/>
    <n v="30"/>
    <n v="3969"/>
    <n v="651.21"/>
    <n v="524.96"/>
    <n v="126.25"/>
    <n v="2584652.4900000002"/>
    <n v="2083566.24"/>
    <n v="501086.25"/>
  </r>
  <r>
    <s v="Europe"/>
    <x v="2"/>
    <x v="5"/>
    <s v="Offline"/>
    <x v="0"/>
    <d v="2011-08-17T00:00:00"/>
    <s v="917835032"/>
    <d v="2011-10-06T00:00:00"/>
    <n v="50"/>
    <n v="6637"/>
    <n v="154.06"/>
    <n v="90.93"/>
    <n v="63.129999999999995"/>
    <n v="1022496.22"/>
    <n v="603502.41"/>
    <n v="418993.81"/>
  </r>
  <r>
    <s v="Europe"/>
    <x v="7"/>
    <x v="4"/>
    <s v="Online"/>
    <x v="3"/>
    <d v="2014-06-08T00:00:00"/>
    <s v="159232509"/>
    <d v="2014-07-14T00:00:00"/>
    <n v="36"/>
    <n v="9293"/>
    <n v="9.33"/>
    <n v="6.92"/>
    <n v="2.41"/>
    <n v="86703.69"/>
    <n v="64307.56"/>
    <n v="22396.13"/>
  </r>
  <r>
    <s v="Europe"/>
    <x v="15"/>
    <x v="5"/>
    <s v="Online"/>
    <x v="2"/>
    <d v="2013-10-31T00:00:00"/>
    <s v="917639768"/>
    <d v="2013-12-14T00:00:00"/>
    <n v="44"/>
    <n v="8854"/>
    <n v="154.06"/>
    <n v="90.93"/>
    <n v="63.129999999999995"/>
    <n v="1364047.24"/>
    <n v="805094.22"/>
    <n v="558953.02"/>
  </r>
  <r>
    <s v="Europe"/>
    <x v="29"/>
    <x v="4"/>
    <s v="Online"/>
    <x v="1"/>
    <d v="2011-03-09T00:00:00"/>
    <s v="965796363"/>
    <d v="2011-03-19T00:00:00"/>
    <n v="10"/>
    <n v="9461"/>
    <n v="9.33"/>
    <n v="6.92"/>
    <n v="2.41"/>
    <n v="88271.13"/>
    <n v="65470.12"/>
    <n v="22801.01"/>
  </r>
  <r>
    <s v="Europe"/>
    <x v="1"/>
    <x v="8"/>
    <s v="Online"/>
    <x v="2"/>
    <d v="2016-07-16T00:00:00"/>
    <s v="551118266"/>
    <d v="2016-08-15T00:00:00"/>
    <n v="30"/>
    <n v="6997"/>
    <n v="255.28"/>
    <n v="159.41999999999999"/>
    <n v="95.860000000000014"/>
    <n v="1786194.16"/>
    <n v="1115461.74"/>
    <n v="670732.42000000004"/>
  </r>
  <r>
    <s v="Europe"/>
    <x v="30"/>
    <x v="3"/>
    <s v="Online"/>
    <x v="1"/>
    <d v="2016-08-10T00:00:00"/>
    <s v="849454581"/>
    <d v="2016-09-06T00:00:00"/>
    <n v="27"/>
    <n v="1342"/>
    <n v="651.21"/>
    <n v="524.96"/>
    <n v="126.25"/>
    <n v="873923.82"/>
    <n v="704496.32"/>
    <n v="169427.5"/>
  </r>
  <r>
    <s v="Europe"/>
    <x v="47"/>
    <x v="2"/>
    <s v="Offline"/>
    <x v="1"/>
    <d v="2010-12-14T00:00:00"/>
    <s v="962560546"/>
    <d v="2011-01-08T00:00:00"/>
    <n v="25"/>
    <n v="1911"/>
    <n v="205.7"/>
    <n v="117.11"/>
    <n v="88.589999999999989"/>
    <n v="393092.7"/>
    <n v="223797.21"/>
    <n v="169295.49"/>
  </r>
  <r>
    <s v="Europe"/>
    <x v="18"/>
    <x v="5"/>
    <s v="Offline"/>
    <x v="3"/>
    <d v="2011-05-23T00:00:00"/>
    <s v="927351081"/>
    <d v="2011-06-02T00:00:00"/>
    <n v="10"/>
    <n v="2647"/>
    <n v="154.06"/>
    <n v="90.93"/>
    <n v="63.129999999999995"/>
    <n v="407796.82"/>
    <n v="240691.71"/>
    <n v="167105.10999999999"/>
  </r>
  <r>
    <s v="Europe"/>
    <x v="6"/>
    <x v="9"/>
    <s v="Online"/>
    <x v="3"/>
    <d v="2010-10-20T00:00:00"/>
    <s v="840781390"/>
    <d v="2010-11-13T00:00:00"/>
    <n v="24"/>
    <n v="4752"/>
    <n v="668.27"/>
    <n v="502.54"/>
    <n v="165.72999999999996"/>
    <n v="3175619.04"/>
    <n v="2388070.08"/>
    <n v="787548.96"/>
  </r>
  <r>
    <s v="Europe"/>
    <x v="33"/>
    <x v="5"/>
    <s v="Online"/>
    <x v="3"/>
    <d v="2017-03-31T00:00:00"/>
    <s v="722233331"/>
    <d v="2017-04-06T00:00:00"/>
    <n v="6"/>
    <n v="3747"/>
    <n v="154.06"/>
    <n v="90.93"/>
    <n v="63.129999999999995"/>
    <n v="577262.81999999995"/>
    <n v="340714.71"/>
    <n v="236548.11"/>
  </r>
  <r>
    <s v="Europe"/>
    <x v="16"/>
    <x v="6"/>
    <s v="Online"/>
    <x v="3"/>
    <d v="2011-11-21T00:00:00"/>
    <s v="663080108"/>
    <d v="2011-12-10T00:00:00"/>
    <n v="19"/>
    <n v="8994"/>
    <n v="421.89"/>
    <n v="364.69"/>
    <n v="57.199999999999989"/>
    <n v="3794478.66"/>
    <n v="3280021.86"/>
    <n v="514456.8"/>
  </r>
  <r>
    <s v="Europe"/>
    <x v="17"/>
    <x v="2"/>
    <s v="Online"/>
    <x v="2"/>
    <d v="2011-10-07T00:00:00"/>
    <s v="439640080"/>
    <d v="2011-11-02T00:00:00"/>
    <n v="26"/>
    <n v="8124"/>
    <n v="205.7"/>
    <n v="117.11"/>
    <n v="88.589999999999989"/>
    <n v="1671106.8"/>
    <n v="951401.64"/>
    <n v="719705.16"/>
  </r>
  <r>
    <s v="Europe"/>
    <x v="46"/>
    <x v="9"/>
    <s v="Offline"/>
    <x v="3"/>
    <d v="2014-06-19T00:00:00"/>
    <s v="765858924"/>
    <d v="2014-07-21T00:00:00"/>
    <n v="32"/>
    <n v="3530"/>
    <n v="668.27"/>
    <n v="502.54"/>
    <n v="165.72999999999996"/>
    <n v="2358993.1"/>
    <n v="1773966.2"/>
    <n v="585026.9"/>
  </r>
  <r>
    <s v="Europe"/>
    <x v="2"/>
    <x v="2"/>
    <s v="Online"/>
    <x v="1"/>
    <d v="2010-05-13T00:00:00"/>
    <s v="123544108"/>
    <d v="2010-06-22T00:00:00"/>
    <n v="40"/>
    <n v="8302"/>
    <n v="205.7"/>
    <n v="117.11"/>
    <n v="88.589999999999989"/>
    <n v="1707721.4"/>
    <n v="972247.22"/>
    <n v="735474.18"/>
  </r>
  <r>
    <s v="Europe"/>
    <x v="14"/>
    <x v="7"/>
    <s v="Offline"/>
    <x v="1"/>
    <d v="2017-04-07T00:00:00"/>
    <s v="569170606"/>
    <d v="2017-04-13T00:00:00"/>
    <n v="6"/>
    <n v="9085"/>
    <n v="152.58000000000001"/>
    <n v="97.44"/>
    <n v="55.140000000000015"/>
    <n v="1386189.3"/>
    <n v="885242.4"/>
    <n v="500946.9"/>
  </r>
  <r>
    <s v="Europe"/>
    <x v="10"/>
    <x v="11"/>
    <s v="Online"/>
    <x v="2"/>
    <d v="2012-01-06T00:00:00"/>
    <s v="185947310"/>
    <d v="2012-01-27T00:00:00"/>
    <n v="21"/>
    <n v="4796"/>
    <n v="81.73"/>
    <n v="56.67"/>
    <n v="25.060000000000002"/>
    <n v="391977.08"/>
    <n v="271789.32"/>
    <n v="120187.76"/>
  </r>
  <r>
    <s v="Europe"/>
    <x v="17"/>
    <x v="5"/>
    <s v="Online"/>
    <x v="3"/>
    <d v="2015-07-19T00:00:00"/>
    <s v="534709155"/>
    <d v="2015-09-02T00:00:00"/>
    <n v="45"/>
    <n v="1176"/>
    <n v="154.06"/>
    <n v="90.93"/>
    <n v="63.129999999999995"/>
    <n v="181174.56"/>
    <n v="106933.68"/>
    <n v="74240.88"/>
  </r>
  <r>
    <s v="Europe"/>
    <x v="11"/>
    <x v="3"/>
    <s v="Online"/>
    <x v="0"/>
    <d v="2014-08-09T00:00:00"/>
    <s v="138182103"/>
    <d v="2014-08-16T00:00:00"/>
    <n v="7"/>
    <n v="10"/>
    <n v="651.21"/>
    <n v="524.96"/>
    <n v="126.25"/>
    <n v="6512.1"/>
    <n v="5249.6"/>
    <n v="1262.5"/>
  </r>
  <r>
    <s v="Europe"/>
    <x v="3"/>
    <x v="6"/>
    <s v="Offline"/>
    <x v="3"/>
    <d v="2013-09-10T00:00:00"/>
    <s v="780590045"/>
    <d v="2013-10-03T00:00:00"/>
    <n v="23"/>
    <n v="2796"/>
    <n v="421.89"/>
    <n v="364.69"/>
    <n v="57.199999999999989"/>
    <n v="1179604.44"/>
    <n v="1019673.24"/>
    <n v="159931.20000000001"/>
  </r>
  <r>
    <s v="Europe"/>
    <x v="36"/>
    <x v="4"/>
    <s v="Online"/>
    <x v="2"/>
    <d v="2017-07-09T00:00:00"/>
    <s v="643448483"/>
    <d v="2017-07-25T00:00:00"/>
    <n v="16"/>
    <n v="9560"/>
    <n v="9.33"/>
    <n v="6.92"/>
    <n v="2.41"/>
    <n v="89194.8"/>
    <n v="66155.199999999997"/>
    <n v="23039.599999999999"/>
  </r>
  <r>
    <s v="Europe"/>
    <x v="45"/>
    <x v="3"/>
    <s v="Online"/>
    <x v="0"/>
    <d v="2011-01-06T00:00:00"/>
    <s v="144978606"/>
    <d v="2011-02-19T00:00:00"/>
    <n v="44"/>
    <n v="1246"/>
    <n v="651.21"/>
    <n v="524.96"/>
    <n v="126.25"/>
    <n v="811407.66"/>
    <n v="654100.16"/>
    <n v="157307.5"/>
  </r>
  <r>
    <s v="Europe"/>
    <x v="16"/>
    <x v="9"/>
    <s v="Online"/>
    <x v="1"/>
    <d v="2014-01-04T00:00:00"/>
    <s v="444798934"/>
    <d v="2014-01-20T00:00:00"/>
    <n v="16"/>
    <n v="4744"/>
    <n v="668.27"/>
    <n v="502.54"/>
    <n v="165.72999999999996"/>
    <n v="3170272.88"/>
    <n v="2384049.7599999998"/>
    <n v="786223.12"/>
  </r>
  <r>
    <s v="Europe"/>
    <x v="18"/>
    <x v="6"/>
    <s v="Online"/>
    <x v="0"/>
    <d v="2017-05-31T00:00:00"/>
    <s v="543396508"/>
    <d v="2017-06-05T00:00:00"/>
    <n v="5"/>
    <n v="1957"/>
    <n v="421.89"/>
    <n v="364.69"/>
    <n v="57.199999999999989"/>
    <n v="825638.73"/>
    <n v="713698.33"/>
    <n v="111940.4"/>
  </r>
  <r>
    <s v="Europe"/>
    <x v="2"/>
    <x v="6"/>
    <s v="Online"/>
    <x v="3"/>
    <d v="2013-11-06T00:00:00"/>
    <s v="866396272"/>
    <d v="2013-11-16T00:00:00"/>
    <n v="10"/>
    <n v="4765"/>
    <n v="421.89"/>
    <n v="364.69"/>
    <n v="57.199999999999989"/>
    <n v="2010305.85"/>
    <n v="1737747.85"/>
    <n v="272558"/>
  </r>
  <r>
    <s v="Europe"/>
    <x v="45"/>
    <x v="2"/>
    <s v="Online"/>
    <x v="3"/>
    <d v="2016-07-12T00:00:00"/>
    <s v="946823489"/>
    <d v="2016-08-30T00:00:00"/>
    <n v="49"/>
    <n v="4966"/>
    <n v="205.7"/>
    <n v="117.11"/>
    <n v="88.589999999999989"/>
    <n v="1021506.2"/>
    <n v="581568.26"/>
    <n v="439937.94"/>
  </r>
  <r>
    <s v="Europe"/>
    <x v="10"/>
    <x v="10"/>
    <s v="Online"/>
    <x v="3"/>
    <d v="2012-11-30T00:00:00"/>
    <s v="228211200"/>
    <d v="2012-12-03T00:00:00"/>
    <n v="3"/>
    <n v="1620"/>
    <n v="437.2"/>
    <n v="263.33"/>
    <n v="173.87"/>
    <n v="708264"/>
    <n v="426594.6"/>
    <n v="281669.40000000002"/>
  </r>
  <r>
    <s v="Europe"/>
    <x v="43"/>
    <x v="2"/>
    <s v="Online"/>
    <x v="1"/>
    <d v="2011-06-09T00:00:00"/>
    <s v="547587192"/>
    <d v="2011-07-14T00:00:00"/>
    <n v="35"/>
    <n v="2073"/>
    <n v="205.7"/>
    <n v="117.11"/>
    <n v="88.589999999999989"/>
    <n v="426416.1"/>
    <n v="242769.03"/>
    <n v="183647.07"/>
  </r>
  <r>
    <s v="Europe"/>
    <x v="37"/>
    <x v="1"/>
    <s v="Online"/>
    <x v="3"/>
    <d v="2010-01-10T00:00:00"/>
    <s v="689421546"/>
    <d v="2010-01-31T00:00:00"/>
    <n v="21"/>
    <n v="4011"/>
    <n v="109.28"/>
    <n v="35.840000000000003"/>
    <n v="73.44"/>
    <n v="438322.08"/>
    <n v="143754.23999999999"/>
    <n v="294567.84000000003"/>
  </r>
  <r>
    <s v="Europe"/>
    <x v="41"/>
    <x v="6"/>
    <s v="Online"/>
    <x v="1"/>
    <d v="2010-12-21T00:00:00"/>
    <s v="530882394"/>
    <d v="2011-02-02T00:00:00"/>
    <n v="43"/>
    <n v="8753"/>
    <n v="421.89"/>
    <n v="364.69"/>
    <n v="57.199999999999989"/>
    <n v="3692803.17"/>
    <n v="3192131.57"/>
    <n v="500671.6"/>
  </r>
  <r>
    <s v="Europe"/>
    <x v="42"/>
    <x v="7"/>
    <s v="Offline"/>
    <x v="1"/>
    <d v="2011-06-10T00:00:00"/>
    <s v="765552079"/>
    <d v="2011-07-17T00:00:00"/>
    <n v="37"/>
    <n v="2727"/>
    <n v="152.58000000000001"/>
    <n v="97.44"/>
    <n v="55.140000000000015"/>
    <n v="416085.66"/>
    <n v="265718.88"/>
    <n v="150366.78"/>
  </r>
  <r>
    <s v="Europe"/>
    <x v="34"/>
    <x v="8"/>
    <s v="Offline"/>
    <x v="1"/>
    <d v="2010-05-26T00:00:00"/>
    <s v="469974792"/>
    <d v="2010-06-17T00:00:00"/>
    <n v="22"/>
    <n v="4840"/>
    <n v="255.28"/>
    <n v="159.41999999999999"/>
    <n v="95.860000000000014"/>
    <n v="1235555.2"/>
    <n v="771592.8"/>
    <n v="463962.4"/>
  </r>
  <r>
    <s v="Europe"/>
    <x v="20"/>
    <x v="11"/>
    <s v="Offline"/>
    <x v="1"/>
    <d v="2014-11-23T00:00:00"/>
    <s v="700304019"/>
    <d v="2014-12-21T00:00:00"/>
    <n v="28"/>
    <n v="4376"/>
    <n v="81.73"/>
    <n v="56.67"/>
    <n v="25.060000000000002"/>
    <n v="357650.48"/>
    <n v="247987.92"/>
    <n v="109662.56"/>
  </r>
  <r>
    <s v="Europe"/>
    <x v="24"/>
    <x v="1"/>
    <s v="Online"/>
    <x v="3"/>
    <d v="2014-04-14T00:00:00"/>
    <s v="509356057"/>
    <d v="2014-04-17T00:00:00"/>
    <n v="3"/>
    <n v="8631"/>
    <n v="109.28"/>
    <n v="35.840000000000003"/>
    <n v="73.44"/>
    <n v="943195.68"/>
    <n v="309335.03999999998"/>
    <n v="633860.64"/>
  </r>
  <r>
    <s v="Europe"/>
    <x v="25"/>
    <x v="8"/>
    <s v="Offline"/>
    <x v="1"/>
    <d v="2010-02-10T00:00:00"/>
    <s v="838788402"/>
    <d v="2010-02-26T00:00:00"/>
    <n v="16"/>
    <n v="4983"/>
    <n v="255.28"/>
    <n v="159.41999999999999"/>
    <n v="95.860000000000014"/>
    <n v="1272060.24"/>
    <n v="794389.86"/>
    <n v="477670.38"/>
  </r>
  <r>
    <s v="Europe"/>
    <x v="3"/>
    <x v="3"/>
    <s v="Offline"/>
    <x v="0"/>
    <d v="2014-02-09T00:00:00"/>
    <s v="200507199"/>
    <d v="2014-02-25T00:00:00"/>
    <n v="16"/>
    <n v="3391"/>
    <n v="651.21"/>
    <n v="524.96"/>
    <n v="126.25"/>
    <n v="2208253.11"/>
    <n v="1780139.36"/>
    <n v="428113.75"/>
  </r>
  <r>
    <s v="Europe"/>
    <x v="39"/>
    <x v="6"/>
    <s v="Online"/>
    <x v="1"/>
    <d v="2011-10-03T00:00:00"/>
    <s v="504973971"/>
    <d v="2011-11-02T00:00:00"/>
    <n v="30"/>
    <n v="1875"/>
    <n v="421.89"/>
    <n v="364.69"/>
    <n v="57.199999999999989"/>
    <n v="791043.75"/>
    <n v="683793.75"/>
    <n v="107250"/>
  </r>
  <r>
    <s v="Europe"/>
    <x v="25"/>
    <x v="2"/>
    <s v="Offline"/>
    <x v="3"/>
    <d v="2010-01-20T00:00:00"/>
    <s v="477282845"/>
    <d v="2010-02-04T00:00:00"/>
    <n v="15"/>
    <n v="7455"/>
    <n v="205.7"/>
    <n v="117.11"/>
    <n v="88.589999999999989"/>
    <n v="1533493.5"/>
    <n v="873055.05"/>
    <n v="660438.44999999995"/>
  </r>
  <r>
    <s v="Europe"/>
    <x v="42"/>
    <x v="10"/>
    <s v="Online"/>
    <x v="2"/>
    <d v="2010-03-01T00:00:00"/>
    <s v="161399304"/>
    <d v="2010-03-15T00:00:00"/>
    <n v="14"/>
    <n v="496"/>
    <n v="437.2"/>
    <n v="263.33"/>
    <n v="173.87"/>
    <n v="216851.20000000001"/>
    <n v="130611.68"/>
    <n v="86239.52"/>
  </r>
  <r>
    <s v="Europe"/>
    <x v="28"/>
    <x v="3"/>
    <s v="Online"/>
    <x v="3"/>
    <d v="2011-08-20T00:00:00"/>
    <s v="204392325"/>
    <d v="2011-09-26T00:00:00"/>
    <n v="37"/>
    <n v="3086"/>
    <n v="651.21"/>
    <n v="524.96"/>
    <n v="126.25"/>
    <n v="2009634.06"/>
    <n v="1620026.56"/>
    <n v="389607.5"/>
  </r>
  <r>
    <s v="Europe"/>
    <x v="14"/>
    <x v="2"/>
    <s v="Offline"/>
    <x v="1"/>
    <d v="2010-06-28T00:00:00"/>
    <s v="400904691"/>
    <d v="2010-07-12T00:00:00"/>
    <n v="14"/>
    <n v="5462"/>
    <n v="205.7"/>
    <n v="117.11"/>
    <n v="88.589999999999989"/>
    <n v="1123533.3999999999"/>
    <n v="639654.81999999995"/>
    <n v="483878.58"/>
  </r>
  <r>
    <s v="Europe"/>
    <x v="9"/>
    <x v="0"/>
    <s v="Offline"/>
    <x v="2"/>
    <d v="2016-12-21T00:00:00"/>
    <s v="244023358"/>
    <d v="2017-01-22T00:00:00"/>
    <n v="32"/>
    <n v="789"/>
    <n v="47.45"/>
    <n v="31.79"/>
    <n v="15.660000000000004"/>
    <n v="37438.050000000003"/>
    <n v="25082.31"/>
    <n v="12355.74"/>
  </r>
  <r>
    <s v="Europe"/>
    <x v="31"/>
    <x v="10"/>
    <s v="Online"/>
    <x v="3"/>
    <d v="2013-06-13T00:00:00"/>
    <s v="830172288"/>
    <d v="2013-07-29T00:00:00"/>
    <n v="46"/>
    <n v="5283"/>
    <n v="437.2"/>
    <n v="263.33"/>
    <n v="173.87"/>
    <n v="2309727.6"/>
    <n v="1391172.39"/>
    <n v="918555.21"/>
  </r>
  <r>
    <s v="Europe"/>
    <x v="31"/>
    <x v="6"/>
    <s v="Offline"/>
    <x v="2"/>
    <d v="2016-05-13T00:00:00"/>
    <s v="815755307"/>
    <d v="2016-06-09T00:00:00"/>
    <n v="27"/>
    <n v="8978"/>
    <n v="421.89"/>
    <n v="364.69"/>
    <n v="57.199999999999989"/>
    <n v="3787728.42"/>
    <n v="3274186.82"/>
    <n v="513541.6"/>
  </r>
  <r>
    <s v="Europe"/>
    <x v="2"/>
    <x v="1"/>
    <s v="Online"/>
    <x v="1"/>
    <d v="2015-12-23T00:00:00"/>
    <s v="870173251"/>
    <d v="2015-12-30T00:00:00"/>
    <n v="7"/>
    <n v="2457"/>
    <n v="109.28"/>
    <n v="35.840000000000003"/>
    <n v="73.44"/>
    <n v="268500.96000000002"/>
    <n v="88058.880000000005"/>
    <n v="180442.08"/>
  </r>
  <r>
    <s v="Europe"/>
    <x v="36"/>
    <x v="8"/>
    <s v="Online"/>
    <x v="1"/>
    <d v="2013-08-19T00:00:00"/>
    <s v="444234168"/>
    <d v="2013-09-27T00:00:00"/>
    <n v="39"/>
    <n v="7617"/>
    <n v="255.28"/>
    <n v="159.41999999999999"/>
    <n v="95.860000000000014"/>
    <n v="1944467.76"/>
    <n v="1214302.1399999999"/>
    <n v="730165.62"/>
  </r>
  <r>
    <s v="Europe"/>
    <x v="18"/>
    <x v="1"/>
    <s v="Offline"/>
    <x v="3"/>
    <d v="2016-08-04T00:00:00"/>
    <s v="545059049"/>
    <d v="2016-08-08T00:00:00"/>
    <n v="4"/>
    <n v="3940"/>
    <n v="109.28"/>
    <n v="35.840000000000003"/>
    <n v="73.44"/>
    <n v="430563.2"/>
    <n v="141209.60000000001"/>
    <n v="289353.59999999998"/>
  </r>
  <r>
    <s v="Europe"/>
    <x v="19"/>
    <x v="8"/>
    <s v="Offline"/>
    <x v="1"/>
    <d v="2015-10-07T00:00:00"/>
    <s v="530702579"/>
    <d v="2015-11-09T00:00:00"/>
    <n v="33"/>
    <n v="5541"/>
    <n v="255.28"/>
    <n v="159.41999999999999"/>
    <n v="95.860000000000014"/>
    <n v="1414506.48"/>
    <n v="883346.22"/>
    <n v="531160.26"/>
  </r>
  <r>
    <s v="Europe"/>
    <x v="40"/>
    <x v="11"/>
    <s v="Offline"/>
    <x v="2"/>
    <d v="2013-11-07T00:00:00"/>
    <s v="546140086"/>
    <d v="2013-12-19T00:00:00"/>
    <n v="42"/>
    <n v="3843"/>
    <n v="81.73"/>
    <n v="56.67"/>
    <n v="25.060000000000002"/>
    <n v="314088.39"/>
    <n v="217782.81"/>
    <n v="96305.58"/>
  </r>
  <r>
    <s v="Europe"/>
    <x v="44"/>
    <x v="5"/>
    <s v="Offline"/>
    <x v="1"/>
    <d v="2017-06-07T00:00:00"/>
    <s v="215584218"/>
    <d v="2017-06-21T00:00:00"/>
    <n v="14"/>
    <n v="5016"/>
    <n v="154.06"/>
    <n v="90.93"/>
    <n v="63.129999999999995"/>
    <n v="772764.96"/>
    <n v="456104.88"/>
    <n v="316660.08"/>
  </r>
  <r>
    <s v="Europe"/>
    <x v="34"/>
    <x v="2"/>
    <s v="Online"/>
    <x v="2"/>
    <d v="2016-05-29T00:00:00"/>
    <s v="407220542"/>
    <d v="2016-07-04T00:00:00"/>
    <n v="36"/>
    <n v="4463"/>
    <n v="205.7"/>
    <n v="117.11"/>
    <n v="88.589999999999989"/>
    <n v="918039.1"/>
    <n v="522661.93"/>
    <n v="395377.17"/>
  </r>
  <r>
    <s v="Europe"/>
    <x v="45"/>
    <x v="5"/>
    <s v="Online"/>
    <x v="2"/>
    <d v="2016-04-24T00:00:00"/>
    <s v="956969964"/>
    <d v="2016-05-27T00:00:00"/>
    <n v="33"/>
    <n v="7533"/>
    <n v="154.06"/>
    <n v="90.93"/>
    <n v="63.129999999999995"/>
    <n v="1160533.98"/>
    <n v="684975.69"/>
    <n v="475558.29"/>
  </r>
  <r>
    <s v="Europe"/>
    <x v="20"/>
    <x v="4"/>
    <s v="Online"/>
    <x v="2"/>
    <d v="2014-12-11T00:00:00"/>
    <s v="399256312"/>
    <d v="2015-01-05T00:00:00"/>
    <n v="25"/>
    <n v="7670"/>
    <n v="9.33"/>
    <n v="6.92"/>
    <n v="2.41"/>
    <n v="71561.100000000006"/>
    <n v="53076.4"/>
    <n v="18484.7"/>
  </r>
  <r>
    <s v="Europe"/>
    <x v="41"/>
    <x v="7"/>
    <s v="Offline"/>
    <x v="1"/>
    <d v="2011-03-03T00:00:00"/>
    <s v="488815915"/>
    <d v="2011-04-17T00:00:00"/>
    <n v="45"/>
    <n v="347"/>
    <n v="152.58000000000001"/>
    <n v="97.44"/>
    <n v="55.140000000000015"/>
    <n v="52945.26"/>
    <n v="33811.68"/>
    <n v="19133.580000000002"/>
  </r>
  <r>
    <s v="Europe"/>
    <x v="29"/>
    <x v="1"/>
    <s v="Offline"/>
    <x v="0"/>
    <d v="2012-04-29T00:00:00"/>
    <s v="530262696"/>
    <d v="2012-05-11T00:00:00"/>
    <n v="12"/>
    <n v="5370"/>
    <n v="109.28"/>
    <n v="35.840000000000003"/>
    <n v="73.44"/>
    <n v="586833.6"/>
    <n v="192460.79999999999"/>
    <n v="394372.8"/>
  </r>
  <r>
    <s v="Europe"/>
    <x v="7"/>
    <x v="10"/>
    <s v="Online"/>
    <x v="2"/>
    <d v="2016-02-26T00:00:00"/>
    <s v="243521249"/>
    <d v="2016-03-28T00:00:00"/>
    <n v="31"/>
    <n v="2204"/>
    <n v="437.2"/>
    <n v="263.33"/>
    <n v="173.87"/>
    <n v="963588.8"/>
    <n v="580379.31999999995"/>
    <n v="383209.48"/>
  </r>
  <r>
    <s v="Europe"/>
    <x v="40"/>
    <x v="10"/>
    <s v="Online"/>
    <x v="1"/>
    <d v="2011-01-27T00:00:00"/>
    <s v="878614270"/>
    <d v="2011-02-17T00:00:00"/>
    <n v="21"/>
    <n v="342"/>
    <n v="437.2"/>
    <n v="263.33"/>
    <n v="173.87"/>
    <n v="149522.4"/>
    <n v="90058.86"/>
    <n v="59463.54"/>
  </r>
  <r>
    <s v="Europe"/>
    <x v="26"/>
    <x v="5"/>
    <s v="Offline"/>
    <x v="3"/>
    <d v="2014-05-23T00:00:00"/>
    <s v="954341828"/>
    <d v="2014-07-11T00:00:00"/>
    <n v="49"/>
    <n v="9809"/>
    <n v="154.06"/>
    <n v="90.93"/>
    <n v="63.129999999999995"/>
    <n v="1511174.54"/>
    <n v="891932.37"/>
    <n v="619242.17000000004"/>
  </r>
  <r>
    <s v="Europe"/>
    <x v="31"/>
    <x v="0"/>
    <s v="Online"/>
    <x v="3"/>
    <d v="2010-09-12T00:00:00"/>
    <s v="607620608"/>
    <d v="2010-09-20T00:00:00"/>
    <n v="8"/>
    <n v="7296"/>
    <n v="47.45"/>
    <n v="31.79"/>
    <n v="15.660000000000004"/>
    <n v="346195.20000000001"/>
    <n v="231939.84"/>
    <n v="114255.36"/>
  </r>
  <r>
    <s v="Europe"/>
    <x v="22"/>
    <x v="11"/>
    <s v="Online"/>
    <x v="2"/>
    <d v="2014-01-02T00:00:00"/>
    <s v="561534678"/>
    <d v="2014-01-29T00:00:00"/>
    <n v="27"/>
    <n v="9445"/>
    <n v="81.73"/>
    <n v="56.67"/>
    <n v="25.060000000000002"/>
    <n v="771939.85"/>
    <n v="535248.15"/>
    <n v="236691.7"/>
  </r>
  <r>
    <s v="Europe"/>
    <x v="28"/>
    <x v="5"/>
    <s v="Offline"/>
    <x v="2"/>
    <d v="2014-01-06T00:00:00"/>
    <s v="768676316"/>
    <d v="2014-02-08T00:00:00"/>
    <n v="33"/>
    <n v="7259"/>
    <n v="154.06"/>
    <n v="90.93"/>
    <n v="63.129999999999995"/>
    <n v="1118321.54"/>
    <n v="660060.87"/>
    <n v="458260.67"/>
  </r>
  <r>
    <s v="Europe"/>
    <x v="24"/>
    <x v="10"/>
    <s v="Offline"/>
    <x v="2"/>
    <d v="2011-12-09T00:00:00"/>
    <s v="337354791"/>
    <d v="2012-01-28T00:00:00"/>
    <n v="50"/>
    <n v="9634"/>
    <n v="437.2"/>
    <n v="263.33"/>
    <n v="173.87"/>
    <n v="4211984.8"/>
    <n v="2536921.2200000002"/>
    <n v="1675063.58"/>
  </r>
  <r>
    <s v="Europe"/>
    <x v="24"/>
    <x v="6"/>
    <s v="Offline"/>
    <x v="1"/>
    <d v="2012-09-12T00:00:00"/>
    <s v="917874085"/>
    <d v="2012-09-23T00:00:00"/>
    <n v="11"/>
    <n v="8194"/>
    <n v="421.89"/>
    <n v="364.69"/>
    <n v="57.199999999999989"/>
    <n v="3456966.66"/>
    <n v="2988269.86"/>
    <n v="468696.8"/>
  </r>
  <r>
    <s v="Europe"/>
    <x v="17"/>
    <x v="2"/>
    <s v="Online"/>
    <x v="0"/>
    <d v="2013-09-08T00:00:00"/>
    <s v="176050603"/>
    <d v="2013-10-28T00:00:00"/>
    <n v="50"/>
    <n v="6140"/>
    <n v="205.7"/>
    <n v="117.11"/>
    <n v="88.589999999999989"/>
    <n v="1262998"/>
    <n v="719055.4"/>
    <n v="543942.6"/>
  </r>
  <r>
    <s v="Europe"/>
    <x v="29"/>
    <x v="6"/>
    <s v="Offline"/>
    <x v="0"/>
    <d v="2010-02-20T00:00:00"/>
    <s v="930296790"/>
    <d v="2010-03-26T00:00:00"/>
    <n v="34"/>
    <n v="4348"/>
    <n v="421.89"/>
    <n v="364.69"/>
    <n v="57.199999999999989"/>
    <n v="1834377.72"/>
    <n v="1585672.12"/>
    <n v="248705.6"/>
  </r>
  <r>
    <s v="Europe"/>
    <x v="46"/>
    <x v="2"/>
    <s v="Online"/>
    <x v="2"/>
    <d v="2011-09-14T00:00:00"/>
    <s v="273940503"/>
    <d v="2011-10-19T00:00:00"/>
    <n v="35"/>
    <n v="3937"/>
    <n v="205.7"/>
    <n v="117.11"/>
    <n v="88.589999999999989"/>
    <n v="809840.9"/>
    <n v="461062.07"/>
    <n v="348778.83"/>
  </r>
  <r>
    <s v="Europe"/>
    <x v="36"/>
    <x v="4"/>
    <s v="Offline"/>
    <x v="0"/>
    <d v="2014-05-28T00:00:00"/>
    <s v="656244552"/>
    <d v="2014-06-19T00:00:00"/>
    <n v="22"/>
    <n v="6201"/>
    <n v="9.33"/>
    <n v="6.92"/>
    <n v="2.41"/>
    <n v="57855.33"/>
    <n v="42910.92"/>
    <n v="14944.41"/>
  </r>
  <r>
    <s v="Europe"/>
    <x v="35"/>
    <x v="9"/>
    <s v="Online"/>
    <x v="0"/>
    <d v="2014-07-28T00:00:00"/>
    <s v="666483724"/>
    <d v="2014-08-31T00:00:00"/>
    <n v="34"/>
    <n v="6199"/>
    <n v="668.27"/>
    <n v="502.54"/>
    <n v="165.72999999999996"/>
    <n v="4142605.73"/>
    <n v="3115245.46"/>
    <n v="1027360.27"/>
  </r>
  <r>
    <s v="Europe"/>
    <x v="21"/>
    <x v="6"/>
    <s v="Online"/>
    <x v="3"/>
    <d v="2016-05-15T00:00:00"/>
    <s v="422568786"/>
    <d v="2016-06-17T00:00:00"/>
    <n v="33"/>
    <n v="6349"/>
    <n v="421.89"/>
    <n v="364.69"/>
    <n v="57.199999999999989"/>
    <n v="2678579.61"/>
    <n v="2315416.81"/>
    <n v="363162.8"/>
  </r>
  <r>
    <s v="Europe"/>
    <x v="26"/>
    <x v="5"/>
    <s v="Online"/>
    <x v="2"/>
    <d v="2012-08-26T00:00:00"/>
    <s v="969195258"/>
    <d v="2012-09-17T00:00:00"/>
    <n v="22"/>
    <n v="5269"/>
    <n v="154.06"/>
    <n v="90.93"/>
    <n v="63.129999999999995"/>
    <n v="811742.14"/>
    <n v="479110.17"/>
    <n v="332631.96999999997"/>
  </r>
  <r>
    <s v="Europe"/>
    <x v="11"/>
    <x v="3"/>
    <s v="Online"/>
    <x v="0"/>
    <d v="2011-07-29T00:00:00"/>
    <s v="857457864"/>
    <d v="2011-09-16T00:00:00"/>
    <n v="49"/>
    <n v="9691"/>
    <n v="651.21"/>
    <n v="524.96"/>
    <n v="126.25"/>
    <n v="6310876.1100000003"/>
    <n v="5087387.3600000003"/>
    <n v="1223488.75"/>
  </r>
  <r>
    <s v="Europe"/>
    <x v="28"/>
    <x v="5"/>
    <s v="Online"/>
    <x v="1"/>
    <d v="2012-06-05T00:00:00"/>
    <s v="495631301"/>
    <d v="2012-07-18T00:00:00"/>
    <n v="43"/>
    <n v="7171"/>
    <n v="154.06"/>
    <n v="90.93"/>
    <n v="63.129999999999995"/>
    <n v="1104764.26"/>
    <n v="652059.03"/>
    <n v="452705.23"/>
  </r>
  <r>
    <s v="Europe"/>
    <x v="42"/>
    <x v="3"/>
    <s v="Offline"/>
    <x v="3"/>
    <d v="2014-06-23T00:00:00"/>
    <s v="224647080"/>
    <d v="2014-07-30T00:00:00"/>
    <n v="37"/>
    <n v="6918"/>
    <n v="651.21"/>
    <n v="524.96"/>
    <n v="126.25"/>
    <n v="4505070.78"/>
    <n v="3631673.28"/>
    <n v="873397.5"/>
  </r>
  <r>
    <s v="Europe"/>
    <x v="25"/>
    <x v="3"/>
    <s v="Offline"/>
    <x v="3"/>
    <d v="2014-08-03T00:00:00"/>
    <s v="883504474"/>
    <d v="2014-09-08T00:00:00"/>
    <n v="36"/>
    <n v="7462"/>
    <n v="651.21"/>
    <n v="524.96"/>
    <n v="126.25"/>
    <n v="4859329.0199999996"/>
    <n v="3917251.52"/>
    <n v="942077.5"/>
  </r>
  <r>
    <s v="Europe"/>
    <x v="2"/>
    <x v="3"/>
    <s v="Offline"/>
    <x v="0"/>
    <d v="2015-04-03T00:00:00"/>
    <s v="575552117"/>
    <d v="2015-04-26T00:00:00"/>
    <n v="23"/>
    <n v="7516"/>
    <n v="651.21"/>
    <n v="524.96"/>
    <n v="126.25"/>
    <n v="4894494.3600000003"/>
    <n v="3945599.36"/>
    <n v="948895"/>
  </r>
  <r>
    <s v="Europe"/>
    <x v="39"/>
    <x v="8"/>
    <s v="Offline"/>
    <x v="3"/>
    <d v="2013-07-15T00:00:00"/>
    <s v="141764247"/>
    <d v="2013-08-29T00:00:00"/>
    <n v="45"/>
    <n v="46"/>
    <n v="255.28"/>
    <n v="159.41999999999999"/>
    <n v="95.860000000000014"/>
    <n v="11742.88"/>
    <n v="7333.32"/>
    <n v="4409.5600000000004"/>
  </r>
  <r>
    <s v="Europe"/>
    <x v="37"/>
    <x v="5"/>
    <s v="Offline"/>
    <x v="1"/>
    <d v="2016-04-11T00:00:00"/>
    <s v="608374631"/>
    <d v="2016-04-12T00:00:00"/>
    <n v="1"/>
    <n v="428"/>
    <n v="154.06"/>
    <n v="90.93"/>
    <n v="63.129999999999995"/>
    <n v="65937.679999999993"/>
    <n v="38918.04"/>
    <n v="27019.64"/>
  </r>
  <r>
    <s v="Europe"/>
    <x v="16"/>
    <x v="9"/>
    <s v="Online"/>
    <x v="2"/>
    <d v="2012-01-17T00:00:00"/>
    <s v="200432097"/>
    <d v="2012-01-31T00:00:00"/>
    <n v="14"/>
    <n v="1167"/>
    <n v="668.27"/>
    <n v="502.54"/>
    <n v="165.72999999999996"/>
    <n v="779871.09"/>
    <n v="586464.18000000005"/>
    <n v="193406.91"/>
  </r>
  <r>
    <s v="Europe"/>
    <x v="46"/>
    <x v="7"/>
    <s v="Offline"/>
    <x v="1"/>
    <d v="2010-08-21T00:00:00"/>
    <s v="884462773"/>
    <d v="2010-10-05T00:00:00"/>
    <n v="45"/>
    <n v="1044"/>
    <n v="152.58000000000001"/>
    <n v="97.44"/>
    <n v="55.140000000000015"/>
    <n v="159293.51999999999"/>
    <n v="101727.36"/>
    <n v="57566.16"/>
  </r>
  <r>
    <s v="Europe"/>
    <x v="0"/>
    <x v="3"/>
    <s v="Offline"/>
    <x v="1"/>
    <d v="2010-06-19T00:00:00"/>
    <s v="885046851"/>
    <d v="2010-07-19T00:00:00"/>
    <n v="30"/>
    <n v="3886"/>
    <n v="651.21"/>
    <n v="524.96"/>
    <n v="126.25"/>
    <n v="2530602.06"/>
    <n v="2039994.56"/>
    <n v="490607.5"/>
  </r>
  <r>
    <s v="Europe"/>
    <x v="0"/>
    <x v="5"/>
    <s v="Online"/>
    <x v="1"/>
    <d v="2012-06-14T00:00:00"/>
    <s v="527079236"/>
    <d v="2012-06-20T00:00:00"/>
    <n v="6"/>
    <n v="3314"/>
    <n v="154.06"/>
    <n v="90.93"/>
    <n v="63.129999999999995"/>
    <n v="510554.84"/>
    <n v="301342.02"/>
    <n v="209212.82"/>
  </r>
  <r>
    <s v="Europe"/>
    <x v="26"/>
    <x v="1"/>
    <s v="Online"/>
    <x v="0"/>
    <d v="2012-11-09T00:00:00"/>
    <s v="161812150"/>
    <d v="2012-11-12T00:00:00"/>
    <n v="3"/>
    <n v="2666"/>
    <n v="109.28"/>
    <n v="35.840000000000003"/>
    <n v="73.44"/>
    <n v="291340.48"/>
    <n v="95549.440000000002"/>
    <n v="195791.04"/>
  </r>
  <r>
    <s v="Europe"/>
    <x v="28"/>
    <x v="10"/>
    <s v="Offline"/>
    <x v="3"/>
    <d v="2013-06-10T00:00:00"/>
    <s v="689349019"/>
    <d v="2013-07-23T00:00:00"/>
    <n v="43"/>
    <n v="2548"/>
    <n v="437.2"/>
    <n v="263.33"/>
    <n v="173.87"/>
    <n v="1113985.6000000001"/>
    <n v="670964.84"/>
    <n v="443020.76"/>
  </r>
  <r>
    <s v="Europe"/>
    <x v="37"/>
    <x v="9"/>
    <s v="Offline"/>
    <x v="1"/>
    <d v="2011-02-22T00:00:00"/>
    <s v="677851569"/>
    <d v="2011-03-02T00:00:00"/>
    <n v="8"/>
    <n v="198"/>
    <n v="668.27"/>
    <n v="502.54"/>
    <n v="165.72999999999996"/>
    <n v="132317.46"/>
    <n v="99502.92"/>
    <n v="32814.54"/>
  </r>
  <r>
    <s v="Europe"/>
    <x v="28"/>
    <x v="1"/>
    <s v="Offline"/>
    <x v="3"/>
    <d v="2015-01-21T00:00:00"/>
    <s v="538430345"/>
    <d v="2015-03-10T00:00:00"/>
    <n v="48"/>
    <n v="2359"/>
    <n v="109.28"/>
    <n v="35.840000000000003"/>
    <n v="73.44"/>
    <n v="257791.52"/>
    <n v="84546.559999999998"/>
    <n v="173244.96"/>
  </r>
  <r>
    <s v="Europe"/>
    <x v="7"/>
    <x v="0"/>
    <s v="Online"/>
    <x v="3"/>
    <d v="2010-01-30T00:00:00"/>
    <s v="797461354"/>
    <d v="2010-02-05T00:00:00"/>
    <n v="6"/>
    <n v="5391"/>
    <n v="47.45"/>
    <n v="31.79"/>
    <n v="15.660000000000004"/>
    <n v="255802.95"/>
    <n v="171379.89"/>
    <n v="84423.06"/>
  </r>
  <r>
    <s v="Europe"/>
    <x v="7"/>
    <x v="10"/>
    <s v="Offline"/>
    <x v="0"/>
    <d v="2014-09-10T00:00:00"/>
    <s v="347609412"/>
    <d v="2014-09-17T00:00:00"/>
    <n v="7"/>
    <n v="4205"/>
    <n v="437.2"/>
    <n v="263.33"/>
    <n v="173.87"/>
    <n v="1838426"/>
    <n v="1107302.6499999999"/>
    <n v="731123.35"/>
  </r>
  <r>
    <s v="Europe"/>
    <x v="12"/>
    <x v="11"/>
    <s v="Offline"/>
    <x v="3"/>
    <d v="2011-11-12T00:00:00"/>
    <s v="473845756"/>
    <d v="2011-12-16T00:00:00"/>
    <n v="34"/>
    <n v="344"/>
    <n v="81.73"/>
    <n v="56.67"/>
    <n v="25.060000000000002"/>
    <n v="28115.119999999999"/>
    <n v="19494.48"/>
    <n v="8620.64"/>
  </r>
  <r>
    <s v="Europe"/>
    <x v="44"/>
    <x v="5"/>
    <s v="Online"/>
    <x v="0"/>
    <d v="2011-01-05T00:00:00"/>
    <s v="180479466"/>
    <d v="2011-01-12T00:00:00"/>
    <n v="7"/>
    <n v="6740"/>
    <n v="154.06"/>
    <n v="90.93"/>
    <n v="63.129999999999995"/>
    <n v="1038364.4"/>
    <n v="612868.19999999995"/>
    <n v="425496.2"/>
  </r>
  <r>
    <s v="Europe"/>
    <x v="24"/>
    <x v="11"/>
    <s v="Offline"/>
    <x v="1"/>
    <d v="2014-01-14T00:00:00"/>
    <s v="634033286"/>
    <d v="2014-01-15T00:00:00"/>
    <n v="1"/>
    <n v="3394"/>
    <n v="81.73"/>
    <n v="56.67"/>
    <n v="25.060000000000002"/>
    <n v="277391.62"/>
    <n v="192337.98"/>
    <n v="85053.64"/>
  </r>
  <r>
    <s v="Europe"/>
    <x v="13"/>
    <x v="2"/>
    <s v="Offline"/>
    <x v="2"/>
    <d v="2014-04-14T00:00:00"/>
    <s v="559183347"/>
    <d v="2014-05-21T00:00:00"/>
    <n v="37"/>
    <n v="3633"/>
    <n v="205.7"/>
    <n v="117.11"/>
    <n v="88.589999999999989"/>
    <n v="747308.1"/>
    <n v="425460.63"/>
    <n v="321847.46999999997"/>
  </r>
  <r>
    <s v="Europe"/>
    <x v="25"/>
    <x v="6"/>
    <s v="Offline"/>
    <x v="1"/>
    <d v="2015-11-09T00:00:00"/>
    <s v="781416594"/>
    <d v="2015-12-23T00:00:00"/>
    <n v="44"/>
    <n v="7390"/>
    <n v="421.89"/>
    <n v="364.69"/>
    <n v="57.199999999999989"/>
    <n v="3117767.1"/>
    <n v="2695059.1"/>
    <n v="422708"/>
  </r>
  <r>
    <s v="Europe"/>
    <x v="26"/>
    <x v="1"/>
    <s v="Offline"/>
    <x v="3"/>
    <d v="2012-05-09T00:00:00"/>
    <s v="713357150"/>
    <d v="2012-06-03T00:00:00"/>
    <n v="25"/>
    <n v="7088"/>
    <n v="109.28"/>
    <n v="35.840000000000003"/>
    <n v="73.44"/>
    <n v="774576.64000000001"/>
    <n v="254033.92000000001"/>
    <n v="520542.71999999997"/>
  </r>
  <r>
    <s v="Europe"/>
    <x v="8"/>
    <x v="1"/>
    <s v="Online"/>
    <x v="2"/>
    <d v="2014-04-22T00:00:00"/>
    <s v="906794202"/>
    <d v="2014-05-11T00:00:00"/>
    <n v="19"/>
    <n v="9410"/>
    <n v="109.28"/>
    <n v="35.840000000000003"/>
    <n v="73.44"/>
    <n v="1028324.8"/>
    <n v="337254.40000000002"/>
    <n v="69107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A30F28-567B-46F2-BAEA-56B33063ACD1}" name="PivotTable29" cacheId="740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B54:C63" firstHeaderRow="1" firstDataRow="1" firstDataCol="1"/>
  <pivotFields count="3">
    <pivotField axis="axisRow" allDrilled="1" subtotalTop="0" showAll="0" dataSourceSort="1" defaultSubtotal="0" defaultAttributeDrillState="1">
      <items count="9">
        <item s="1" x="0"/>
        <item s="1" x="1"/>
        <item s="1" x="2"/>
        <item s="1" x="3"/>
        <item s="1" x="4"/>
        <item s="1" x="5"/>
        <item s="1" x="6"/>
        <item s="1" x="7"/>
        <item s="1" x="8"/>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x v="8"/>
    </i>
  </rowItems>
  <colItems count="1">
    <i/>
  </colItems>
  <dataFields count="1">
    <dataField name="Sum of Total Revenue" fld="1" baseField="0" baseItem="0"/>
  </dataFields>
  <pivotHierarchies count="3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urope_Sales_Records].[Order Date (Year)].&amp;[2016]"/>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urope_Sales_Records">
        <x15:activeTabTopLevelEntity name="[Europe_Sales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A0180C-74F2-460F-A958-5A2B5FF0984F}" name="PivotTable28" cacheId="739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5">
  <location ref="AF2:AI14" firstHeaderRow="0" firstDataRow="1" firstDataCol="1"/>
  <pivotFields count="6">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12">
    <i>
      <x/>
    </i>
    <i>
      <x v="1"/>
    </i>
    <i>
      <x v="2"/>
    </i>
    <i>
      <x v="3"/>
    </i>
    <i>
      <x v="4"/>
    </i>
    <i>
      <x v="5"/>
    </i>
    <i>
      <x v="6"/>
    </i>
    <i>
      <x v="7"/>
    </i>
    <i>
      <x v="8"/>
    </i>
    <i>
      <x v="9"/>
    </i>
    <i>
      <x v="10"/>
    </i>
    <i t="grand">
      <x/>
    </i>
  </rowItems>
  <colFields count="1">
    <field x="-2"/>
  </colFields>
  <colItems count="3">
    <i>
      <x/>
    </i>
    <i i="1">
      <x v="1"/>
    </i>
    <i i="2">
      <x v="2"/>
    </i>
  </colItems>
  <dataFields count="3">
    <dataField name="Sum of Total Profit" fld="0" baseField="0" baseItem="0"/>
    <dataField name="Sum of Total Revenue" fld="1" baseField="0" baseItem="0"/>
    <dataField name="Sum of Total Cost" fld="2" baseField="0" baseItem="0"/>
  </dataFields>
  <chartFormats count="14">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 chart="36" format="15" series="1">
      <pivotArea type="data" outline="0" fieldPosition="0">
        <references count="1">
          <reference field="4294967294" count="1" selected="0">
            <x v="0"/>
          </reference>
        </references>
      </pivotArea>
    </chartFormat>
    <chartFormat chart="36" format="16" series="1">
      <pivotArea type="data" outline="0" fieldPosition="0">
        <references count="1">
          <reference field="4294967294" count="1" selected="0">
            <x v="1"/>
          </reference>
        </references>
      </pivotArea>
    </chartFormat>
    <chartFormat chart="36" format="17" series="1">
      <pivotArea type="data" outline="0" fieldPosition="0">
        <references count="1">
          <reference field="4294967294" count="1" selected="0">
            <x v="2"/>
          </reference>
        </references>
      </pivotArea>
    </chartFormat>
    <chartFormat chart="41" format="18" series="1">
      <pivotArea type="data" outline="0" fieldPosition="0">
        <references count="1">
          <reference field="4294967294" count="1" selected="0">
            <x v="0"/>
          </reference>
        </references>
      </pivotArea>
    </chartFormat>
    <chartFormat chart="41" format="19" series="1">
      <pivotArea type="data" outline="0" fieldPosition="0">
        <references count="1">
          <reference field="4294967294" count="1" selected="0">
            <x v="1"/>
          </reference>
        </references>
      </pivotArea>
    </chartFormat>
    <chartFormat chart="41" format="20" series="1">
      <pivotArea type="data" outline="0" fieldPosition="0">
        <references count="1">
          <reference field="4294967294" count="1" selected="0">
            <x v="2"/>
          </reference>
        </references>
      </pivotArea>
    </chartFormat>
    <chartFormat chart="42" format="21" series="1">
      <pivotArea type="data" outline="0" fieldPosition="0">
        <references count="1">
          <reference field="4294967294" count="1" selected="0">
            <x v="0"/>
          </reference>
        </references>
      </pivotArea>
    </chartFormat>
    <chartFormat chart="42" format="22" series="1">
      <pivotArea type="data" outline="0" fieldPosition="0">
        <references count="1">
          <reference field="4294967294" count="1" selected="0">
            <x v="1"/>
          </reference>
        </references>
      </pivotArea>
    </chartFormat>
    <chartFormat chart="42" format="23" series="1">
      <pivotArea type="data" outline="0" fieldPosition="0">
        <references count="1">
          <reference field="4294967294" count="1" selected="0">
            <x v="2"/>
          </reference>
        </references>
      </pivotArea>
    </chartFormat>
    <chartFormat chart="43" format="18" series="1">
      <pivotArea type="data" outline="0" fieldPosition="0">
        <references count="1">
          <reference field="4294967294" count="1" selected="0">
            <x v="0"/>
          </reference>
        </references>
      </pivotArea>
    </chartFormat>
    <chartFormat chart="43" format="19" series="1">
      <pivotArea type="data" outline="0" fieldPosition="0">
        <references count="1">
          <reference field="4294967294" count="1" selected="0">
            <x v="1"/>
          </reference>
        </references>
      </pivotArea>
    </chartFormat>
    <chartFormat chart="43" format="20" series="1">
      <pivotArea type="data" outline="0" fieldPosition="0">
        <references count="1">
          <reference field="4294967294" count="1" selected="0">
            <x v="2"/>
          </reference>
        </references>
      </pivotArea>
    </chartFormat>
  </chartFormats>
  <pivotHierarchies count="36">
    <pivotHierarchy dragToData="1"/>
    <pivotHierarchy multipleItemSelectionAllowed="1" dragToData="1">
      <members count="9" level="1">
        <member name="[Europe_Sales_Records].[Country].&amp;[Croatia]"/>
        <member name="[Europe_Sales_Records].[Country].&amp;[Cyprus]"/>
        <member name="[Europe_Sales_Records].[Country].&amp;[Czech Republic]"/>
        <member name="[Europe_Sales_Records].[Country].&amp;[Denmark]"/>
        <member name="[Europe_Sales_Records].[Country].&amp;[Estonia]"/>
        <member name="[Europe_Sales_Records].[Country].&amp;[Finland]"/>
        <member name="[Europe_Sales_Records].[Country].&amp;[France]"/>
        <member name="[Europe_Sales_Records].[Country].&amp;[Georgia]"/>
        <member name="[Europe_Sales_Records].[Country].&amp;[German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urope_Sales_Records].[Order Date (Year)].&amp;[2016]"/>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urope_Sales_Records">
        <x15:activeTabTopLevelEntity name="[Europe_Sales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B0472B-86DE-4686-AD2E-BA89C247A164}" name="PivotTable27" cacheId="73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7">
  <location ref="AK2:AL7"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hipping Time" fld="1" baseField="0" baseItem="0"/>
  </dataFields>
  <chartFormats count="20">
    <chartFormat chart="39" format="36" series="1">
      <pivotArea type="data" outline="0" fieldPosition="0">
        <references count="1">
          <reference field="4294967294" count="1" selected="0">
            <x v="0"/>
          </reference>
        </references>
      </pivotArea>
    </chartFormat>
    <chartFormat chart="39" format="37">
      <pivotArea type="data" outline="0" fieldPosition="0">
        <references count="2">
          <reference field="4294967294" count="1" selected="0">
            <x v="0"/>
          </reference>
          <reference field="0" count="1" selected="0">
            <x v="1"/>
          </reference>
        </references>
      </pivotArea>
    </chartFormat>
    <chartFormat chart="39" format="38">
      <pivotArea type="data" outline="0" fieldPosition="0">
        <references count="2">
          <reference field="4294967294" count="1" selected="0">
            <x v="0"/>
          </reference>
          <reference field="0" count="1" selected="0">
            <x v="2"/>
          </reference>
        </references>
      </pivotArea>
    </chartFormat>
    <chartFormat chart="39" format="39">
      <pivotArea type="data" outline="0" fieldPosition="0">
        <references count="2">
          <reference field="4294967294" count="1" selected="0">
            <x v="0"/>
          </reference>
          <reference field="0" count="1" selected="0">
            <x v="3"/>
          </reference>
        </references>
      </pivotArea>
    </chartFormat>
    <chartFormat chart="39" format="40">
      <pivotArea type="data" outline="0" fieldPosition="0">
        <references count="2">
          <reference field="4294967294" count="1" selected="0">
            <x v="0"/>
          </reference>
          <reference field="0" count="1" selected="0">
            <x v="0"/>
          </reference>
        </references>
      </pivotArea>
    </chartFormat>
    <chartFormat chart="63" format="41" series="1">
      <pivotArea type="data" outline="0" fieldPosition="0">
        <references count="1">
          <reference field="4294967294" count="1" selected="0">
            <x v="0"/>
          </reference>
        </references>
      </pivotArea>
    </chartFormat>
    <chartFormat chart="63" format="42">
      <pivotArea type="data" outline="0" fieldPosition="0">
        <references count="2">
          <reference field="4294967294" count="1" selected="0">
            <x v="0"/>
          </reference>
          <reference field="0" count="1" selected="0">
            <x v="0"/>
          </reference>
        </references>
      </pivotArea>
    </chartFormat>
    <chartFormat chart="63" format="43">
      <pivotArea type="data" outline="0" fieldPosition="0">
        <references count="2">
          <reference field="4294967294" count="1" selected="0">
            <x v="0"/>
          </reference>
          <reference field="0" count="1" selected="0">
            <x v="1"/>
          </reference>
        </references>
      </pivotArea>
    </chartFormat>
    <chartFormat chart="63" format="44">
      <pivotArea type="data" outline="0" fieldPosition="0">
        <references count="2">
          <reference field="4294967294" count="1" selected="0">
            <x v="0"/>
          </reference>
          <reference field="0" count="1" selected="0">
            <x v="2"/>
          </reference>
        </references>
      </pivotArea>
    </chartFormat>
    <chartFormat chart="63" format="45">
      <pivotArea type="data" outline="0" fieldPosition="0">
        <references count="2">
          <reference field="4294967294" count="1" selected="0">
            <x v="0"/>
          </reference>
          <reference field="0" count="1" selected="0">
            <x v="3"/>
          </reference>
        </references>
      </pivotArea>
    </chartFormat>
    <chartFormat chart="64" format="46" series="1">
      <pivotArea type="data" outline="0" fieldPosition="0">
        <references count="1">
          <reference field="4294967294" count="1" selected="0">
            <x v="0"/>
          </reference>
        </references>
      </pivotArea>
    </chartFormat>
    <chartFormat chart="64" format="47">
      <pivotArea type="data" outline="0" fieldPosition="0">
        <references count="2">
          <reference field="4294967294" count="1" selected="0">
            <x v="0"/>
          </reference>
          <reference field="0" count="1" selected="0">
            <x v="0"/>
          </reference>
        </references>
      </pivotArea>
    </chartFormat>
    <chartFormat chart="64" format="48">
      <pivotArea type="data" outline="0" fieldPosition="0">
        <references count="2">
          <reference field="4294967294" count="1" selected="0">
            <x v="0"/>
          </reference>
          <reference field="0" count="1" selected="0">
            <x v="1"/>
          </reference>
        </references>
      </pivotArea>
    </chartFormat>
    <chartFormat chart="64" format="49">
      <pivotArea type="data" outline="0" fieldPosition="0">
        <references count="2">
          <reference field="4294967294" count="1" selected="0">
            <x v="0"/>
          </reference>
          <reference field="0" count="1" selected="0">
            <x v="2"/>
          </reference>
        </references>
      </pivotArea>
    </chartFormat>
    <chartFormat chart="64" format="50">
      <pivotArea type="data" outline="0" fieldPosition="0">
        <references count="2">
          <reference field="4294967294" count="1" selected="0">
            <x v="0"/>
          </reference>
          <reference field="0" count="1" selected="0">
            <x v="3"/>
          </reference>
        </references>
      </pivotArea>
    </chartFormat>
    <chartFormat chart="65" format="41" series="1">
      <pivotArea type="data" outline="0" fieldPosition="0">
        <references count="1">
          <reference field="4294967294" count="1" selected="0">
            <x v="0"/>
          </reference>
        </references>
      </pivotArea>
    </chartFormat>
    <chartFormat chart="65" format="42">
      <pivotArea type="data" outline="0" fieldPosition="0">
        <references count="2">
          <reference field="4294967294" count="1" selected="0">
            <x v="0"/>
          </reference>
          <reference field="0" count="1" selected="0">
            <x v="0"/>
          </reference>
        </references>
      </pivotArea>
    </chartFormat>
    <chartFormat chart="65" format="43">
      <pivotArea type="data" outline="0" fieldPosition="0">
        <references count="2">
          <reference field="4294967294" count="1" selected="0">
            <x v="0"/>
          </reference>
          <reference field="0" count="1" selected="0">
            <x v="1"/>
          </reference>
        </references>
      </pivotArea>
    </chartFormat>
    <chartFormat chart="65" format="44">
      <pivotArea type="data" outline="0" fieldPosition="0">
        <references count="2">
          <reference field="4294967294" count="1" selected="0">
            <x v="0"/>
          </reference>
          <reference field="0" count="1" selected="0">
            <x v="2"/>
          </reference>
        </references>
      </pivotArea>
    </chartFormat>
    <chartFormat chart="65" format="45">
      <pivotArea type="data" outline="0" fieldPosition="0">
        <references count="2">
          <reference field="4294967294" count="1" selected="0">
            <x v="0"/>
          </reference>
          <reference field="0" count="1" selected="0">
            <x v="3"/>
          </reference>
        </references>
      </pivotArea>
    </chartFormat>
  </chartFormats>
  <pivotHierarchies count="36">
    <pivotHierarchy dragToData="1"/>
    <pivotHierarchy multipleItemSelectionAllowed="1" dragToData="1">
      <members count="9" level="1">
        <member name="[Europe_Sales_Records].[Country].&amp;[Croatia]"/>
        <member name="[Europe_Sales_Records].[Country].&amp;[Cyprus]"/>
        <member name="[Europe_Sales_Records].[Country].&amp;[Czech Republic]"/>
        <member name="[Europe_Sales_Records].[Country].&amp;[Denmark]"/>
        <member name="[Europe_Sales_Records].[Country].&amp;[Estonia]"/>
        <member name="[Europe_Sales_Records].[Country].&amp;[Finland]"/>
        <member name="[Europe_Sales_Records].[Country].&amp;[France]"/>
        <member name="[Europe_Sales_Records].[Country].&amp;[Georgia]"/>
        <member name="[Europe_Sales_Records].[Country].&amp;[German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urope_Sales_Records].[Order Date (Year)].&amp;[2016]"/>
      </members>
    </pivotHierarchy>
    <pivotHierarchy dragToData="1"/>
    <pivotHierarchy dragToData="1"/>
    <pivotHierarchy dragToRow="0" dragToCol="0" dragToPage="0" dragToData="1"/>
    <pivotHierarchy dragToRow="0" dragToCol="0" dragToPage="0" dragToData="1"/>
    <pivotHierarchy dragToData="1" caption="Count of Total Profit"/>
    <pivotHierarchy dragToData="1"/>
    <pivotHierarchy dragToData="1"/>
    <pivotHierarchy dragToData="1"/>
    <pivotHierarchy dragToData="1"/>
    <pivotHierarchy dragToData="1"/>
    <pivotHierarchy dragToData="1" caption="Sum of Total Profit"/>
    <pivotHierarchy dragToData="1"/>
    <pivotHierarchy dragToData="1" caption="kldfl"/>
    <pivotHierarchy dragToData="1"/>
    <pivotHierarchy dragToData="1"/>
    <pivotHierarchy dragToData="1"/>
    <pivotHierarchy dragToData="1" caption="Sum of Total Cost"/>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urope_Sales_Records">
        <x15:activeTabTopLevelEntity name="[Europe_Sales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7DB703-2F11-4115-BCDD-4B1F5F372CC5}" name="PivotTable22" cacheId="738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Y2:Z12" firstHeaderRow="1" firstDataRow="1" firstDataCol="1"/>
  <pivotFields count="3">
    <pivotField axis="axisRow" allDrilled="1" subtotalTop="0" showAll="0" dataSourceSort="1" defaultSubtotal="0" defaultAttributeDrillState="1">
      <items count="9">
        <item s="1" x="0"/>
        <item s="1" x="1"/>
        <item s="1" x="2"/>
        <item s="1" x="3"/>
        <item s="1" x="4"/>
        <item s="1" x="5"/>
        <item s="1" x="6"/>
        <item s="1" x="7"/>
        <item s="1"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Sum of Total Revenue" fld="1" baseField="0" baseItem="0"/>
  </dataFields>
  <pivotHierarchies count="3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urope_Sales_Records].[Order Date (Year)].&amp;[2016]"/>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urope_Sales_Records">
        <x15:activeTabTopLevelEntity name="[Europe_Sales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A11BAA-4F0E-4432-A0CE-B80D6F23B8D5}" name="PivotTable21" cacheId="32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Q21:R32" firstHeaderRow="1" firstDataRow="1" firstDataCol="1"/>
  <pivotFields count="16">
    <pivotField showAll="0"/>
    <pivotField axis="axisRow" showAll="0" measureFilter="1" sortType="descending">
      <items count="49">
        <item x="30"/>
        <item x="39"/>
        <item x="25"/>
        <item x="2"/>
        <item x="44"/>
        <item x="9"/>
        <item x="1"/>
        <item x="3"/>
        <item x="41"/>
        <item x="22"/>
        <item x="0"/>
        <item x="26"/>
        <item x="4"/>
        <item x="8"/>
        <item x="32"/>
        <item x="47"/>
        <item x="38"/>
        <item x="36"/>
        <item x="28"/>
        <item x="40"/>
        <item x="45"/>
        <item x="37"/>
        <item x="27"/>
        <item x="14"/>
        <item x="18"/>
        <item x="29"/>
        <item x="6"/>
        <item x="35"/>
        <item x="21"/>
        <item x="31"/>
        <item x="23"/>
        <item x="5"/>
        <item x="11"/>
        <item x="24"/>
        <item x="17"/>
        <item x="16"/>
        <item x="46"/>
        <item x="12"/>
        <item x="10"/>
        <item x="15"/>
        <item x="42"/>
        <item x="20"/>
        <item x="33"/>
        <item x="34"/>
        <item x="7"/>
        <item x="13"/>
        <item x="19"/>
        <item x="4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numFmtId="14" showAll="0"/>
    <pivotField showAll="0"/>
    <pivotField numFmtId="14" showAll="0"/>
    <pivotField showAll="0"/>
    <pivotField showAll="0"/>
    <pivotField showAll="0"/>
    <pivotField showAll="0"/>
    <pivotField showAll="0"/>
    <pivotField showAll="0"/>
    <pivotField showAll="0"/>
    <pivotField showAll="0"/>
  </pivotFields>
  <rowFields count="1">
    <field x="1"/>
  </rowFields>
  <rowItems count="11">
    <i>
      <x v="38"/>
    </i>
    <i>
      <x v="1"/>
    </i>
    <i>
      <x v="22"/>
    </i>
    <i>
      <x v="36"/>
    </i>
    <i>
      <x v="6"/>
    </i>
    <i>
      <x v="45"/>
    </i>
    <i>
      <x v="37"/>
    </i>
    <i>
      <x v="17"/>
    </i>
    <i>
      <x v="28"/>
    </i>
    <i>
      <x v="27"/>
    </i>
    <i t="grand">
      <x/>
    </i>
  </rowItems>
  <colItems count="1">
    <i/>
  </colItems>
  <dataFields count="1">
    <dataField name="Count of Sales Channel" fld="3" subtotal="count" baseField="1" baseItem="31"/>
  </dataField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B55C51-CC20-4218-8AE4-9BA2DB3F2EEA}" name="PivotTable20" cacheId="737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BB2:BL15" firstHeaderRow="1" firstDataRow="2" firstDataCol="1"/>
  <pivotFields count="4">
    <pivotField axis="axisCol" allDrilled="1" subtotalTop="0" showAll="0" dataSourceSort="1" defaultSubtotal="0" defaultAttributeDrillState="1">
      <items count="47">
        <item s="1" x="0"/>
        <item s="1" x="1"/>
        <item s="1" x="2"/>
        <item s="1" x="3"/>
        <item s="1" x="4"/>
        <item s="1" x="5"/>
        <item s="1" x="6"/>
        <item s="1" x="7"/>
        <item s="1"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s>
    </pivotField>
    <pivotField dataField="1" subtotalTop="0" showAll="0" defaultSubtotal="0"/>
    <pivotField axis="axisRow" allDrilled="1" subtotalTop="0" showAll="0" defaultSubtotal="0" defaultAttributeDrillState="1">
      <items count="11">
        <item x="10"/>
        <item x="0"/>
        <item x="1"/>
        <item x="2"/>
        <item x="3"/>
        <item x="4"/>
        <item x="5"/>
        <item x="6"/>
        <item x="7"/>
        <item x="8"/>
        <item x="9"/>
      </items>
    </pivotField>
    <pivotField allDrilled="1" subtotalTop="0" showAll="0" dataSourceSort="1" defaultSubtotal="0" defaultAttributeDrillState="1"/>
  </pivotFields>
  <rowFields count="1">
    <field x="2"/>
  </rowFields>
  <rowItems count="12">
    <i>
      <x/>
    </i>
    <i>
      <x v="1"/>
    </i>
    <i>
      <x v="2"/>
    </i>
    <i>
      <x v="3"/>
    </i>
    <i>
      <x v="4"/>
    </i>
    <i>
      <x v="5"/>
    </i>
    <i>
      <x v="6"/>
    </i>
    <i>
      <x v="7"/>
    </i>
    <i>
      <x v="8"/>
    </i>
    <i>
      <x v="9"/>
    </i>
    <i>
      <x v="10"/>
    </i>
    <i t="grand">
      <x/>
    </i>
  </rowItems>
  <colFields count="1">
    <field x="0"/>
  </colFields>
  <colItems count="10">
    <i>
      <x/>
    </i>
    <i>
      <x v="1"/>
    </i>
    <i>
      <x v="2"/>
    </i>
    <i>
      <x v="3"/>
    </i>
    <i>
      <x v="4"/>
    </i>
    <i>
      <x v="5"/>
    </i>
    <i>
      <x v="6"/>
    </i>
    <i>
      <x v="7"/>
    </i>
    <i>
      <x v="8"/>
    </i>
    <i t="grand">
      <x/>
    </i>
  </colItems>
  <dataFields count="1">
    <dataField name="Sum of Units Sold" fld="1" baseField="0" baseItem="0"/>
  </dataFields>
  <chartFormats count="75">
    <chartFormat chart="2" format="2" series="1">
      <pivotArea type="data" outline="0" fieldPosition="0">
        <references count="1">
          <reference field="4294967294" count="1" selected="0">
            <x v="0"/>
          </reference>
        </references>
      </pivotArea>
    </chartFormat>
    <chartFormat chart="2" format="5" series="1">
      <pivotArea type="data" outline="0" fieldPosition="0">
        <references count="2">
          <reference field="4294967294" count="1" selected="0">
            <x v="0"/>
          </reference>
          <reference field="0" count="1" selected="0">
            <x v="31"/>
          </reference>
        </references>
      </pivotArea>
    </chartFormat>
    <chartFormat chart="2" format="6" series="1">
      <pivotArea type="data" outline="0" fieldPosition="0">
        <references count="2">
          <reference field="4294967294" count="1" selected="0">
            <x v="0"/>
          </reference>
          <reference field="0" count="1" selected="0">
            <x v="32"/>
          </reference>
        </references>
      </pivotArea>
    </chartFormat>
    <chartFormat chart="2" format="7" series="1">
      <pivotArea type="data" outline="0" fieldPosition="0">
        <references count="2">
          <reference field="4294967294" count="1" selected="0">
            <x v="0"/>
          </reference>
          <reference field="0" count="1" selected="0">
            <x v="33"/>
          </reference>
        </references>
      </pivotArea>
    </chartFormat>
    <chartFormat chart="2" format="8" series="1">
      <pivotArea type="data" outline="0" fieldPosition="0">
        <references count="2">
          <reference field="4294967294" count="1" selected="0">
            <x v="0"/>
          </reference>
          <reference field="0" count="1" selected="0">
            <x v="34"/>
          </reference>
        </references>
      </pivotArea>
    </chartFormat>
    <chartFormat chart="2" format="9" series="1">
      <pivotArea type="data" outline="0" fieldPosition="0">
        <references count="2">
          <reference field="4294967294" count="1" selected="0">
            <x v="0"/>
          </reference>
          <reference field="0" count="1" selected="0">
            <x v="35"/>
          </reference>
        </references>
      </pivotArea>
    </chartFormat>
    <chartFormat chart="2" format="10" series="1">
      <pivotArea type="data" outline="0" fieldPosition="0">
        <references count="2">
          <reference field="4294967294" count="1" selected="0">
            <x v="0"/>
          </reference>
          <reference field="0" count="1" selected="0">
            <x v="36"/>
          </reference>
        </references>
      </pivotArea>
    </chartFormat>
    <chartFormat chart="2" format="11" series="1">
      <pivotArea type="data" outline="0" fieldPosition="0">
        <references count="2">
          <reference field="4294967294" count="1" selected="0">
            <x v="0"/>
          </reference>
          <reference field="0" count="1" selected="0">
            <x v="37"/>
          </reference>
        </references>
      </pivotArea>
    </chartFormat>
    <chartFormat chart="2" format="12" series="1">
      <pivotArea type="data" outline="0" fieldPosition="0">
        <references count="2">
          <reference field="4294967294" count="1" selected="0">
            <x v="0"/>
          </reference>
          <reference field="0" count="1" selected="0">
            <x v="0"/>
          </reference>
        </references>
      </pivotArea>
    </chartFormat>
    <chartFormat chart="2" format="13" series="1">
      <pivotArea type="data" outline="0" fieldPosition="0">
        <references count="2">
          <reference field="4294967294" count="1" selected="0">
            <x v="0"/>
          </reference>
          <reference field="0" count="1" selected="0">
            <x v="1"/>
          </reference>
        </references>
      </pivotArea>
    </chartFormat>
    <chartFormat chart="2" format="14" series="1">
      <pivotArea type="data" outline="0" fieldPosition="0">
        <references count="2">
          <reference field="4294967294" count="1" selected="0">
            <x v="0"/>
          </reference>
          <reference field="0" count="1" selected="0">
            <x v="2"/>
          </reference>
        </references>
      </pivotArea>
    </chartFormat>
    <chartFormat chart="2" format="15" series="1">
      <pivotArea type="data" outline="0" fieldPosition="0">
        <references count="2">
          <reference field="4294967294" count="1" selected="0">
            <x v="0"/>
          </reference>
          <reference field="0" count="1" selected="0">
            <x v="3"/>
          </reference>
        </references>
      </pivotArea>
    </chartFormat>
    <chartFormat chart="2" format="16" series="1">
      <pivotArea type="data" outline="0" fieldPosition="0">
        <references count="2">
          <reference field="4294967294" count="1" selected="0">
            <x v="0"/>
          </reference>
          <reference field="0" count="1" selected="0">
            <x v="4"/>
          </reference>
        </references>
      </pivotArea>
    </chartFormat>
    <chartFormat chart="2" format="17" series="1">
      <pivotArea type="data" outline="0" fieldPosition="0">
        <references count="2">
          <reference field="4294967294" count="1" selected="0">
            <x v="0"/>
          </reference>
          <reference field="0" count="1" selected="0">
            <x v="5"/>
          </reference>
        </references>
      </pivotArea>
    </chartFormat>
    <chartFormat chart="2" format="18" series="1">
      <pivotArea type="data" outline="0" fieldPosition="0">
        <references count="2">
          <reference field="4294967294" count="1" selected="0">
            <x v="0"/>
          </reference>
          <reference field="0" count="1" selected="0">
            <x v="6"/>
          </reference>
        </references>
      </pivotArea>
    </chartFormat>
    <chartFormat chart="2" format="19" series="1">
      <pivotArea type="data" outline="0" fieldPosition="0">
        <references count="2">
          <reference field="4294967294" count="1" selected="0">
            <x v="0"/>
          </reference>
          <reference field="0" count="1" selected="0">
            <x v="7"/>
          </reference>
        </references>
      </pivotArea>
    </chartFormat>
    <chartFormat chart="2" format="20" series="1">
      <pivotArea type="data" outline="0" fieldPosition="0">
        <references count="2">
          <reference field="4294967294" count="1" selected="0">
            <x v="0"/>
          </reference>
          <reference field="0" count="1" selected="0">
            <x v="8"/>
          </reference>
        </references>
      </pivotArea>
    </chartFormat>
    <chartFormat chart="2" format="21" series="1">
      <pivotArea type="data" outline="0" fieldPosition="0">
        <references count="2">
          <reference field="4294967294" count="1" selected="0">
            <x v="0"/>
          </reference>
          <reference field="0" count="1" selected="0">
            <x v="9"/>
          </reference>
        </references>
      </pivotArea>
    </chartFormat>
    <chartFormat chart="2" format="22" series="1">
      <pivotArea type="data" outline="0" fieldPosition="0">
        <references count="2">
          <reference field="4294967294" count="1" selected="0">
            <x v="0"/>
          </reference>
          <reference field="0" count="1" selected="0">
            <x v="10"/>
          </reference>
        </references>
      </pivotArea>
    </chartFormat>
    <chartFormat chart="2" format="23" series="1">
      <pivotArea type="data" outline="0" fieldPosition="0">
        <references count="2">
          <reference field="4294967294" count="1" selected="0">
            <x v="0"/>
          </reference>
          <reference field="0" count="1" selected="0">
            <x v="11"/>
          </reference>
        </references>
      </pivotArea>
    </chartFormat>
    <chartFormat chart="2" format="24" series="1">
      <pivotArea type="data" outline="0" fieldPosition="0">
        <references count="2">
          <reference field="4294967294" count="1" selected="0">
            <x v="0"/>
          </reference>
          <reference field="0" count="1" selected="0">
            <x v="12"/>
          </reference>
        </references>
      </pivotArea>
    </chartFormat>
    <chartFormat chart="2" format="25" series="1">
      <pivotArea type="data" outline="0" fieldPosition="0">
        <references count="2">
          <reference field="4294967294" count="1" selected="0">
            <x v="0"/>
          </reference>
          <reference field="0" count="1" selected="0">
            <x v="13"/>
          </reference>
        </references>
      </pivotArea>
    </chartFormat>
    <chartFormat chart="2" format="26" series="1">
      <pivotArea type="data" outline="0" fieldPosition="0">
        <references count="2">
          <reference field="4294967294" count="1" selected="0">
            <x v="0"/>
          </reference>
          <reference field="0" count="1" selected="0">
            <x v="14"/>
          </reference>
        </references>
      </pivotArea>
    </chartFormat>
    <chartFormat chart="2" format="27" series="1">
      <pivotArea type="data" outline="0" fieldPosition="0">
        <references count="2">
          <reference field="4294967294" count="1" selected="0">
            <x v="0"/>
          </reference>
          <reference field="0" count="1" selected="0">
            <x v="15"/>
          </reference>
        </references>
      </pivotArea>
    </chartFormat>
    <chartFormat chart="2" format="28" series="1">
      <pivotArea type="data" outline="0" fieldPosition="0">
        <references count="2">
          <reference field="4294967294" count="1" selected="0">
            <x v="0"/>
          </reference>
          <reference field="0" count="1" selected="0">
            <x v="16"/>
          </reference>
        </references>
      </pivotArea>
    </chartFormat>
    <chartFormat chart="2" format="29" series="1">
      <pivotArea type="data" outline="0" fieldPosition="0">
        <references count="2">
          <reference field="4294967294" count="1" selected="0">
            <x v="0"/>
          </reference>
          <reference field="0" count="1" selected="0">
            <x v="17"/>
          </reference>
        </references>
      </pivotArea>
    </chartFormat>
    <chartFormat chart="2" format="30" series="1">
      <pivotArea type="data" outline="0" fieldPosition="0">
        <references count="2">
          <reference field="4294967294" count="1" selected="0">
            <x v="0"/>
          </reference>
          <reference field="0" count="1" selected="0">
            <x v="18"/>
          </reference>
        </references>
      </pivotArea>
    </chartFormat>
    <chartFormat chart="2" format="31" series="1">
      <pivotArea type="data" outline="0" fieldPosition="0">
        <references count="2">
          <reference field="4294967294" count="1" selected="0">
            <x v="0"/>
          </reference>
          <reference field="0" count="1" selected="0">
            <x v="19"/>
          </reference>
        </references>
      </pivotArea>
    </chartFormat>
    <chartFormat chart="2" format="32" series="1">
      <pivotArea type="data" outline="0" fieldPosition="0">
        <references count="2">
          <reference field="4294967294" count="1" selected="0">
            <x v="0"/>
          </reference>
          <reference field="0" count="1" selected="0">
            <x v="20"/>
          </reference>
        </references>
      </pivotArea>
    </chartFormat>
    <chartFormat chart="2" format="33" series="1">
      <pivotArea type="data" outline="0" fieldPosition="0">
        <references count="2">
          <reference field="4294967294" count="1" selected="0">
            <x v="0"/>
          </reference>
          <reference field="0" count="1" selected="0">
            <x v="21"/>
          </reference>
        </references>
      </pivotArea>
    </chartFormat>
    <chartFormat chart="2" format="34" series="1">
      <pivotArea type="data" outline="0" fieldPosition="0">
        <references count="2">
          <reference field="4294967294" count="1" selected="0">
            <x v="0"/>
          </reference>
          <reference field="0" count="1" selected="0">
            <x v="22"/>
          </reference>
        </references>
      </pivotArea>
    </chartFormat>
    <chartFormat chart="2" format="35" series="1">
      <pivotArea type="data" outline="0" fieldPosition="0">
        <references count="2">
          <reference field="4294967294" count="1" selected="0">
            <x v="0"/>
          </reference>
          <reference field="0" count="1" selected="0">
            <x v="23"/>
          </reference>
        </references>
      </pivotArea>
    </chartFormat>
    <chartFormat chart="2" format="36" series="1">
      <pivotArea type="data" outline="0" fieldPosition="0">
        <references count="2">
          <reference field="4294967294" count="1" selected="0">
            <x v="0"/>
          </reference>
          <reference field="0" count="1" selected="0">
            <x v="24"/>
          </reference>
        </references>
      </pivotArea>
    </chartFormat>
    <chartFormat chart="2" format="37" series="1">
      <pivotArea type="data" outline="0" fieldPosition="0">
        <references count="2">
          <reference field="4294967294" count="1" selected="0">
            <x v="0"/>
          </reference>
          <reference field="0" count="1" selected="0">
            <x v="25"/>
          </reference>
        </references>
      </pivotArea>
    </chartFormat>
    <chartFormat chart="2" format="38" series="1">
      <pivotArea type="data" outline="0" fieldPosition="0">
        <references count="2">
          <reference field="4294967294" count="1" selected="0">
            <x v="0"/>
          </reference>
          <reference field="0" count="1" selected="0">
            <x v="26"/>
          </reference>
        </references>
      </pivotArea>
    </chartFormat>
    <chartFormat chart="2" format="39" series="1">
      <pivotArea type="data" outline="0" fieldPosition="0">
        <references count="2">
          <reference field="4294967294" count="1" selected="0">
            <x v="0"/>
          </reference>
          <reference field="0" count="1" selected="0">
            <x v="27"/>
          </reference>
        </references>
      </pivotArea>
    </chartFormat>
    <chartFormat chart="2" format="40" series="1">
      <pivotArea type="data" outline="0" fieldPosition="0">
        <references count="2">
          <reference field="4294967294" count="1" selected="0">
            <x v="0"/>
          </reference>
          <reference field="0" count="1" selected="0">
            <x v="29"/>
          </reference>
        </references>
      </pivotArea>
    </chartFormat>
    <chartFormat chart="2" format="41" series="1">
      <pivotArea type="data" outline="0" fieldPosition="0">
        <references count="2">
          <reference field="4294967294" count="1" selected="0">
            <x v="0"/>
          </reference>
          <reference field="0" count="1" selected="0">
            <x v="30"/>
          </reference>
        </references>
      </pivotArea>
    </chartFormat>
    <chartFormat chart="2" format="42" series="1">
      <pivotArea type="data" outline="0" fieldPosition="0">
        <references count="2">
          <reference field="4294967294" count="1" selected="0">
            <x v="0"/>
          </reference>
          <reference field="0" count="1" selected="0">
            <x v="38"/>
          </reference>
        </references>
      </pivotArea>
    </chartFormat>
    <chartFormat chart="2" format="43" series="1">
      <pivotArea type="data" outline="0" fieldPosition="0">
        <references count="2">
          <reference field="4294967294" count="1" selected="0">
            <x v="0"/>
          </reference>
          <reference field="0" count="1" selected="0">
            <x v="39"/>
          </reference>
        </references>
      </pivotArea>
    </chartFormat>
    <chartFormat chart="2" format="44" series="1">
      <pivotArea type="data" outline="0" fieldPosition="0">
        <references count="2">
          <reference field="4294967294" count="1" selected="0">
            <x v="0"/>
          </reference>
          <reference field="0" count="1" selected="0">
            <x v="40"/>
          </reference>
        </references>
      </pivotArea>
    </chartFormat>
    <chartFormat chart="2" format="45" series="1">
      <pivotArea type="data" outline="0" fieldPosition="0">
        <references count="2">
          <reference field="4294967294" count="1" selected="0">
            <x v="0"/>
          </reference>
          <reference field="0" count="1" selected="0">
            <x v="41"/>
          </reference>
        </references>
      </pivotArea>
    </chartFormat>
    <chartFormat chart="2" format="46" series="1">
      <pivotArea type="data" outline="0" fieldPosition="0">
        <references count="2">
          <reference field="4294967294" count="1" selected="0">
            <x v="0"/>
          </reference>
          <reference field="0" count="1" selected="0">
            <x v="28"/>
          </reference>
        </references>
      </pivotArea>
    </chartFormat>
    <chartFormat chart="2" format="47" series="1">
      <pivotArea type="data" outline="0" fieldPosition="0">
        <references count="2">
          <reference field="4294967294" count="1" selected="0">
            <x v="0"/>
          </reference>
          <reference field="0" count="1" selected="0">
            <x v="42"/>
          </reference>
        </references>
      </pivotArea>
    </chartFormat>
    <chartFormat chart="2" format="48" series="1">
      <pivotArea type="data" outline="0" fieldPosition="0">
        <references count="2">
          <reference field="4294967294" count="1" selected="0">
            <x v="0"/>
          </reference>
          <reference field="0" count="1" selected="0">
            <x v="43"/>
          </reference>
        </references>
      </pivotArea>
    </chartFormat>
    <chartFormat chart="2" format="49" series="1">
      <pivotArea type="data" outline="0" fieldPosition="0">
        <references count="2">
          <reference field="4294967294" count="1" selected="0">
            <x v="0"/>
          </reference>
          <reference field="0" count="1" selected="0">
            <x v="44"/>
          </reference>
        </references>
      </pivotArea>
    </chartFormat>
    <chartFormat chart="2" format="50" series="1">
      <pivotArea type="data" outline="0" fieldPosition="0">
        <references count="2">
          <reference field="4294967294" count="1" selected="0">
            <x v="0"/>
          </reference>
          <reference field="0" count="1" selected="0">
            <x v="45"/>
          </reference>
        </references>
      </pivotArea>
    </chartFormat>
    <chartFormat chart="2" format="51" series="1">
      <pivotArea type="data" outline="0" fieldPosition="0">
        <references count="2">
          <reference field="4294967294" count="1" selected="0">
            <x v="0"/>
          </reference>
          <reference field="0" count="1" selected="0">
            <x v="46"/>
          </reference>
        </references>
      </pivotArea>
    </chartFormat>
    <chartFormat chart="19" format="52" series="1">
      <pivotArea type="data" outline="0" fieldPosition="0">
        <references count="2">
          <reference field="4294967294" count="1" selected="0">
            <x v="0"/>
          </reference>
          <reference field="0" count="1" selected="0">
            <x v="0"/>
          </reference>
        </references>
      </pivotArea>
    </chartFormat>
    <chartFormat chart="19" format="53" series="1">
      <pivotArea type="data" outline="0" fieldPosition="0">
        <references count="2">
          <reference field="4294967294" count="1" selected="0">
            <x v="0"/>
          </reference>
          <reference field="0" count="1" selected="0">
            <x v="1"/>
          </reference>
        </references>
      </pivotArea>
    </chartFormat>
    <chartFormat chart="19" format="54" series="1">
      <pivotArea type="data" outline="0" fieldPosition="0">
        <references count="2">
          <reference field="4294967294" count="1" selected="0">
            <x v="0"/>
          </reference>
          <reference field="0" count="1" selected="0">
            <x v="2"/>
          </reference>
        </references>
      </pivotArea>
    </chartFormat>
    <chartFormat chart="19" format="55" series="1">
      <pivotArea type="data" outline="0" fieldPosition="0">
        <references count="2">
          <reference field="4294967294" count="1" selected="0">
            <x v="0"/>
          </reference>
          <reference field="0" count="1" selected="0">
            <x v="3"/>
          </reference>
        </references>
      </pivotArea>
    </chartFormat>
    <chartFormat chart="19" format="56" series="1">
      <pivotArea type="data" outline="0" fieldPosition="0">
        <references count="2">
          <reference field="4294967294" count="1" selected="0">
            <x v="0"/>
          </reference>
          <reference field="0" count="1" selected="0">
            <x v="4"/>
          </reference>
        </references>
      </pivotArea>
    </chartFormat>
    <chartFormat chart="19" format="57" series="1">
      <pivotArea type="data" outline="0" fieldPosition="0">
        <references count="2">
          <reference field="4294967294" count="1" selected="0">
            <x v="0"/>
          </reference>
          <reference field="0" count="1" selected="0">
            <x v="5"/>
          </reference>
        </references>
      </pivotArea>
    </chartFormat>
    <chartFormat chart="19" format="58" series="1">
      <pivotArea type="data" outline="0" fieldPosition="0">
        <references count="2">
          <reference field="4294967294" count="1" selected="0">
            <x v="0"/>
          </reference>
          <reference field="0" count="1" selected="0">
            <x v="6"/>
          </reference>
        </references>
      </pivotArea>
    </chartFormat>
    <chartFormat chart="19" format="59" series="1">
      <pivotArea type="data" outline="0" fieldPosition="0">
        <references count="2">
          <reference field="4294967294" count="1" selected="0">
            <x v="0"/>
          </reference>
          <reference field="0" count="1" selected="0">
            <x v="7"/>
          </reference>
        </references>
      </pivotArea>
    </chartFormat>
    <chartFormat chart="19" format="60" series="1">
      <pivotArea type="data" outline="0" fieldPosition="0">
        <references count="2">
          <reference field="4294967294" count="1" selected="0">
            <x v="0"/>
          </reference>
          <reference field="0" count="1" selected="0">
            <x v="8"/>
          </reference>
        </references>
      </pivotArea>
    </chartFormat>
    <chartFormat chart="20" format="61" series="1">
      <pivotArea type="data" outline="0" fieldPosition="0">
        <references count="2">
          <reference field="4294967294" count="1" selected="0">
            <x v="0"/>
          </reference>
          <reference field="0" count="1" selected="0">
            <x v="0"/>
          </reference>
        </references>
      </pivotArea>
    </chartFormat>
    <chartFormat chart="20" format="62" series="1">
      <pivotArea type="data" outline="0" fieldPosition="0">
        <references count="2">
          <reference field="4294967294" count="1" selected="0">
            <x v="0"/>
          </reference>
          <reference field="0" count="1" selected="0">
            <x v="1"/>
          </reference>
        </references>
      </pivotArea>
    </chartFormat>
    <chartFormat chart="20" format="63" series="1">
      <pivotArea type="data" outline="0" fieldPosition="0">
        <references count="2">
          <reference field="4294967294" count="1" selected="0">
            <x v="0"/>
          </reference>
          <reference field="0" count="1" selected="0">
            <x v="2"/>
          </reference>
        </references>
      </pivotArea>
    </chartFormat>
    <chartFormat chart="20" format="64" series="1">
      <pivotArea type="data" outline="0" fieldPosition="0">
        <references count="2">
          <reference field="4294967294" count="1" selected="0">
            <x v="0"/>
          </reference>
          <reference field="0" count="1" selected="0">
            <x v="3"/>
          </reference>
        </references>
      </pivotArea>
    </chartFormat>
    <chartFormat chart="20" format="65" series="1">
      <pivotArea type="data" outline="0" fieldPosition="0">
        <references count="2">
          <reference field="4294967294" count="1" selected="0">
            <x v="0"/>
          </reference>
          <reference field="0" count="1" selected="0">
            <x v="4"/>
          </reference>
        </references>
      </pivotArea>
    </chartFormat>
    <chartFormat chart="20" format="66" series="1">
      <pivotArea type="data" outline="0" fieldPosition="0">
        <references count="2">
          <reference field="4294967294" count="1" selected="0">
            <x v="0"/>
          </reference>
          <reference field="0" count="1" selected="0">
            <x v="5"/>
          </reference>
        </references>
      </pivotArea>
    </chartFormat>
    <chartFormat chart="20" format="67" series="1">
      <pivotArea type="data" outline="0" fieldPosition="0">
        <references count="2">
          <reference field="4294967294" count="1" selected="0">
            <x v="0"/>
          </reference>
          <reference field="0" count="1" selected="0">
            <x v="6"/>
          </reference>
        </references>
      </pivotArea>
    </chartFormat>
    <chartFormat chart="20" format="68" series="1">
      <pivotArea type="data" outline="0" fieldPosition="0">
        <references count="2">
          <reference field="4294967294" count="1" selected="0">
            <x v="0"/>
          </reference>
          <reference field="0" count="1" selected="0">
            <x v="7"/>
          </reference>
        </references>
      </pivotArea>
    </chartFormat>
    <chartFormat chart="20" format="69" series="1">
      <pivotArea type="data" outline="0" fieldPosition="0">
        <references count="2">
          <reference field="4294967294" count="1" selected="0">
            <x v="0"/>
          </reference>
          <reference field="0" count="1" selected="0">
            <x v="8"/>
          </reference>
        </references>
      </pivotArea>
    </chartFormat>
    <chartFormat chart="21" format="52" series="1">
      <pivotArea type="data" outline="0" fieldPosition="0">
        <references count="2">
          <reference field="4294967294" count="1" selected="0">
            <x v="0"/>
          </reference>
          <reference field="0" count="1" selected="0">
            <x v="0"/>
          </reference>
        </references>
      </pivotArea>
    </chartFormat>
    <chartFormat chart="21" format="53" series="1">
      <pivotArea type="data" outline="0" fieldPosition="0">
        <references count="2">
          <reference field="4294967294" count="1" selected="0">
            <x v="0"/>
          </reference>
          <reference field="0" count="1" selected="0">
            <x v="1"/>
          </reference>
        </references>
      </pivotArea>
    </chartFormat>
    <chartFormat chart="21" format="54" series="1">
      <pivotArea type="data" outline="0" fieldPosition="0">
        <references count="2">
          <reference field="4294967294" count="1" selected="0">
            <x v="0"/>
          </reference>
          <reference field="0" count="1" selected="0">
            <x v="2"/>
          </reference>
        </references>
      </pivotArea>
    </chartFormat>
    <chartFormat chart="21" format="55" series="1">
      <pivotArea type="data" outline="0" fieldPosition="0">
        <references count="2">
          <reference field="4294967294" count="1" selected="0">
            <x v="0"/>
          </reference>
          <reference field="0" count="1" selected="0">
            <x v="3"/>
          </reference>
        </references>
      </pivotArea>
    </chartFormat>
    <chartFormat chart="21" format="56" series="1">
      <pivotArea type="data" outline="0" fieldPosition="0">
        <references count="2">
          <reference field="4294967294" count="1" selected="0">
            <x v="0"/>
          </reference>
          <reference field="0" count="1" selected="0">
            <x v="4"/>
          </reference>
        </references>
      </pivotArea>
    </chartFormat>
    <chartFormat chart="21" format="57" series="1">
      <pivotArea type="data" outline="0" fieldPosition="0">
        <references count="2">
          <reference field="4294967294" count="1" selected="0">
            <x v="0"/>
          </reference>
          <reference field="0" count="1" selected="0">
            <x v="5"/>
          </reference>
        </references>
      </pivotArea>
    </chartFormat>
    <chartFormat chart="21" format="58" series="1">
      <pivotArea type="data" outline="0" fieldPosition="0">
        <references count="2">
          <reference field="4294967294" count="1" selected="0">
            <x v="0"/>
          </reference>
          <reference field="0" count="1" selected="0">
            <x v="6"/>
          </reference>
        </references>
      </pivotArea>
    </chartFormat>
    <chartFormat chart="21" format="59" series="1">
      <pivotArea type="data" outline="0" fieldPosition="0">
        <references count="2">
          <reference field="4294967294" count="1" selected="0">
            <x v="0"/>
          </reference>
          <reference field="0" count="1" selected="0">
            <x v="7"/>
          </reference>
        </references>
      </pivotArea>
    </chartFormat>
    <chartFormat chart="21" format="60" series="1">
      <pivotArea type="data" outline="0" fieldPosition="0">
        <references count="2">
          <reference field="4294967294" count="1" selected="0">
            <x v="0"/>
          </reference>
          <reference field="0" count="1" selected="0">
            <x v="8"/>
          </reference>
        </references>
      </pivotArea>
    </chartFormat>
  </chartFormats>
  <pivotHierarchies count="36">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urope_Sales_Records].[Order Date (Year)].&amp;[2016]"/>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urope_Sales_Records">
        <x15:activeTabTopLevelEntity name="[Europe_Sales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3269A7A-A8D0-443C-BCEC-563D5F8F702E}" name="PivotTable7" cacheId="32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L36:M41" firstHeaderRow="1" firstDataRow="1" firstDataCol="1"/>
  <pivotFields count="16">
    <pivotField showAll="0"/>
    <pivotField showAll="0"/>
    <pivotField showAll="0"/>
    <pivotField showAll="0"/>
    <pivotField axis="axisRow" showAll="0">
      <items count="5">
        <item x="0"/>
        <item x="3"/>
        <item x="2"/>
        <item x="1"/>
        <item t="default"/>
      </items>
    </pivotField>
    <pivotField numFmtId="14" showAll="0"/>
    <pivotField showAll="0"/>
    <pivotField numFmtId="14" showAll="0"/>
    <pivotField dataField="1"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Sum of Shipping Time" fld="8" baseField="0" baseItem="0"/>
  </dataFields>
  <chartFormats count="10">
    <chartFormat chart="40" format="11" series="1">
      <pivotArea type="data" outline="0" fieldPosition="0">
        <references count="1">
          <reference field="4294967294" count="1" selected="0">
            <x v="0"/>
          </reference>
        </references>
      </pivotArea>
    </chartFormat>
    <chartFormat chart="40" format="12">
      <pivotArea type="data" outline="0" fieldPosition="0">
        <references count="2">
          <reference field="4294967294" count="1" selected="0">
            <x v="0"/>
          </reference>
          <reference field="4" count="1" selected="0">
            <x v="0"/>
          </reference>
        </references>
      </pivotArea>
    </chartFormat>
    <chartFormat chart="40" format="13">
      <pivotArea type="data" outline="0" fieldPosition="0">
        <references count="2">
          <reference field="4294967294" count="1" selected="0">
            <x v="0"/>
          </reference>
          <reference field="4" count="1" selected="0">
            <x v="1"/>
          </reference>
        </references>
      </pivotArea>
    </chartFormat>
    <chartFormat chart="40" format="14">
      <pivotArea type="data" outline="0" fieldPosition="0">
        <references count="2">
          <reference field="4294967294" count="1" selected="0">
            <x v="0"/>
          </reference>
          <reference field="4" count="1" selected="0">
            <x v="2"/>
          </reference>
        </references>
      </pivotArea>
    </chartFormat>
    <chartFormat chart="40" format="15">
      <pivotArea type="data" outline="0" fieldPosition="0">
        <references count="2">
          <reference field="4294967294" count="1" selected="0">
            <x v="0"/>
          </reference>
          <reference field="4" count="1" selected="0">
            <x v="3"/>
          </reference>
        </references>
      </pivotArea>
    </chartFormat>
    <chartFormat chart="41" format="16" series="1">
      <pivotArea type="data" outline="0" fieldPosition="0">
        <references count="1">
          <reference field="4294967294" count="1" selected="0">
            <x v="0"/>
          </reference>
        </references>
      </pivotArea>
    </chartFormat>
    <chartFormat chart="41" format="17">
      <pivotArea type="data" outline="0" fieldPosition="0">
        <references count="2">
          <reference field="4294967294" count="1" selected="0">
            <x v="0"/>
          </reference>
          <reference field="4" count="1" selected="0">
            <x v="0"/>
          </reference>
        </references>
      </pivotArea>
    </chartFormat>
    <chartFormat chart="41" format="18">
      <pivotArea type="data" outline="0" fieldPosition="0">
        <references count="2">
          <reference field="4294967294" count="1" selected="0">
            <x v="0"/>
          </reference>
          <reference field="4" count="1" selected="0">
            <x v="1"/>
          </reference>
        </references>
      </pivotArea>
    </chartFormat>
    <chartFormat chart="41" format="19">
      <pivotArea type="data" outline="0" fieldPosition="0">
        <references count="2">
          <reference field="4294967294" count="1" selected="0">
            <x v="0"/>
          </reference>
          <reference field="4" count="1" selected="0">
            <x v="2"/>
          </reference>
        </references>
      </pivotArea>
    </chartFormat>
    <chartFormat chart="41" format="2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F8E4D4-235C-4E9B-8FCA-E49F887AD823}" name="PivotTable6" cacheId="738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L20:O32" firstHeaderRow="0" firstDataRow="1" firstDataCol="1"/>
  <pivotFields count="6">
    <pivotField axis="axisRow" allDrilled="1" subtotalTop="0" showAll="0" defaultSubtotal="0" defaultAttributeDrillState="1">
      <items count="11">
        <item x="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Fields count="1">
    <field x="-2"/>
  </colFields>
  <colItems count="3">
    <i>
      <x/>
    </i>
    <i i="1">
      <x v="1"/>
    </i>
    <i i="2">
      <x v="2"/>
    </i>
  </colItems>
  <dataFields count="3">
    <dataField name="Sum of Unit Cost" fld="1" baseField="0" baseItem="0"/>
    <dataField name="Sum of Unit Price" fld="2" baseField="0" baseItem="0"/>
    <dataField name="Sum of Unit Profit" fld="3" baseField="0" baseItem="0"/>
  </dataFields>
  <pivotHierarchies count="36">
    <pivotHierarchy dragToData="1"/>
    <pivotHierarchy multipleItemSelectionAllowed="1" dragToData="1">
      <members count="9" level="1">
        <member name="[Europe_Sales_Records].[Country].&amp;[Croatia]"/>
        <member name="[Europe_Sales_Records].[Country].&amp;[Cyprus]"/>
        <member name="[Europe_Sales_Records].[Country].&amp;[Czech Republic]"/>
        <member name="[Europe_Sales_Records].[Country].&amp;[Denmark]"/>
        <member name="[Europe_Sales_Records].[Country].&amp;[Estonia]"/>
        <member name="[Europe_Sales_Records].[Country].&amp;[Finland]"/>
        <member name="[Europe_Sales_Records].[Country].&amp;[France]"/>
        <member name="[Europe_Sales_Records].[Country].&amp;[Georgia]"/>
        <member name="[Europe_Sales_Records].[Country].&amp;[German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urope_Sales_Records].[Order Date (Year)].&amp;[2016]"/>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Unit Cost"/>
    <pivotHierarchy dragToData="1" caption="Count of Unit Cos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urope_Sales_Records">
        <x15:activeTabTopLevelEntity name="[Europe_Sales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8160901-589C-4161-B91B-B55129BB4A1A}" name="PivotTable8" cacheId="694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2">
  <location ref="Q3:T16" firstHeaderRow="0" firstDataRow="1" firstDataCol="1"/>
  <pivotFields count="6">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Total Profit" fld="1" baseField="0" baseItem="0"/>
    <dataField name="Sum of Total Revenue" fld="2" baseField="0" baseItem="0"/>
    <dataField name="Sum of Total Cost" fld="3" baseField="0" baseItem="0"/>
  </dataFields>
  <chartFormats count="12">
    <chartFormat chart="20" format="6" series="1">
      <pivotArea type="data" outline="0" fieldPosition="0">
        <references count="1">
          <reference field="4294967294" count="1" selected="0">
            <x v="0"/>
          </reference>
        </references>
      </pivotArea>
    </chartFormat>
    <chartFormat chart="20" format="7" series="1">
      <pivotArea type="data" outline="0" fieldPosition="0">
        <references count="1">
          <reference field="4294967294" count="1" selected="0">
            <x v="1"/>
          </reference>
        </references>
      </pivotArea>
    </chartFormat>
    <chartFormat chart="20" format="8" series="1">
      <pivotArea type="data" outline="0" fieldPosition="0">
        <references count="1">
          <reference field="4294967294" count="1" selected="0">
            <x v="2"/>
          </reference>
        </references>
      </pivotArea>
    </chartFormat>
    <chartFormat chart="38" format="9" series="1">
      <pivotArea type="data" outline="0" fieldPosition="0">
        <references count="1">
          <reference field="4294967294" count="1" selected="0">
            <x v="0"/>
          </reference>
        </references>
      </pivotArea>
    </chartFormat>
    <chartFormat chart="38" format="10" series="1">
      <pivotArea type="data" outline="0" fieldPosition="0">
        <references count="1">
          <reference field="4294967294" count="1" selected="0">
            <x v="1"/>
          </reference>
        </references>
      </pivotArea>
    </chartFormat>
    <chartFormat chart="38" format="11" series="1">
      <pivotArea type="data" outline="0" fieldPosition="0">
        <references count="1">
          <reference field="4294967294" count="1" selected="0">
            <x v="2"/>
          </reference>
        </references>
      </pivotArea>
    </chartFormat>
    <chartFormat chart="39" format="12" series="1">
      <pivotArea type="data" outline="0" fieldPosition="0">
        <references count="1">
          <reference field="4294967294" count="1" selected="0">
            <x v="0"/>
          </reference>
        </references>
      </pivotArea>
    </chartFormat>
    <chartFormat chart="39" format="13" series="1">
      <pivotArea type="data" outline="0" fieldPosition="0">
        <references count="1">
          <reference field="4294967294" count="1" selected="0">
            <x v="1"/>
          </reference>
        </references>
      </pivotArea>
    </chartFormat>
    <chartFormat chart="39" format="14" series="1">
      <pivotArea type="data" outline="0" fieldPosition="0">
        <references count="1">
          <reference field="4294967294" count="1" selected="0">
            <x v="2"/>
          </reference>
        </references>
      </pivotArea>
    </chartFormat>
    <chartFormat chart="40" format="9" series="1">
      <pivotArea type="data" outline="0" fieldPosition="0">
        <references count="1">
          <reference field="4294967294" count="1" selected="0">
            <x v="0"/>
          </reference>
        </references>
      </pivotArea>
    </chartFormat>
    <chartFormat chart="40" format="10" series="1">
      <pivotArea type="data" outline="0" fieldPosition="0">
        <references count="1">
          <reference field="4294967294" count="1" selected="0">
            <x v="1"/>
          </reference>
        </references>
      </pivotArea>
    </chartFormat>
    <chartFormat chart="40" format="11" series="1">
      <pivotArea type="data" outline="0" fieldPosition="0">
        <references count="1">
          <reference field="4294967294" count="1" selected="0">
            <x v="2"/>
          </reference>
        </references>
      </pivotArea>
    </chartFormat>
  </chartFormats>
  <pivotHierarchies count="36">
    <pivotHierarchy dragToData="1"/>
    <pivotHierarchy multipleItemSelectionAllowed="1" dragToData="1">
      <members count="1" level="1">
        <member name="[Europe_Sales_Records].[Country].&amp;[Netherland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urope_Sales_Records].[Order Date (Year)].&amp;[2016]"/>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um of Total Revenue"/>
    <pivotHierarchy dragToData="1"/>
    <pivotHierarchy dragToData="1"/>
    <pivotHierarchy dragToData="1"/>
    <pivotHierarchy dragToData="1"/>
    <pivotHierarchy dragToData="1"/>
    <pivotHierarchy dragToData="1"/>
    <pivotHierarchy dragToData="1" caption="Sum of Total Cost"/>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urope_Sales_Records">
        <x15:activeTabTopLevelEntity name="[Europe_Sales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5DBB70B-FCB3-4BBF-B8C8-5F2FA9E6F6BB}" name="PivotTable5" cacheId="32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L3:O16" firstHeaderRow="0" firstDataRow="1" firstDataCol="1"/>
  <pivotFields count="16">
    <pivotField showAll="0"/>
    <pivotField showAll="0"/>
    <pivotField axis="axisRow" showAll="0">
      <items count="13">
        <item x="8"/>
        <item x="0"/>
        <item x="2"/>
        <item x="1"/>
        <item x="10"/>
        <item x="4"/>
        <item x="9"/>
        <item x="6"/>
        <item x="3"/>
        <item x="11"/>
        <item x="7"/>
        <item x="5"/>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s>
  <rowFields count="1">
    <field x="2"/>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Total Revenue" fld="13" baseField="0" baseItem="0"/>
    <dataField name="Sum of Total Profit" fld="15" baseField="0" baseItem="0"/>
    <dataField name="Sum of Total Cost" fld="14"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98A1EAA-3910-4CD0-BA3A-7CC69E940EC2}" name="PivotTable3" cacheId="737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6">
  <location ref="AQ2:AT15" firstHeaderRow="1" firstDataRow="2" firstDataCol="1"/>
  <pivotFields count="5">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2">
    <i>
      <x/>
    </i>
    <i>
      <x v="1"/>
    </i>
    <i>
      <x v="2"/>
    </i>
    <i>
      <x v="3"/>
    </i>
    <i>
      <x v="4"/>
    </i>
    <i>
      <x v="5"/>
    </i>
    <i>
      <x v="6"/>
    </i>
    <i>
      <x v="7"/>
    </i>
    <i>
      <x v="8"/>
    </i>
    <i>
      <x v="9"/>
    </i>
    <i>
      <x v="10"/>
    </i>
    <i t="grand">
      <x/>
    </i>
  </rowItems>
  <colFields count="1">
    <field x="0"/>
  </colFields>
  <colItems count="3">
    <i>
      <x/>
    </i>
    <i>
      <x v="1"/>
    </i>
    <i t="grand">
      <x/>
    </i>
  </colItems>
  <dataFields count="1">
    <dataField name="Sum of Total Revenue" fld="2" baseField="0" baseItem="0"/>
  </dataFields>
  <chartFormats count="8">
    <chartFormat chart="19" format="4" series="1">
      <pivotArea type="data" outline="0" fieldPosition="0">
        <references count="2">
          <reference field="4294967294" count="1" selected="0">
            <x v="0"/>
          </reference>
          <reference field="0" count="1" selected="0">
            <x v="0"/>
          </reference>
        </references>
      </pivotArea>
    </chartFormat>
    <chartFormat chart="19" format="5" series="1">
      <pivotArea type="data" outline="0" fieldPosition="0">
        <references count="2">
          <reference field="4294967294" count="1" selected="0">
            <x v="0"/>
          </reference>
          <reference field="0" count="1" selected="0">
            <x v="1"/>
          </reference>
        </references>
      </pivotArea>
    </chartFormat>
    <chartFormat chart="32" format="6" series="1">
      <pivotArea type="data" outline="0" fieldPosition="0">
        <references count="2">
          <reference field="4294967294" count="1" selected="0">
            <x v="0"/>
          </reference>
          <reference field="0" count="1" selected="0">
            <x v="0"/>
          </reference>
        </references>
      </pivotArea>
    </chartFormat>
    <chartFormat chart="32" format="7" series="1">
      <pivotArea type="data" outline="0" fieldPosition="0">
        <references count="2">
          <reference field="4294967294" count="1" selected="0">
            <x v="0"/>
          </reference>
          <reference field="0" count="1" selected="0">
            <x v="1"/>
          </reference>
        </references>
      </pivotArea>
    </chartFormat>
    <chartFormat chart="33" format="8" series="1">
      <pivotArea type="data" outline="0" fieldPosition="0">
        <references count="2">
          <reference field="4294967294" count="1" selected="0">
            <x v="0"/>
          </reference>
          <reference field="0" count="1" selected="0">
            <x v="0"/>
          </reference>
        </references>
      </pivotArea>
    </chartFormat>
    <chartFormat chart="33" format="9" series="1">
      <pivotArea type="data" outline="0" fieldPosition="0">
        <references count="2">
          <reference field="4294967294" count="1" selected="0">
            <x v="0"/>
          </reference>
          <reference field="0" count="1" selected="0">
            <x v="1"/>
          </reference>
        </references>
      </pivotArea>
    </chartFormat>
    <chartFormat chart="34" format="6" series="1">
      <pivotArea type="data" outline="0" fieldPosition="0">
        <references count="2">
          <reference field="4294967294" count="1" selected="0">
            <x v="0"/>
          </reference>
          <reference field="0" count="1" selected="0">
            <x v="0"/>
          </reference>
        </references>
      </pivotArea>
    </chartFormat>
    <chartFormat chart="34" format="7" series="1">
      <pivotArea type="data" outline="0" fieldPosition="0">
        <references count="2">
          <reference field="4294967294" count="1" selected="0">
            <x v="0"/>
          </reference>
          <reference field="0" count="1" selected="0">
            <x v="1"/>
          </reference>
        </references>
      </pivotArea>
    </chartFormat>
  </chartFormats>
  <pivotHierarchies count="36">
    <pivotHierarchy dragToData="1"/>
    <pivotHierarchy multipleItemSelectionAllowed="1" dragToData="1">
      <members count="9" level="1">
        <member name="[Europe_Sales_Records].[Country].&amp;[Croatia]"/>
        <member name="[Europe_Sales_Records].[Country].&amp;[Cyprus]"/>
        <member name="[Europe_Sales_Records].[Country].&amp;[Czech Republic]"/>
        <member name="[Europe_Sales_Records].[Country].&amp;[Denmark]"/>
        <member name="[Europe_Sales_Records].[Country].&amp;[Estonia]"/>
        <member name="[Europe_Sales_Records].[Country].&amp;[Finland]"/>
        <member name="[Europe_Sales_Records].[Country].&amp;[France]"/>
        <member name="[Europe_Sales_Records].[Country].&amp;[Georgia]"/>
        <member name="[Europe_Sales_Records].[Country].&amp;[German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urope_Sales_Records].[Order Date (Year)].&amp;[2016]"/>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urope_Sales_Records">
        <x15:activeTabTopLevelEntity name="[Europe_Sales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4388ACB-4CBB-439A-88AD-C57237A3BB9C}" name="PivotTable4" cacheId="738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2">
  <location ref="H3:J13" firstHeaderRow="0" firstDataRow="1" firstDataCol="1"/>
  <pivotFields count="4">
    <pivotField axis="axisRow" allDrilled="1" subtotalTop="0" showAll="0" sortType="descending" defaultSubtotal="0" defaultAttributeDrillState="1">
      <items count="9">
        <item s="1" x="0"/>
        <item s="1" x="1"/>
        <item s="1" x="2"/>
        <item s="1" x="3"/>
        <item s="1" x="4"/>
        <item s="1" x="5"/>
        <item s="1" x="6"/>
        <item s="1" x="7"/>
        <item s="1" x="8"/>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v="6"/>
    </i>
    <i>
      <x v="8"/>
    </i>
    <i>
      <x v="4"/>
    </i>
    <i>
      <x/>
    </i>
    <i>
      <x v="2"/>
    </i>
    <i>
      <x v="7"/>
    </i>
    <i>
      <x v="3"/>
    </i>
    <i>
      <x v="1"/>
    </i>
    <i>
      <x v="5"/>
    </i>
    <i t="grand">
      <x/>
    </i>
  </rowItems>
  <colFields count="1">
    <field x="-2"/>
  </colFields>
  <colItems count="2">
    <i>
      <x/>
    </i>
    <i i="1">
      <x v="1"/>
    </i>
  </colItems>
  <dataFields count="2">
    <dataField name="Sum of Total Profit" fld="1" baseField="0" baseItem="0"/>
    <dataField name="Sum of Total Revenue" fld="2" baseField="0" baseItem="0"/>
  </dataFields>
  <chartFormats count="8">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 chart="38" format="6" series="1">
      <pivotArea type="data" outline="0" fieldPosition="0">
        <references count="1">
          <reference field="4294967294" count="1" selected="0">
            <x v="0"/>
          </reference>
        </references>
      </pivotArea>
    </chartFormat>
    <chartFormat chart="38" format="7" series="1">
      <pivotArea type="data" outline="0" fieldPosition="0">
        <references count="1">
          <reference field="4294967294" count="1" selected="0">
            <x v="1"/>
          </reference>
        </references>
      </pivotArea>
    </chartFormat>
    <chartFormat chart="39" format="8" series="1">
      <pivotArea type="data" outline="0" fieldPosition="0">
        <references count="1">
          <reference field="4294967294" count="1" selected="0">
            <x v="0"/>
          </reference>
        </references>
      </pivotArea>
    </chartFormat>
    <chartFormat chart="39" format="9" series="1">
      <pivotArea type="data" outline="0" fieldPosition="0">
        <references count="1">
          <reference field="4294967294" count="1" selected="0">
            <x v="1"/>
          </reference>
        </references>
      </pivotArea>
    </chartFormat>
    <chartFormat chart="40" format="6" series="1">
      <pivotArea type="data" outline="0" fieldPosition="0">
        <references count="1">
          <reference field="4294967294" count="1" selected="0">
            <x v="0"/>
          </reference>
        </references>
      </pivotArea>
    </chartFormat>
    <chartFormat chart="40" format="7" series="1">
      <pivotArea type="data" outline="0" fieldPosition="0">
        <references count="1">
          <reference field="4294967294" count="1" selected="0">
            <x v="1"/>
          </reference>
        </references>
      </pivotArea>
    </chartFormat>
  </chartFormats>
  <pivotHierarchies count="3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urope_Sales_Records].[Order Date (Year)].&amp;[2016]"/>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urope_Sales_Records">
        <x15:activeTabTopLevelEntity name="[Europe_Sales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BD560B6-04C2-4D19-955C-496B977D3310}" name="PivotTable2" cacheId="738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A18:F31" firstHeaderRow="1" firstDataRow="2" firstDataCol="1"/>
  <pivotFields count="5">
    <pivotField axis="axisRow" allDrilled="1" subtotalTop="0" showAll="0" defaultSubtotal="0" defaultAttributeDrillState="1">
      <items count="11">
        <item x="10"/>
        <item x="0"/>
        <item x="1"/>
        <item x="2"/>
        <item x="3"/>
        <item x="4"/>
        <item x="5"/>
        <item x="6"/>
        <item x="7"/>
        <item x="8"/>
        <item x="9"/>
      </items>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Fields count="1">
    <field x="1"/>
  </colFields>
  <colItems count="5">
    <i>
      <x/>
    </i>
    <i>
      <x v="1"/>
    </i>
    <i>
      <x v="2"/>
    </i>
    <i>
      <x v="3"/>
    </i>
    <i t="grand">
      <x/>
    </i>
  </colItems>
  <dataFields count="1">
    <dataField name="Sum of Total Revenue" fld="2" baseField="0" baseItem="0"/>
  </dataFields>
  <pivotHierarchies count="36">
    <pivotHierarchy dragToData="1"/>
    <pivotHierarchy multipleItemSelectionAllowed="1" dragToData="1">
      <members count="9" level="1">
        <member name="[Europe_Sales_Records].[Country].&amp;[Croatia]"/>
        <member name="[Europe_Sales_Records].[Country].&amp;[Cyprus]"/>
        <member name="[Europe_Sales_Records].[Country].&amp;[Czech Republic]"/>
        <member name="[Europe_Sales_Records].[Country].&amp;[Denmark]"/>
        <member name="[Europe_Sales_Records].[Country].&amp;[Estonia]"/>
        <member name="[Europe_Sales_Records].[Country].&amp;[Finland]"/>
        <member name="[Europe_Sales_Records].[Country].&amp;[France]"/>
        <member name="[Europe_Sales_Records].[Country].&amp;[Georgia]"/>
        <member name="[Europe_Sales_Records].[Country].&amp;[German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urope_Sales_Records].[Order Date (Year)].&amp;[2016]"/>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urope_Sales_Records">
        <x15:activeTabTopLevelEntity name="[Europe_Sales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2D6CCC9-E9FC-4904-AA7E-53E1BCF500FF}" name="PivotTable1" cacheId="739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7">
  <location ref="A3:D5" firstHeaderRow="0" firstDataRow="1" firstDataCol="1"/>
  <pivotFields count="5">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2"/>
  </colFields>
  <colItems count="3">
    <i>
      <x/>
    </i>
    <i i="1">
      <x v="1"/>
    </i>
    <i i="2">
      <x v="2"/>
    </i>
  </colItems>
  <dataFields count="3">
    <dataField name="Sum of Total Profit" fld="1" baseField="0" baseItem="0"/>
    <dataField name="Sum of Total Revenue" fld="2" baseField="0" baseItem="0"/>
    <dataField name="Sum of Total Cost" fld="3" baseField="0" baseItem="0"/>
  </dataFields>
  <pivotHierarchies count="36">
    <pivotHierarchy dragToData="1"/>
    <pivotHierarchy multipleItemSelectionAllowed="1" dragToData="1">
      <members count="9" level="1">
        <member name="[Europe_Sales_Records].[Country].&amp;[Croatia]"/>
        <member name="[Europe_Sales_Records].[Country].&amp;[Cyprus]"/>
        <member name="[Europe_Sales_Records].[Country].&amp;[Czech Republic]"/>
        <member name="[Europe_Sales_Records].[Country].&amp;[Denmark]"/>
        <member name="[Europe_Sales_Records].[Country].&amp;[Estonia]"/>
        <member name="[Europe_Sales_Records].[Country].&amp;[Finland]"/>
        <member name="[Europe_Sales_Records].[Country].&amp;[France]"/>
        <member name="[Europe_Sales_Records].[Country].&amp;[Georgia]"/>
        <member name="[Europe_Sales_Records].[Country].&amp;[German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Count of Total Profit"/>
    <pivotHierarchy dragToData="1"/>
    <pivotHierarchy dragToData="1"/>
    <pivotHierarchy dragToData="1"/>
    <pivotHierarchy dragToData="1"/>
    <pivotHierarchy dragToData="1"/>
    <pivotHierarchy dragToData="1" caption="Sum of Total Profit"/>
    <pivotHierarchy dragToData="1"/>
    <pivotHierarchy dragToData="1" caption="kldfl"/>
    <pivotHierarchy dragToData="1"/>
    <pivotHierarchy dragToData="1"/>
    <pivotHierarchy dragToData="1"/>
    <pivotHierarchy dragToData="1" caption="Sum of Total Cost"/>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urope_Sales_Records">
        <x15:activeTabTopLevelEntity name="[Europe_Sales_Record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10EA07A-A1CD-43BC-8B46-2557D5D5C45B}" autoFormatId="16" applyNumberFormats="0" applyBorderFormats="0" applyFontFormats="0" applyPatternFormats="0" applyAlignmentFormats="0" applyWidthHeightFormats="0">
  <queryTableRefresh nextId="18">
    <queryTableFields count="16">
      <queryTableField id="1" name="Region" tableColumnId="1"/>
      <queryTableField id="2" name="Country" tableColumnId="2"/>
      <queryTableField id="3" name="Item Type" tableColumnId="3"/>
      <queryTableField id="4" name="Sales Channel" tableColumnId="4"/>
      <queryTableField id="5" name="Order Priority" tableColumnId="5"/>
      <queryTableField id="6" name="Order Date" tableColumnId="6"/>
      <queryTableField id="7" name="Order ID" tableColumnId="7"/>
      <queryTableField id="8" name="Ship Date" tableColumnId="8"/>
      <queryTableField id="16" dataBound="0" tableColumnId="17"/>
      <queryTableField id="9" name="Units Sold" tableColumnId="9"/>
      <queryTableField id="10" name="Unit Price" tableColumnId="10"/>
      <queryTableField id="11" name="Unit Cost" tableColumnId="11"/>
      <queryTableField id="15" dataBound="0" tableColumnId="16"/>
      <queryTableField id="12" name="Total Revenue" tableColumnId="12"/>
      <queryTableField id="13" name="Total Cost" tableColumnId="13"/>
      <queryTableField id="14" name="Total Profit"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3D79840E-D18E-446A-9C43-BF4605872DBC}" sourceName="[Europe_Sales_Records].[Order Date (Year)]">
  <pivotTables>
    <pivotTable tabId="1" name="PivotTable8"/>
    <pivotTable tabId="1" name="PivotTable3"/>
    <pivotTable tabId="1" name="PivotTable4"/>
    <pivotTable tabId="1" name="PivotTable1"/>
    <pivotTable tabId="1" name="PivotTable2"/>
    <pivotTable tabId="1" name="PivotTable20"/>
    <pivotTable tabId="1" name="PivotTable22"/>
    <pivotTable tabId="1" name="PivotTable6"/>
    <pivotTable tabId="1" name="PivotTable27"/>
    <pivotTable tabId="1" name="PivotTable28"/>
    <pivotTable tabId="1" name="PivotTable29"/>
  </pivotTables>
  <data>
    <olap pivotCacheId="1656083010">
      <levels count="2">
        <level uniqueName="[Europe_Sales_Records].[Order Date (Year)].[(All)]" sourceCaption="(All)" count="0"/>
        <level uniqueName="[Europe_Sales_Records].[Order Date (Year)].[Order Date (Year)]" sourceCaption="Order Date (Year)" count="8">
          <ranges>
            <range startItem="0">
              <i n="[Europe_Sales_Records].[Order Date (Year)].&amp;[2010]" c="2010"/>
              <i n="[Europe_Sales_Records].[Order Date (Year)].&amp;[2011]" c="2011"/>
              <i n="[Europe_Sales_Records].[Order Date (Year)].&amp;[2012]" c="2012"/>
              <i n="[Europe_Sales_Records].[Order Date (Year)].&amp;[2013]" c="2013"/>
              <i n="[Europe_Sales_Records].[Order Date (Year)].&amp;[2014]" c="2014"/>
              <i n="[Europe_Sales_Records].[Order Date (Year)].&amp;[2015]" c="2015"/>
              <i n="[Europe_Sales_Records].[Order Date (Year)].&amp;[2016]" c="2016"/>
              <i n="[Europe_Sales_Records].[Order Date (Year)].&amp;[2017]" c="2017"/>
            </range>
          </ranges>
        </level>
      </levels>
      <selections count="1">
        <selection n="[Europe_Sales_Records].[Order Date (Year)].&amp;[2016]"/>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3B489F5-D00B-4F6C-8D35-CD3EEEF853A1}" sourceName="[Europe_Sales_Records].[Country]">
  <pivotTables>
    <pivotTable tabId="1" name="PivotTable20"/>
    <pivotTable tabId="1" name="PivotTable3"/>
    <pivotTable tabId="1" name="PivotTable22"/>
    <pivotTable tabId="1" name="PivotTable2"/>
    <pivotTable tabId="1" name="PivotTable4"/>
    <pivotTable tabId="1" name="PivotTable6"/>
    <pivotTable tabId="1" name="PivotTable27"/>
    <pivotTable tabId="1" name="PivotTable1"/>
    <pivotTable tabId="1" name="PivotTable28"/>
    <pivotTable tabId="1" name="PivotTable29"/>
  </pivotTables>
  <data>
    <olap pivotCacheId="1656083010">
      <levels count="2">
        <level uniqueName="[Europe_Sales_Records].[Country].[(All)]" sourceCaption="(All)" count="0"/>
        <level uniqueName="[Europe_Sales_Records].[Country].[Country]" sourceCaption="Country" count="48">
          <ranges>
            <range startItem="0">
              <i n="[Europe_Sales_Records].[Country].&amp;[Albania]" c="Albania"/>
              <i n="[Europe_Sales_Records].[Country].&amp;[Andorra]" c="Andorra"/>
              <i n="[Europe_Sales_Records].[Country].&amp;[Armenia]" c="Armenia"/>
              <i n="[Europe_Sales_Records].[Country].&amp;[Austria]" c="Austria"/>
              <i n="[Europe_Sales_Records].[Country].&amp;[Belarus]" c="Belarus"/>
              <i n="[Europe_Sales_Records].[Country].&amp;[Belgium]" c="Belgium"/>
              <i n="[Europe_Sales_Records].[Country].&amp;[Bosnia and Herzegovina]" c="Bosnia and Herzegovina"/>
              <i n="[Europe_Sales_Records].[Country].&amp;[Bulgaria]" c="Bulgaria"/>
              <i n="[Europe_Sales_Records].[Country].&amp;[Croatia]" c="Croatia"/>
              <i n="[Europe_Sales_Records].[Country].&amp;[Cyprus]" c="Cyprus"/>
              <i n="[Europe_Sales_Records].[Country].&amp;[Czech Republic]" c="Czech Republic"/>
              <i n="[Europe_Sales_Records].[Country].&amp;[Denmark]" c="Denmark"/>
              <i n="[Europe_Sales_Records].[Country].&amp;[Estonia]" c="Estonia"/>
              <i n="[Europe_Sales_Records].[Country].&amp;[Finland]" c="Finland"/>
              <i n="[Europe_Sales_Records].[Country].&amp;[France]" c="France"/>
              <i n="[Europe_Sales_Records].[Country].&amp;[Georgia]" c="Georgia"/>
              <i n="[Europe_Sales_Records].[Country].&amp;[Germany]" c="Germany"/>
              <i n="[Europe_Sales_Records].[Country].&amp;[Greece]" c="Greece"/>
              <i n="[Europe_Sales_Records].[Country].&amp;[Hungary]" c="Hungary"/>
              <i n="[Europe_Sales_Records].[Country].&amp;[Iceland]" c="Iceland"/>
              <i n="[Europe_Sales_Records].[Country].&amp;[Ireland]" c="Ireland"/>
              <i n="[Europe_Sales_Records].[Country].&amp;[Italy]" c="Italy"/>
              <i n="[Europe_Sales_Records].[Country].&amp;[Kosovo]" c="Kosovo"/>
              <i n="[Europe_Sales_Records].[Country].&amp;[Latvia]" c="Latvia"/>
              <i n="[Europe_Sales_Records].[Country].&amp;[Liechtenstein]" c="Liechtenstein"/>
              <i n="[Europe_Sales_Records].[Country].&amp;[Lithuania]" c="Lithuania"/>
              <i n="[Europe_Sales_Records].[Country].&amp;[Luxembourg]" c="Luxembourg"/>
              <i n="[Europe_Sales_Records].[Country].&amp;[Macedonia]" c="Macedonia"/>
              <i n="[Europe_Sales_Records].[Country].&amp;[Malta]" c="Malta"/>
              <i n="[Europe_Sales_Records].[Country].&amp;[Moldova]" c="Moldova"/>
              <i n="[Europe_Sales_Records].[Country].&amp;[Monaco]" c="Monaco"/>
              <i n="[Europe_Sales_Records].[Country].&amp;[Montenegro]" c="Montenegro"/>
              <i n="[Europe_Sales_Records].[Country].&amp;[Netherlands]" c="Netherlands"/>
              <i n="[Europe_Sales_Records].[Country].&amp;[Norway]" c="Norway"/>
              <i n="[Europe_Sales_Records].[Country].&amp;[Poland]" c="Poland"/>
              <i n="[Europe_Sales_Records].[Country].&amp;[Portugal]" c="Portugal"/>
              <i n="[Europe_Sales_Records].[Country].&amp;[Romania]" c="Romania"/>
              <i n="[Europe_Sales_Records].[Country].&amp;[Russia]" c="Russia"/>
              <i n="[Europe_Sales_Records].[Country].&amp;[San Marino]" c="San Marino"/>
              <i n="[Europe_Sales_Records].[Country].&amp;[Serbia]" c="Serbia"/>
              <i n="[Europe_Sales_Records].[Country].&amp;[Slovakia]" c="Slovakia"/>
              <i n="[Europe_Sales_Records].[Country].&amp;[Slovenia]" c="Slovenia"/>
              <i n="[Europe_Sales_Records].[Country].&amp;[Spain]" c="Spain"/>
              <i n="[Europe_Sales_Records].[Country].&amp;[Sweden]" c="Sweden"/>
              <i n="[Europe_Sales_Records].[Country].&amp;[Switzerland]" c="Switzerland"/>
              <i n="[Europe_Sales_Records].[Country].&amp;[Ukraine]" c="Ukraine"/>
              <i n="[Europe_Sales_Records].[Country].&amp;[United Kingdom]" c="United Kingdom"/>
              <i n="[Europe_Sales_Records].[Country].&amp;[Vatican City]" c="Vatican City"/>
            </range>
          </ranges>
        </level>
      </levels>
      <selections count="9">
        <selection n="[Europe_Sales_Records].[Country].&amp;[Croatia]"/>
        <selection n="[Europe_Sales_Records].[Country].&amp;[Cyprus]"/>
        <selection n="[Europe_Sales_Records].[Country].&amp;[Czech Republic]"/>
        <selection n="[Europe_Sales_Records].[Country].&amp;[Denmark]"/>
        <selection n="[Europe_Sales_Records].[Country].&amp;[Estonia]"/>
        <selection n="[Europe_Sales_Records].[Country].&amp;[Finland]"/>
        <selection n="[Europe_Sales_Records].[Country].&amp;[France]"/>
        <selection n="[Europe_Sales_Records].[Country].&amp;[Georgia]"/>
        <selection n="[Europe_Sales_Records].[Country].&amp;[German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xr10:uid="{3B88CF95-FC95-4F5D-8E37-5F575C51D5CA}" cache="Slicer_Order_Date__Year" columnCount="8" showCaption="0" level="1" style="SlicerStyleLight1 6" rowHeight="247650"/>
  <slicer name="Country" xr10:uid="{93799444-AE2C-44F6-84E8-ADC87176FCE9}" cache="Slicer_Country" columnCount="2" showCaption="0" level="1" style="SlicerStyleLight1 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C1D645-E587-49CF-94DA-EDDD1431E208}" name="Europe_Sales_Records" displayName="Europe_Sales_Records" ref="A1:P1331" tableType="queryTable" totalsRowShown="0">
  <autoFilter ref="A1:P1331" xr:uid="{44C1D645-E587-49CF-94DA-EDDD1431E208}"/>
  <tableColumns count="16">
    <tableColumn id="1" xr3:uid="{E66C84E4-27F4-4E32-80E5-66B3C9F27C75}" uniqueName="1" name="Region" queryTableFieldId="1" dataDxfId="37"/>
    <tableColumn id="2" xr3:uid="{6DB548B0-D975-4175-8900-632AB2C62FCD}" uniqueName="2" name="Country" queryTableFieldId="2" dataDxfId="36"/>
    <tableColumn id="3" xr3:uid="{995421E3-F0B6-4CC1-A519-73F30D513F3D}" uniqueName="3" name="Item Type" queryTableFieldId="3" dataDxfId="35"/>
    <tableColumn id="4" xr3:uid="{176AA0C2-13C2-4DD0-B833-2542928B9195}" uniqueName="4" name="Sales Channel" queryTableFieldId="4" dataDxfId="34"/>
    <tableColumn id="5" xr3:uid="{D59B009D-31DE-4290-98DD-76C5BBC6EAD1}" uniqueName="5" name="Order Priority" queryTableFieldId="5" dataDxfId="33"/>
    <tableColumn id="6" xr3:uid="{9CFD6CCC-B4A6-46ED-ACB5-E58978645E71}" uniqueName="6" name="Order Date" queryTableFieldId="6" dataDxfId="32"/>
    <tableColumn id="7" xr3:uid="{CA0F0A18-DF82-4490-9ECD-1CAD971C365B}" uniqueName="7" name="Order ID" queryTableFieldId="7" dataDxfId="31"/>
    <tableColumn id="8" xr3:uid="{C13B01A3-CC3E-4795-95C9-5B5CC419233C}" uniqueName="8" name="Ship Date" queryTableFieldId="8" dataDxfId="30"/>
    <tableColumn id="17" xr3:uid="{BF706F41-E4D3-451E-ADA8-3DC02C7D5CD1}" uniqueName="17" name="Shipping Time" queryTableFieldId="16" dataDxfId="29">
      <calculatedColumnFormula>Europe_Sales_Records[[#This Row],[Ship Date]]-Europe_Sales_Records[[#This Row],[Order Date]]</calculatedColumnFormula>
    </tableColumn>
    <tableColumn id="9" xr3:uid="{6A5FC8EE-2245-40D2-8E99-6EC5A789DB25}" uniqueName="9" name="Units Sold" queryTableFieldId="9" dataDxfId="28"/>
    <tableColumn id="10" xr3:uid="{9188AB64-E01A-4790-941B-97DC79A2D0E8}" uniqueName="10" name="Unit Price" queryTableFieldId="10" dataDxfId="27"/>
    <tableColumn id="11" xr3:uid="{B2F6B9B5-8A26-4B20-902A-11FF7BD8460F}" uniqueName="11" name="Unit Cost" queryTableFieldId="11" dataDxfId="26"/>
    <tableColumn id="16" xr3:uid="{E513B3D8-386E-4F03-B975-9136B9A0744D}" uniqueName="16" name="Unit Profit " queryTableFieldId="15" dataDxfId="25"/>
    <tableColumn id="12" xr3:uid="{AEE264E5-1A46-457D-8223-6BC01FC70E26}" uniqueName="12" name="Total Revenue" queryTableFieldId="12" dataDxfId="24"/>
    <tableColumn id="13" xr3:uid="{890FF9BF-7314-4480-AC42-4CA172300E7C}" uniqueName="13" name="Total Cost" queryTableFieldId="13" dataDxfId="23"/>
    <tableColumn id="14" xr3:uid="{8FA2D89B-6FA4-4209-A7DF-5B84879A3619}" uniqueName="14" name="Total Profit" queryTableFieldId="14" dataDxfId="22"/>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5086211-A58F-46C1-A7C5-A3267C0DB7E6}" name="Table5" displayName="Table5" ref="E54:F102" totalsRowShown="0">
  <autoFilter ref="E54:F102" xr:uid="{C5086211-A58F-46C1-A7C5-A3267C0DB7E6}"/>
  <tableColumns count="2">
    <tableColumn id="1" xr3:uid="{81793EB6-CD24-40F9-ACB0-30E7C51853E5}" name="country">
      <calculatedColumnFormula>B55</calculatedColumnFormula>
    </tableColumn>
    <tableColumn id="2" xr3:uid="{A1F7F69F-5138-47E4-B171-047D4D3F1558}" name="Revenue">
      <calculatedColumnFormula>C55</calculatedColumnFormula>
    </tableColum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Parallax">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Parallax">
      <a:maj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rallax">
      <a:fillStyleLst>
        <a:solidFill>
          <a:schemeClr val="phClr"/>
        </a:solidFill>
        <a:gradFill rotWithShape="1">
          <a:gsLst>
            <a:gs pos="0">
              <a:schemeClr val="phClr">
                <a:tint val="60000"/>
                <a:lumMod val="104000"/>
              </a:schemeClr>
            </a:gs>
            <a:gs pos="100000">
              <a:schemeClr val="phClr">
                <a:tint val="84000"/>
              </a:schemeClr>
            </a:gs>
          </a:gsLst>
          <a:lin ang="5400000" scaled="0"/>
        </a:gradFill>
        <a:gradFill rotWithShape="1">
          <a:gsLst>
            <a:gs pos="0">
              <a:schemeClr val="phClr">
                <a:tint val="96000"/>
                <a:lumMod val="102000"/>
              </a:schemeClr>
            </a:gs>
            <a:gs pos="100000">
              <a:schemeClr val="phClr">
                <a:shade val="88000"/>
                <a:lumMod val="94000"/>
              </a:schemeClr>
            </a:gs>
          </a:gsLst>
          <a:path path="circle">
            <a:fillToRect l="50000" t="100000" r="100000" b="50000"/>
          </a:path>
        </a:gradFill>
      </a:fillStyleLst>
      <a:lnStyleLst>
        <a:ln w="9525" cap="rnd" cmpd="sng" algn="ctr">
          <a:solidFill>
            <a:schemeClr val="phClr">
              <a:tint val="6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reflection blurRad="12700" stA="26000" endPos="32000" dist="12700" dir="5400000" sy="-100000" rotWithShape="0"/>
          </a:effectLst>
        </a:effectStyle>
        <a:effectStyle>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a:effectStyle>
      </a:effectStyleLst>
      <a:bgFillStyleLst>
        <a:solidFill>
          <a:schemeClr val="phClr"/>
        </a:solidFill>
        <a:gradFill rotWithShape="1">
          <a:gsLst>
            <a:gs pos="0">
              <a:schemeClr val="phClr">
                <a:tint val="90000"/>
                <a:lumMod val="110000"/>
              </a:schemeClr>
            </a:gs>
            <a:gs pos="100000">
              <a:schemeClr val="phClr">
                <a:shade val="64000"/>
                <a:lumMod val="98000"/>
              </a:schemeClr>
            </a:gs>
          </a:gsLst>
          <a:lin ang="5400000" scaled="0"/>
        </a:gradFill>
        <a:blipFill rotWithShape="1">
          <a:blip xmlns:r="http://schemas.openxmlformats.org/officeDocument/2006/relationships" r:embed="rId1">
            <a:duotone>
              <a:schemeClr val="phClr">
                <a:shade val="76000"/>
                <a:satMod val="180000"/>
              </a:schemeClr>
              <a:schemeClr val="phClr">
                <a:tint val="80000"/>
                <a:satMod val="120000"/>
                <a:lumMod val="180000"/>
              </a:schemeClr>
            </a:duotone>
          </a:blip>
          <a:stretch/>
        </a:blipFill>
      </a:bgFillStyleLst>
    </a:fmtScheme>
  </a:themeElements>
  <a:objectDefaults/>
  <a:extraClrSchemeLst/>
  <a:extLst>
    <a:ext uri="{05A4C25C-085E-4340-85A3-A5531E510DB2}">
      <thm15:themeFamily xmlns:thm15="http://schemas.microsoft.com/office/thememl/2012/main" name="Parallax" id="{3388167B-A2EB-4685-9635-1831D9AEF8C4}" vid="{4F7A876A-7598-49CA-AFC8-8EDA2551E4A7}"/>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table" Target="../tables/table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D80AF-84C5-44C7-85E1-189B72B2945C}">
  <dimension ref="A1:V1331"/>
  <sheetViews>
    <sheetView tabSelected="1" topLeftCell="A2" zoomScale="109" zoomScaleNormal="85" workbookViewId="0">
      <selection activeCell="B23" sqref="B23"/>
    </sheetView>
  </sheetViews>
  <sheetFormatPr defaultRowHeight="14.4" x14ac:dyDescent="0.3"/>
  <cols>
    <col min="1" max="1" width="8.77734375" customWidth="1"/>
    <col min="2" max="2" width="20.44140625" customWidth="1"/>
    <col min="3" max="3" width="13.33203125" customWidth="1"/>
    <col min="4" max="4" width="15.33203125" customWidth="1"/>
    <col min="5" max="5" width="14.44140625" customWidth="1"/>
    <col min="6" max="6" width="12.21875" customWidth="1"/>
    <col min="7" max="7" width="10.109375" customWidth="1"/>
    <col min="8" max="8" width="11.21875" customWidth="1"/>
    <col min="9" max="9" width="15" customWidth="1"/>
    <col min="10" max="10" width="11.6640625" customWidth="1"/>
    <col min="11" max="11" width="11.33203125" customWidth="1"/>
    <col min="12" max="12" width="10.77734375" customWidth="1"/>
    <col min="13" max="13" width="11.88671875" customWidth="1"/>
    <col min="14" max="14" width="14.77734375" style="5" customWidth="1"/>
    <col min="15" max="15" width="11.44140625" customWidth="1"/>
    <col min="16" max="16" width="12.21875" customWidth="1"/>
  </cols>
  <sheetData>
    <row r="1" spans="1:16" x14ac:dyDescent="0.3">
      <c r="A1" t="s">
        <v>0</v>
      </c>
      <c r="B1" t="s">
        <v>1</v>
      </c>
      <c r="C1" t="s">
        <v>2</v>
      </c>
      <c r="D1" t="s">
        <v>3</v>
      </c>
      <c r="E1" t="s">
        <v>4</v>
      </c>
      <c r="F1" t="s">
        <v>5</v>
      </c>
      <c r="G1" t="s">
        <v>6</v>
      </c>
      <c r="H1" t="s">
        <v>7</v>
      </c>
      <c r="I1" t="s">
        <v>1420</v>
      </c>
      <c r="J1" t="s">
        <v>8</v>
      </c>
      <c r="K1" t="s">
        <v>9</v>
      </c>
      <c r="L1" t="s">
        <v>10</v>
      </c>
      <c r="M1" t="s">
        <v>1418</v>
      </c>
      <c r="N1" t="s">
        <v>11</v>
      </c>
      <c r="O1" s="4" t="s">
        <v>12</v>
      </c>
      <c r="P1" t="s">
        <v>13</v>
      </c>
    </row>
    <row r="2" spans="1:16" x14ac:dyDescent="0.3">
      <c r="A2" s="1" t="s">
        <v>14</v>
      </c>
      <c r="B2" s="1" t="s">
        <v>15</v>
      </c>
      <c r="C2" s="1" t="s">
        <v>16</v>
      </c>
      <c r="D2" s="1" t="s">
        <v>17</v>
      </c>
      <c r="E2" s="1" t="s">
        <v>18</v>
      </c>
      <c r="F2" s="7">
        <v>40798</v>
      </c>
      <c r="G2" s="1" t="s">
        <v>19</v>
      </c>
      <c r="H2" s="7">
        <v>40815</v>
      </c>
      <c r="I2" s="1">
        <f>Europe_Sales_Records[[#This Row],[Ship Date]]-Europe_Sales_Records[[#This Row],[Order Date]]</f>
        <v>17</v>
      </c>
      <c r="J2" s="1">
        <v>4778</v>
      </c>
      <c r="K2" s="1">
        <v>47.45</v>
      </c>
      <c r="L2" s="1">
        <v>31.79</v>
      </c>
      <c r="M2" s="1">
        <f>Europe_Sales_Records[[#This Row],[Unit Price]]-Europe_Sales_Records[[#This Row],[Unit Cost]]</f>
        <v>15.660000000000004</v>
      </c>
      <c r="N2" s="1">
        <v>226716.1</v>
      </c>
      <c r="O2" s="6">
        <v>151892.62</v>
      </c>
      <c r="P2" s="1">
        <v>74823.48</v>
      </c>
    </row>
    <row r="3" spans="1:16" x14ac:dyDescent="0.3">
      <c r="A3" s="1" t="s">
        <v>14</v>
      </c>
      <c r="B3" s="1" t="s">
        <v>20</v>
      </c>
      <c r="C3" s="1" t="s">
        <v>21</v>
      </c>
      <c r="D3" s="1" t="s">
        <v>22</v>
      </c>
      <c r="E3" s="1" t="s">
        <v>23</v>
      </c>
      <c r="F3" s="7">
        <v>41561</v>
      </c>
      <c r="G3" s="1" t="s">
        <v>24</v>
      </c>
      <c r="H3" s="7">
        <v>41582</v>
      </c>
      <c r="I3" s="1">
        <f>Europe_Sales_Records[[#This Row],[Ship Date]]-Europe_Sales_Records[[#This Row],[Order Date]]</f>
        <v>21</v>
      </c>
      <c r="J3" s="1">
        <v>927</v>
      </c>
      <c r="K3" s="1">
        <v>109.28</v>
      </c>
      <c r="L3" s="1">
        <v>35.840000000000003</v>
      </c>
      <c r="M3" s="1">
        <f>Europe_Sales_Records[[#This Row],[Unit Price]]-Europe_Sales_Records[[#This Row],[Unit Cost]]</f>
        <v>73.44</v>
      </c>
      <c r="N3" s="1">
        <v>101302.56</v>
      </c>
      <c r="O3" s="6">
        <v>33223.68</v>
      </c>
      <c r="P3" s="1">
        <v>68078.880000000005</v>
      </c>
    </row>
    <row r="4" spans="1:16" x14ac:dyDescent="0.3">
      <c r="A4" s="1" t="s">
        <v>14</v>
      </c>
      <c r="B4" s="1" t="s">
        <v>25</v>
      </c>
      <c r="C4" s="1" t="s">
        <v>26</v>
      </c>
      <c r="D4" s="1" t="s">
        <v>17</v>
      </c>
      <c r="E4" s="1" t="s">
        <v>18</v>
      </c>
      <c r="F4" s="7">
        <v>41864</v>
      </c>
      <c r="G4" s="1" t="s">
        <v>27</v>
      </c>
      <c r="H4" s="7">
        <v>41888</v>
      </c>
      <c r="I4" s="1">
        <f>Europe_Sales_Records[[#This Row],[Ship Date]]-Europe_Sales_Records[[#This Row],[Order Date]]</f>
        <v>24</v>
      </c>
      <c r="J4" s="1">
        <v>5616</v>
      </c>
      <c r="K4" s="1">
        <v>205.7</v>
      </c>
      <c r="L4" s="1">
        <v>117.11</v>
      </c>
      <c r="M4" s="1">
        <f>Europe_Sales_Records[[#This Row],[Unit Price]]-Europe_Sales_Records[[#This Row],[Unit Cost]]</f>
        <v>88.589999999999989</v>
      </c>
      <c r="N4" s="1">
        <v>1155211.2</v>
      </c>
      <c r="O4" s="6">
        <v>657689.76</v>
      </c>
      <c r="P4" s="1">
        <v>497521.44</v>
      </c>
    </row>
    <row r="5" spans="1:16" x14ac:dyDescent="0.3">
      <c r="A5" s="1" t="s">
        <v>14</v>
      </c>
      <c r="B5" s="1" t="s">
        <v>28</v>
      </c>
      <c r="C5" s="1" t="s">
        <v>29</v>
      </c>
      <c r="D5" s="1" t="s">
        <v>22</v>
      </c>
      <c r="E5" s="1" t="s">
        <v>30</v>
      </c>
      <c r="F5" s="7">
        <v>40482</v>
      </c>
      <c r="G5" s="1" t="s">
        <v>31</v>
      </c>
      <c r="H5" s="7">
        <v>40511</v>
      </c>
      <c r="I5" s="1">
        <f>Europe_Sales_Records[[#This Row],[Ship Date]]-Europe_Sales_Records[[#This Row],[Order Date]]</f>
        <v>29</v>
      </c>
      <c r="J5" s="1">
        <v>6266</v>
      </c>
      <c r="K5" s="1">
        <v>651.21</v>
      </c>
      <c r="L5" s="1">
        <v>524.96</v>
      </c>
      <c r="M5" s="1">
        <f>Europe_Sales_Records[[#This Row],[Unit Price]]-Europe_Sales_Records[[#This Row],[Unit Cost]]</f>
        <v>126.25</v>
      </c>
      <c r="N5" s="1">
        <v>4080481.86</v>
      </c>
      <c r="O5" s="6">
        <v>3289399.36</v>
      </c>
      <c r="P5" s="1">
        <v>791082.5</v>
      </c>
    </row>
    <row r="6" spans="1:16" x14ac:dyDescent="0.3">
      <c r="A6" s="1" t="s">
        <v>14</v>
      </c>
      <c r="B6" s="1" t="s">
        <v>32</v>
      </c>
      <c r="C6" s="1" t="s">
        <v>33</v>
      </c>
      <c r="D6" s="1" t="s">
        <v>22</v>
      </c>
      <c r="E6" s="1" t="s">
        <v>30</v>
      </c>
      <c r="F6" s="7">
        <v>42641</v>
      </c>
      <c r="G6" s="1" t="s">
        <v>34</v>
      </c>
      <c r="H6" s="7">
        <v>42675</v>
      </c>
      <c r="I6" s="1">
        <f>Europe_Sales_Records[[#This Row],[Ship Date]]-Europe_Sales_Records[[#This Row],[Order Date]]</f>
        <v>34</v>
      </c>
      <c r="J6" s="1">
        <v>4958</v>
      </c>
      <c r="K6" s="1">
        <v>9.33</v>
      </c>
      <c r="L6" s="1">
        <v>6.92</v>
      </c>
      <c r="M6" s="1">
        <f>Europe_Sales_Records[[#This Row],[Unit Price]]-Europe_Sales_Records[[#This Row],[Unit Cost]]</f>
        <v>2.41</v>
      </c>
      <c r="N6" s="1">
        <v>46258.14</v>
      </c>
      <c r="O6" s="6">
        <v>34309.360000000001</v>
      </c>
      <c r="P6" s="1">
        <v>11948.78</v>
      </c>
    </row>
    <row r="7" spans="1:16" x14ac:dyDescent="0.3">
      <c r="A7" s="1" t="s">
        <v>14</v>
      </c>
      <c r="B7" s="1" t="s">
        <v>35</v>
      </c>
      <c r="C7" s="1" t="s">
        <v>33</v>
      </c>
      <c r="D7" s="1" t="s">
        <v>17</v>
      </c>
      <c r="E7" s="1" t="s">
        <v>30</v>
      </c>
      <c r="F7" s="7">
        <v>42519</v>
      </c>
      <c r="G7" s="1" t="s">
        <v>36</v>
      </c>
      <c r="H7" s="7">
        <v>42561</v>
      </c>
      <c r="I7" s="1">
        <f>Europe_Sales_Records[[#This Row],[Ship Date]]-Europe_Sales_Records[[#This Row],[Order Date]]</f>
        <v>42</v>
      </c>
      <c r="J7" s="1">
        <v>1390</v>
      </c>
      <c r="K7" s="1">
        <v>9.33</v>
      </c>
      <c r="L7" s="1">
        <v>6.92</v>
      </c>
      <c r="M7" s="1">
        <f>Europe_Sales_Records[[#This Row],[Unit Price]]-Europe_Sales_Records[[#This Row],[Unit Cost]]</f>
        <v>2.41</v>
      </c>
      <c r="N7" s="1">
        <v>12968.7</v>
      </c>
      <c r="O7" s="6">
        <v>9618.7999999999993</v>
      </c>
      <c r="P7" s="1">
        <v>3349.9</v>
      </c>
    </row>
    <row r="8" spans="1:16" x14ac:dyDescent="0.3">
      <c r="A8" s="1" t="s">
        <v>14</v>
      </c>
      <c r="B8" s="1" t="s">
        <v>15</v>
      </c>
      <c r="C8" s="1" t="s">
        <v>26</v>
      </c>
      <c r="D8" s="1" t="s">
        <v>22</v>
      </c>
      <c r="E8" s="1" t="s">
        <v>23</v>
      </c>
      <c r="F8" s="7">
        <v>40732</v>
      </c>
      <c r="G8" s="1" t="s">
        <v>37</v>
      </c>
      <c r="H8" s="7">
        <v>40760</v>
      </c>
      <c r="I8" s="1">
        <f>Europe_Sales_Records[[#This Row],[Ship Date]]-Europe_Sales_Records[[#This Row],[Order Date]]</f>
        <v>28</v>
      </c>
      <c r="J8" s="1">
        <v>9022</v>
      </c>
      <c r="K8" s="1">
        <v>205.7</v>
      </c>
      <c r="L8" s="1">
        <v>117.11</v>
      </c>
      <c r="M8" s="1">
        <f>Europe_Sales_Records[[#This Row],[Unit Price]]-Europe_Sales_Records[[#This Row],[Unit Cost]]</f>
        <v>88.589999999999989</v>
      </c>
      <c r="N8" s="1">
        <v>1855825.4</v>
      </c>
      <c r="O8" s="6">
        <v>1056566.42</v>
      </c>
      <c r="P8" s="1">
        <v>799258.98</v>
      </c>
    </row>
    <row r="9" spans="1:16" x14ac:dyDescent="0.3">
      <c r="A9" s="1" t="s">
        <v>14</v>
      </c>
      <c r="B9" s="1" t="s">
        <v>38</v>
      </c>
      <c r="C9" s="1" t="s">
        <v>39</v>
      </c>
      <c r="D9" s="1" t="s">
        <v>17</v>
      </c>
      <c r="E9" s="1" t="s">
        <v>30</v>
      </c>
      <c r="F9" s="7">
        <v>40222</v>
      </c>
      <c r="G9" s="1" t="s">
        <v>40</v>
      </c>
      <c r="H9" s="7">
        <v>40269</v>
      </c>
      <c r="I9" s="1">
        <f>Europe_Sales_Records[[#This Row],[Ship Date]]-Europe_Sales_Records[[#This Row],[Order Date]]</f>
        <v>47</v>
      </c>
      <c r="J9" s="1">
        <v>7291</v>
      </c>
      <c r="K9" s="1">
        <v>154.06</v>
      </c>
      <c r="L9" s="1">
        <v>90.93</v>
      </c>
      <c r="M9" s="1">
        <f>Europe_Sales_Records[[#This Row],[Unit Price]]-Europe_Sales_Records[[#This Row],[Unit Cost]]</f>
        <v>63.129999999999995</v>
      </c>
      <c r="N9" s="1">
        <v>1123251.46</v>
      </c>
      <c r="O9" s="6">
        <v>662970.63</v>
      </c>
      <c r="P9" s="1">
        <v>460280.83</v>
      </c>
    </row>
    <row r="10" spans="1:16" x14ac:dyDescent="0.3">
      <c r="A10" s="1" t="s">
        <v>14</v>
      </c>
      <c r="B10" s="1" t="s">
        <v>41</v>
      </c>
      <c r="C10" s="1" t="s">
        <v>42</v>
      </c>
      <c r="D10" s="1" t="s">
        <v>22</v>
      </c>
      <c r="E10" s="1" t="s">
        <v>30</v>
      </c>
      <c r="F10" s="7">
        <v>41719</v>
      </c>
      <c r="G10" s="1" t="s">
        <v>43</v>
      </c>
      <c r="H10" s="7">
        <v>41739</v>
      </c>
      <c r="I10" s="1">
        <f>Europe_Sales_Records[[#This Row],[Ship Date]]-Europe_Sales_Records[[#This Row],[Order Date]]</f>
        <v>20</v>
      </c>
      <c r="J10" s="1">
        <v>1860</v>
      </c>
      <c r="K10" s="1">
        <v>421.89</v>
      </c>
      <c r="L10" s="1">
        <v>364.69</v>
      </c>
      <c r="M10" s="1">
        <f>Europe_Sales_Records[[#This Row],[Unit Price]]-Europe_Sales_Records[[#This Row],[Unit Cost]]</f>
        <v>57.199999999999989</v>
      </c>
      <c r="N10" s="1">
        <v>784715.4</v>
      </c>
      <c r="O10" s="6">
        <v>678323.4</v>
      </c>
      <c r="P10" s="1">
        <v>106392</v>
      </c>
    </row>
    <row r="11" spans="1:16" x14ac:dyDescent="0.3">
      <c r="A11" s="1" t="s">
        <v>14</v>
      </c>
      <c r="B11" s="1" t="s">
        <v>44</v>
      </c>
      <c r="C11" s="1" t="s">
        <v>16</v>
      </c>
      <c r="D11" s="1" t="s">
        <v>22</v>
      </c>
      <c r="E11" s="1" t="s">
        <v>45</v>
      </c>
      <c r="F11" s="7">
        <v>40984</v>
      </c>
      <c r="G11" s="1" t="s">
        <v>46</v>
      </c>
      <c r="H11" s="7">
        <v>40991</v>
      </c>
      <c r="I11" s="1">
        <f>Europe_Sales_Records[[#This Row],[Ship Date]]-Europe_Sales_Records[[#This Row],[Order Date]]</f>
        <v>7</v>
      </c>
      <c r="J11" s="1">
        <v>7581</v>
      </c>
      <c r="K11" s="1">
        <v>47.45</v>
      </c>
      <c r="L11" s="1">
        <v>31.79</v>
      </c>
      <c r="M11" s="1">
        <f>Europe_Sales_Records[[#This Row],[Unit Price]]-Europe_Sales_Records[[#This Row],[Unit Cost]]</f>
        <v>15.660000000000004</v>
      </c>
      <c r="N11" s="1">
        <v>359718.45</v>
      </c>
      <c r="O11" s="6">
        <v>240999.99</v>
      </c>
      <c r="P11" s="1">
        <v>118718.46</v>
      </c>
    </row>
    <row r="12" spans="1:16" x14ac:dyDescent="0.3">
      <c r="A12" s="1" t="s">
        <v>14</v>
      </c>
      <c r="B12" s="1" t="s">
        <v>47</v>
      </c>
      <c r="C12" s="1" t="s">
        <v>48</v>
      </c>
      <c r="D12" s="1" t="s">
        <v>22</v>
      </c>
      <c r="E12" s="1" t="s">
        <v>23</v>
      </c>
      <c r="F12" s="7">
        <v>42016</v>
      </c>
      <c r="G12" s="1" t="s">
        <v>49</v>
      </c>
      <c r="H12" s="7">
        <v>42021</v>
      </c>
      <c r="I12" s="1">
        <f>Europe_Sales_Records[[#This Row],[Ship Date]]-Europe_Sales_Records[[#This Row],[Order Date]]</f>
        <v>5</v>
      </c>
      <c r="J12" s="1">
        <v>5005</v>
      </c>
      <c r="K12" s="1">
        <v>152.58000000000001</v>
      </c>
      <c r="L12" s="1">
        <v>97.44</v>
      </c>
      <c r="M12" s="1">
        <f>Europe_Sales_Records[[#This Row],[Unit Price]]-Europe_Sales_Records[[#This Row],[Unit Cost]]</f>
        <v>55.140000000000015</v>
      </c>
      <c r="N12" s="1">
        <v>763662.9</v>
      </c>
      <c r="O12" s="6">
        <v>487687.2</v>
      </c>
      <c r="P12" s="1">
        <v>275975.7</v>
      </c>
    </row>
    <row r="13" spans="1:16" x14ac:dyDescent="0.3">
      <c r="A13" s="1" t="s">
        <v>14</v>
      </c>
      <c r="B13" s="1" t="s">
        <v>50</v>
      </c>
      <c r="C13" s="1" t="s">
        <v>29</v>
      </c>
      <c r="D13" s="1" t="s">
        <v>22</v>
      </c>
      <c r="E13" s="1" t="s">
        <v>45</v>
      </c>
      <c r="F13" s="7">
        <v>41742</v>
      </c>
      <c r="G13" s="1" t="s">
        <v>51</v>
      </c>
      <c r="H13" s="7">
        <v>41763</v>
      </c>
      <c r="I13" s="1">
        <f>Europe_Sales_Records[[#This Row],[Ship Date]]-Europe_Sales_Records[[#This Row],[Order Date]]</f>
        <v>21</v>
      </c>
      <c r="J13" s="1">
        <v>6905</v>
      </c>
      <c r="K13" s="1">
        <v>651.21</v>
      </c>
      <c r="L13" s="1">
        <v>524.96</v>
      </c>
      <c r="M13" s="1">
        <f>Europe_Sales_Records[[#This Row],[Unit Price]]-Europe_Sales_Records[[#This Row],[Unit Cost]]</f>
        <v>126.25</v>
      </c>
      <c r="N13" s="1">
        <v>4496605.05</v>
      </c>
      <c r="O13" s="6">
        <v>3624848.8</v>
      </c>
      <c r="P13" s="1">
        <v>871756.25</v>
      </c>
    </row>
    <row r="14" spans="1:16" x14ac:dyDescent="0.3">
      <c r="A14" s="1" t="s">
        <v>14</v>
      </c>
      <c r="B14" s="1" t="s">
        <v>20</v>
      </c>
      <c r="C14" s="1" t="s">
        <v>52</v>
      </c>
      <c r="D14" s="1" t="s">
        <v>22</v>
      </c>
      <c r="E14" s="1" t="s">
        <v>18</v>
      </c>
      <c r="F14" s="7">
        <v>42098</v>
      </c>
      <c r="G14" s="1" t="s">
        <v>53</v>
      </c>
      <c r="H14" s="7">
        <v>42101</v>
      </c>
      <c r="I14" s="1">
        <f>Europe_Sales_Records[[#This Row],[Ship Date]]-Europe_Sales_Records[[#This Row],[Order Date]]</f>
        <v>3</v>
      </c>
      <c r="J14" s="1">
        <v>531</v>
      </c>
      <c r="K14" s="1">
        <v>255.28</v>
      </c>
      <c r="L14" s="1">
        <v>159.41999999999999</v>
      </c>
      <c r="M14" s="1">
        <f>Europe_Sales_Records[[#This Row],[Unit Price]]-Europe_Sales_Records[[#This Row],[Unit Cost]]</f>
        <v>95.860000000000014</v>
      </c>
      <c r="N14" s="1">
        <v>135553.68</v>
      </c>
      <c r="O14" s="6">
        <v>84652.02</v>
      </c>
      <c r="P14" s="1">
        <v>50901.66</v>
      </c>
    </row>
    <row r="15" spans="1:16" x14ac:dyDescent="0.3">
      <c r="A15" s="1" t="s">
        <v>14</v>
      </c>
      <c r="B15" s="1" t="s">
        <v>54</v>
      </c>
      <c r="C15" s="1" t="s">
        <v>42</v>
      </c>
      <c r="D15" s="1" t="s">
        <v>17</v>
      </c>
      <c r="E15" s="1" t="s">
        <v>23</v>
      </c>
      <c r="F15" s="7">
        <v>42802</v>
      </c>
      <c r="G15" s="1" t="s">
        <v>55</v>
      </c>
      <c r="H15" s="7">
        <v>42828</v>
      </c>
      <c r="I15" s="1">
        <f>Europe_Sales_Records[[#This Row],[Ship Date]]-Europe_Sales_Records[[#This Row],[Order Date]]</f>
        <v>26</v>
      </c>
      <c r="J15" s="1">
        <v>1916</v>
      </c>
      <c r="K15" s="1">
        <v>421.89</v>
      </c>
      <c r="L15" s="1">
        <v>364.69</v>
      </c>
      <c r="M15" s="1">
        <f>Europe_Sales_Records[[#This Row],[Unit Price]]-Europe_Sales_Records[[#This Row],[Unit Cost]]</f>
        <v>57.199999999999989</v>
      </c>
      <c r="N15" s="1">
        <v>808341.24</v>
      </c>
      <c r="O15" s="6">
        <v>698746.04</v>
      </c>
      <c r="P15" s="1">
        <v>109595.2</v>
      </c>
    </row>
    <row r="16" spans="1:16" x14ac:dyDescent="0.3">
      <c r="A16" s="1" t="s">
        <v>14</v>
      </c>
      <c r="B16" s="1" t="s">
        <v>56</v>
      </c>
      <c r="C16" s="1" t="s">
        <v>57</v>
      </c>
      <c r="D16" s="1" t="s">
        <v>22</v>
      </c>
      <c r="E16" s="1" t="s">
        <v>23</v>
      </c>
      <c r="F16" s="7">
        <v>42926</v>
      </c>
      <c r="G16" s="1" t="s">
        <v>58</v>
      </c>
      <c r="H16" s="7">
        <v>42967</v>
      </c>
      <c r="I16" s="1">
        <f>Europe_Sales_Records[[#This Row],[Ship Date]]-Europe_Sales_Records[[#This Row],[Order Date]]</f>
        <v>41</v>
      </c>
      <c r="J16" s="1">
        <v>72</v>
      </c>
      <c r="K16" s="1">
        <v>668.27</v>
      </c>
      <c r="L16" s="1">
        <v>502.54</v>
      </c>
      <c r="M16" s="1">
        <f>Europe_Sales_Records[[#This Row],[Unit Price]]-Europe_Sales_Records[[#This Row],[Unit Cost]]</f>
        <v>165.72999999999996</v>
      </c>
      <c r="N16" s="1">
        <v>48115.44</v>
      </c>
      <c r="O16" s="6">
        <v>36182.879999999997</v>
      </c>
      <c r="P16" s="1">
        <v>11932.56</v>
      </c>
    </row>
    <row r="17" spans="1:22" x14ac:dyDescent="0.3">
      <c r="A17" s="1" t="s">
        <v>14</v>
      </c>
      <c r="B17" s="1" t="s">
        <v>59</v>
      </c>
      <c r="C17" s="1" t="s">
        <v>60</v>
      </c>
      <c r="D17" s="1" t="s">
        <v>22</v>
      </c>
      <c r="E17" s="1" t="s">
        <v>45</v>
      </c>
      <c r="F17" s="7">
        <v>40565</v>
      </c>
      <c r="G17" s="1" t="s">
        <v>61</v>
      </c>
      <c r="H17" s="7">
        <v>40571</v>
      </c>
      <c r="I17" s="1">
        <f>Europe_Sales_Records[[#This Row],[Ship Date]]-Europe_Sales_Records[[#This Row],[Order Date]]</f>
        <v>6</v>
      </c>
      <c r="J17" s="1">
        <v>7873</v>
      </c>
      <c r="K17" s="1">
        <v>437.2</v>
      </c>
      <c r="L17" s="1">
        <v>263.33</v>
      </c>
      <c r="M17" s="1">
        <f>Europe_Sales_Records[[#This Row],[Unit Price]]-Europe_Sales_Records[[#This Row],[Unit Cost]]</f>
        <v>173.87</v>
      </c>
      <c r="N17" s="1">
        <v>3442075.6</v>
      </c>
      <c r="O17" s="6">
        <v>2073197.09</v>
      </c>
      <c r="P17" s="1">
        <v>1368878.51</v>
      </c>
    </row>
    <row r="18" spans="1:22" x14ac:dyDescent="0.3">
      <c r="A18" s="1" t="s">
        <v>14</v>
      </c>
      <c r="B18" s="1" t="s">
        <v>20</v>
      </c>
      <c r="C18" s="1" t="s">
        <v>42</v>
      </c>
      <c r="D18" s="1" t="s">
        <v>22</v>
      </c>
      <c r="E18" s="1" t="s">
        <v>45</v>
      </c>
      <c r="F18" s="7">
        <v>41114</v>
      </c>
      <c r="G18" s="1" t="s">
        <v>62</v>
      </c>
      <c r="H18" s="7">
        <v>41153</v>
      </c>
      <c r="I18" s="1">
        <f>Europe_Sales_Records[[#This Row],[Ship Date]]-Europe_Sales_Records[[#This Row],[Order Date]]</f>
        <v>39</v>
      </c>
      <c r="J18" s="1">
        <v>6211</v>
      </c>
      <c r="K18" s="1">
        <v>421.89</v>
      </c>
      <c r="L18" s="1">
        <v>364.69</v>
      </c>
      <c r="M18" s="1">
        <f>Europe_Sales_Records[[#This Row],[Unit Price]]-Europe_Sales_Records[[#This Row],[Unit Cost]]</f>
        <v>57.199999999999989</v>
      </c>
      <c r="N18" s="1">
        <v>2620358.79</v>
      </c>
      <c r="O18" s="6">
        <v>2265089.59</v>
      </c>
      <c r="P18" s="1">
        <v>355269.2</v>
      </c>
    </row>
    <row r="19" spans="1:22" x14ac:dyDescent="0.3">
      <c r="A19" s="1" t="s">
        <v>14</v>
      </c>
      <c r="B19" s="1" t="s">
        <v>63</v>
      </c>
      <c r="C19" s="1" t="s">
        <v>42</v>
      </c>
      <c r="D19" s="1" t="s">
        <v>17</v>
      </c>
      <c r="E19" s="1" t="s">
        <v>23</v>
      </c>
      <c r="F19" s="7">
        <v>40892</v>
      </c>
      <c r="G19" s="1" t="s">
        <v>64</v>
      </c>
      <c r="H19" s="7">
        <v>40895</v>
      </c>
      <c r="I19" s="1">
        <f>Europe_Sales_Records[[#This Row],[Ship Date]]-Europe_Sales_Records[[#This Row],[Order Date]]</f>
        <v>3</v>
      </c>
      <c r="J19" s="1">
        <v>8902</v>
      </c>
      <c r="K19" s="1">
        <v>421.89</v>
      </c>
      <c r="L19" s="1">
        <v>364.69</v>
      </c>
      <c r="M19" s="1">
        <f>Europe_Sales_Records[[#This Row],[Unit Price]]-Europe_Sales_Records[[#This Row],[Unit Cost]]</f>
        <v>57.199999999999989</v>
      </c>
      <c r="N19" s="1">
        <v>3755664.78</v>
      </c>
      <c r="O19" s="6">
        <v>3246470.38</v>
      </c>
      <c r="P19" s="1">
        <v>509194.4</v>
      </c>
    </row>
    <row r="20" spans="1:22" x14ac:dyDescent="0.3">
      <c r="A20" s="1" t="s">
        <v>14</v>
      </c>
      <c r="B20" s="1" t="s">
        <v>65</v>
      </c>
      <c r="C20" s="1" t="s">
        <v>16</v>
      </c>
      <c r="D20" s="1" t="s">
        <v>22</v>
      </c>
      <c r="E20" s="1" t="s">
        <v>30</v>
      </c>
      <c r="F20" s="7">
        <v>41155</v>
      </c>
      <c r="G20" s="1" t="s">
        <v>66</v>
      </c>
      <c r="H20" s="7">
        <v>41173</v>
      </c>
      <c r="I20" s="1">
        <f>Europe_Sales_Records[[#This Row],[Ship Date]]-Europe_Sales_Records[[#This Row],[Order Date]]</f>
        <v>18</v>
      </c>
      <c r="J20" s="1">
        <v>978</v>
      </c>
      <c r="K20" s="1">
        <v>47.45</v>
      </c>
      <c r="L20" s="1">
        <v>31.79</v>
      </c>
      <c r="M20" s="1">
        <f>Europe_Sales_Records[[#This Row],[Unit Price]]-Europe_Sales_Records[[#This Row],[Unit Cost]]</f>
        <v>15.660000000000004</v>
      </c>
      <c r="N20" s="1">
        <v>46406.1</v>
      </c>
      <c r="O20" s="6">
        <v>31090.62</v>
      </c>
      <c r="P20" s="1">
        <v>15315.48</v>
      </c>
    </row>
    <row r="21" spans="1:22" x14ac:dyDescent="0.3">
      <c r="A21" s="1" t="s">
        <v>14</v>
      </c>
      <c r="B21" s="1" t="s">
        <v>67</v>
      </c>
      <c r="C21" s="1" t="s">
        <v>29</v>
      </c>
      <c r="D21" s="1" t="s">
        <v>22</v>
      </c>
      <c r="E21" s="1" t="s">
        <v>23</v>
      </c>
      <c r="F21" s="7">
        <v>41660</v>
      </c>
      <c r="G21" s="1" t="s">
        <v>68</v>
      </c>
      <c r="H21" s="7">
        <v>41702</v>
      </c>
      <c r="I21" s="1">
        <f>Europe_Sales_Records[[#This Row],[Ship Date]]-Europe_Sales_Records[[#This Row],[Order Date]]</f>
        <v>42</v>
      </c>
      <c r="J21" s="1">
        <v>9956</v>
      </c>
      <c r="K21" s="1">
        <v>651.21</v>
      </c>
      <c r="L21" s="1">
        <v>524.96</v>
      </c>
      <c r="M21" s="1">
        <f>Europe_Sales_Records[[#This Row],[Unit Price]]-Europe_Sales_Records[[#This Row],[Unit Cost]]</f>
        <v>126.25</v>
      </c>
      <c r="N21" s="1">
        <v>6483446.7599999998</v>
      </c>
      <c r="O21" s="6">
        <v>5226501.76</v>
      </c>
      <c r="P21" s="1">
        <v>1256945</v>
      </c>
    </row>
    <row r="22" spans="1:22" x14ac:dyDescent="0.3">
      <c r="A22" s="1" t="s">
        <v>14</v>
      </c>
      <c r="B22" s="1" t="s">
        <v>69</v>
      </c>
      <c r="C22" s="1" t="s">
        <v>57</v>
      </c>
      <c r="D22" s="1" t="s">
        <v>17</v>
      </c>
      <c r="E22" s="1" t="s">
        <v>30</v>
      </c>
      <c r="F22" s="7">
        <v>42923</v>
      </c>
      <c r="G22" s="1" t="s">
        <v>70</v>
      </c>
      <c r="H22" s="7">
        <v>42951</v>
      </c>
      <c r="I22" s="1">
        <f>Europe_Sales_Records[[#This Row],[Ship Date]]-Europe_Sales_Records[[#This Row],[Order Date]]</f>
        <v>28</v>
      </c>
      <c r="J22" s="1">
        <v>905</v>
      </c>
      <c r="K22" s="1">
        <v>668.27</v>
      </c>
      <c r="L22" s="1">
        <v>502.54</v>
      </c>
      <c r="M22" s="1">
        <f>Europe_Sales_Records[[#This Row],[Unit Price]]-Europe_Sales_Records[[#This Row],[Unit Cost]]</f>
        <v>165.72999999999996</v>
      </c>
      <c r="N22" s="1">
        <v>604784.35</v>
      </c>
      <c r="O22" s="6">
        <v>454798.7</v>
      </c>
      <c r="P22" s="1">
        <v>149985.65</v>
      </c>
    </row>
    <row r="23" spans="1:22" x14ac:dyDescent="0.3">
      <c r="A23" s="1" t="s">
        <v>14</v>
      </c>
      <c r="B23" s="1" t="s">
        <v>71</v>
      </c>
      <c r="C23" s="1" t="s">
        <v>60</v>
      </c>
      <c r="D23" s="1" t="s">
        <v>22</v>
      </c>
      <c r="E23" s="1" t="s">
        <v>30</v>
      </c>
      <c r="F23" s="7">
        <v>41105</v>
      </c>
      <c r="G23" s="1" t="s">
        <v>72</v>
      </c>
      <c r="H23" s="7">
        <v>41105</v>
      </c>
      <c r="I23" s="1">
        <f>Europe_Sales_Records[[#This Row],[Ship Date]]-Europe_Sales_Records[[#This Row],[Order Date]]</f>
        <v>0</v>
      </c>
      <c r="J23" s="1">
        <v>138</v>
      </c>
      <c r="K23" s="1">
        <v>437.2</v>
      </c>
      <c r="L23" s="1">
        <v>263.33</v>
      </c>
      <c r="M23" s="1">
        <f>Europe_Sales_Records[[#This Row],[Unit Price]]-Europe_Sales_Records[[#This Row],[Unit Cost]]</f>
        <v>173.87</v>
      </c>
      <c r="N23" s="1">
        <v>60333.599999999999</v>
      </c>
      <c r="O23" s="6">
        <v>36339.54</v>
      </c>
      <c r="P23" s="1">
        <v>23994.06</v>
      </c>
      <c r="V23" t="s">
        <v>1437</v>
      </c>
    </row>
    <row r="24" spans="1:22" x14ac:dyDescent="0.3">
      <c r="A24" s="1" t="s">
        <v>14</v>
      </c>
      <c r="B24" s="1" t="s">
        <v>73</v>
      </c>
      <c r="C24" s="1" t="s">
        <v>16</v>
      </c>
      <c r="D24" s="1" t="s">
        <v>22</v>
      </c>
      <c r="E24" s="1" t="s">
        <v>18</v>
      </c>
      <c r="F24" s="7">
        <v>42833</v>
      </c>
      <c r="G24" s="1" t="s">
        <v>74</v>
      </c>
      <c r="H24" s="7">
        <v>42837</v>
      </c>
      <c r="I24" s="1">
        <f>Europe_Sales_Records[[#This Row],[Ship Date]]-Europe_Sales_Records[[#This Row],[Order Date]]</f>
        <v>4</v>
      </c>
      <c r="J24" s="1">
        <v>5242</v>
      </c>
      <c r="K24" s="1">
        <v>47.45</v>
      </c>
      <c r="L24" s="1">
        <v>31.79</v>
      </c>
      <c r="M24" s="1">
        <f>Europe_Sales_Records[[#This Row],[Unit Price]]-Europe_Sales_Records[[#This Row],[Unit Cost]]</f>
        <v>15.660000000000004</v>
      </c>
      <c r="N24" s="1">
        <v>248732.9</v>
      </c>
      <c r="O24" s="6">
        <v>166643.18</v>
      </c>
      <c r="P24" s="1">
        <v>82089.72</v>
      </c>
    </row>
    <row r="25" spans="1:22" x14ac:dyDescent="0.3">
      <c r="A25" s="1" t="s">
        <v>14</v>
      </c>
      <c r="B25" s="1" t="s">
        <v>75</v>
      </c>
      <c r="C25" s="1" t="s">
        <v>33</v>
      </c>
      <c r="D25" s="1" t="s">
        <v>22</v>
      </c>
      <c r="E25" s="1" t="s">
        <v>45</v>
      </c>
      <c r="F25" s="7">
        <v>41204</v>
      </c>
      <c r="G25" s="1" t="s">
        <v>76</v>
      </c>
      <c r="H25" s="7">
        <v>41233</v>
      </c>
      <c r="I25" s="1">
        <f>Europe_Sales_Records[[#This Row],[Ship Date]]-Europe_Sales_Records[[#This Row],[Order Date]]</f>
        <v>29</v>
      </c>
      <c r="J25" s="1">
        <v>6443</v>
      </c>
      <c r="K25" s="1">
        <v>9.33</v>
      </c>
      <c r="L25" s="1">
        <v>6.92</v>
      </c>
      <c r="M25" s="1">
        <f>Europe_Sales_Records[[#This Row],[Unit Price]]-Europe_Sales_Records[[#This Row],[Unit Cost]]</f>
        <v>2.41</v>
      </c>
      <c r="N25" s="1">
        <v>60113.19</v>
      </c>
      <c r="O25" s="6">
        <v>44585.56</v>
      </c>
      <c r="P25" s="1">
        <v>15527.63</v>
      </c>
    </row>
    <row r="26" spans="1:22" x14ac:dyDescent="0.3">
      <c r="A26" s="1" t="s">
        <v>14</v>
      </c>
      <c r="B26" s="1" t="s">
        <v>77</v>
      </c>
      <c r="C26" s="1" t="s">
        <v>39</v>
      </c>
      <c r="D26" s="1" t="s">
        <v>22</v>
      </c>
      <c r="E26" s="1" t="s">
        <v>23</v>
      </c>
      <c r="F26" s="7">
        <v>41709</v>
      </c>
      <c r="G26" s="1" t="s">
        <v>78</v>
      </c>
      <c r="H26" s="7">
        <v>41739</v>
      </c>
      <c r="I26" s="1">
        <f>Europe_Sales_Records[[#This Row],[Ship Date]]-Europe_Sales_Records[[#This Row],[Order Date]]</f>
        <v>30</v>
      </c>
      <c r="J26" s="1">
        <v>7643</v>
      </c>
      <c r="K26" s="1">
        <v>154.06</v>
      </c>
      <c r="L26" s="1">
        <v>90.93</v>
      </c>
      <c r="M26" s="1">
        <f>Europe_Sales_Records[[#This Row],[Unit Price]]-Europe_Sales_Records[[#This Row],[Unit Cost]]</f>
        <v>63.129999999999995</v>
      </c>
      <c r="N26" s="1">
        <v>1177480.58</v>
      </c>
      <c r="O26" s="6">
        <v>694977.99</v>
      </c>
      <c r="P26" s="1">
        <v>482502.59</v>
      </c>
    </row>
    <row r="27" spans="1:22" x14ac:dyDescent="0.3">
      <c r="A27" s="1" t="s">
        <v>14</v>
      </c>
      <c r="B27" s="1" t="s">
        <v>59</v>
      </c>
      <c r="C27" s="1" t="s">
        <v>79</v>
      </c>
      <c r="D27" s="1" t="s">
        <v>22</v>
      </c>
      <c r="E27" s="1" t="s">
        <v>23</v>
      </c>
      <c r="F27" s="7">
        <v>40375</v>
      </c>
      <c r="G27" s="1" t="s">
        <v>80</v>
      </c>
      <c r="H27" s="7">
        <v>40417</v>
      </c>
      <c r="I27" s="1">
        <f>Europe_Sales_Records[[#This Row],[Ship Date]]-Europe_Sales_Records[[#This Row],[Order Date]]</f>
        <v>42</v>
      </c>
      <c r="J27" s="1">
        <v>9967</v>
      </c>
      <c r="K27" s="1">
        <v>81.73</v>
      </c>
      <c r="L27" s="1">
        <v>56.67</v>
      </c>
      <c r="M27" s="1">
        <f>Europe_Sales_Records[[#This Row],[Unit Price]]-Europe_Sales_Records[[#This Row],[Unit Cost]]</f>
        <v>25.060000000000002</v>
      </c>
      <c r="N27" s="1">
        <v>814602.91</v>
      </c>
      <c r="O27" s="6">
        <v>564829.89</v>
      </c>
      <c r="P27" s="1">
        <v>249773.02</v>
      </c>
    </row>
    <row r="28" spans="1:22" x14ac:dyDescent="0.3">
      <c r="A28" s="1" t="s">
        <v>14</v>
      </c>
      <c r="B28" s="1" t="s">
        <v>81</v>
      </c>
      <c r="C28" s="1" t="s">
        <v>33</v>
      </c>
      <c r="D28" s="1" t="s">
        <v>17</v>
      </c>
      <c r="E28" s="1" t="s">
        <v>23</v>
      </c>
      <c r="F28" s="7">
        <v>42197</v>
      </c>
      <c r="G28" s="1" t="s">
        <v>82</v>
      </c>
      <c r="H28" s="7">
        <v>42246</v>
      </c>
      <c r="I28" s="1">
        <f>Europe_Sales_Records[[#This Row],[Ship Date]]-Europe_Sales_Records[[#This Row],[Order Date]]</f>
        <v>49</v>
      </c>
      <c r="J28" s="1">
        <v>4622</v>
      </c>
      <c r="K28" s="1">
        <v>9.33</v>
      </c>
      <c r="L28" s="1">
        <v>6.92</v>
      </c>
      <c r="M28" s="1">
        <f>Europe_Sales_Records[[#This Row],[Unit Price]]-Europe_Sales_Records[[#This Row],[Unit Cost]]</f>
        <v>2.41</v>
      </c>
      <c r="N28" s="1">
        <v>43123.26</v>
      </c>
      <c r="O28" s="6">
        <v>31984.240000000002</v>
      </c>
      <c r="P28" s="1">
        <v>11139.02</v>
      </c>
      <c r="V28" t="s">
        <v>1437</v>
      </c>
    </row>
    <row r="29" spans="1:22" x14ac:dyDescent="0.3">
      <c r="A29" s="1" t="s">
        <v>14</v>
      </c>
      <c r="B29" s="1" t="s">
        <v>69</v>
      </c>
      <c r="C29" s="1" t="s">
        <v>29</v>
      </c>
      <c r="D29" s="1" t="s">
        <v>17</v>
      </c>
      <c r="E29" s="1" t="s">
        <v>23</v>
      </c>
      <c r="F29" s="7">
        <v>42335</v>
      </c>
      <c r="G29" s="1" t="s">
        <v>83</v>
      </c>
      <c r="H29" s="7">
        <v>42367</v>
      </c>
      <c r="I29" s="1">
        <f>Europe_Sales_Records[[#This Row],[Ship Date]]-Europe_Sales_Records[[#This Row],[Order Date]]</f>
        <v>32</v>
      </c>
      <c r="J29" s="1">
        <v>8815</v>
      </c>
      <c r="K29" s="1">
        <v>651.21</v>
      </c>
      <c r="L29" s="1">
        <v>524.96</v>
      </c>
      <c r="M29" s="1">
        <f>Europe_Sales_Records[[#This Row],[Unit Price]]-Europe_Sales_Records[[#This Row],[Unit Cost]]</f>
        <v>126.25</v>
      </c>
      <c r="N29" s="1">
        <v>5740416.1500000004</v>
      </c>
      <c r="O29" s="6">
        <v>4627522.4000000004</v>
      </c>
      <c r="P29" s="1">
        <v>1112893.75</v>
      </c>
    </row>
    <row r="30" spans="1:22" x14ac:dyDescent="0.3">
      <c r="A30" s="1" t="s">
        <v>14</v>
      </c>
      <c r="B30" s="1" t="s">
        <v>84</v>
      </c>
      <c r="C30" s="1" t="s">
        <v>79</v>
      </c>
      <c r="D30" s="1" t="s">
        <v>22</v>
      </c>
      <c r="E30" s="1" t="s">
        <v>30</v>
      </c>
      <c r="F30" s="7">
        <v>41798</v>
      </c>
      <c r="G30" s="1" t="s">
        <v>85</v>
      </c>
      <c r="H30" s="7">
        <v>41824</v>
      </c>
      <c r="I30" s="1">
        <f>Europe_Sales_Records[[#This Row],[Ship Date]]-Europe_Sales_Records[[#This Row],[Order Date]]</f>
        <v>26</v>
      </c>
      <c r="J30" s="1">
        <v>5509</v>
      </c>
      <c r="K30" s="1">
        <v>81.73</v>
      </c>
      <c r="L30" s="1">
        <v>56.67</v>
      </c>
      <c r="M30" s="1">
        <f>Europe_Sales_Records[[#This Row],[Unit Price]]-Europe_Sales_Records[[#This Row],[Unit Cost]]</f>
        <v>25.060000000000002</v>
      </c>
      <c r="N30" s="1">
        <v>450250.57</v>
      </c>
      <c r="O30" s="6">
        <v>312195.03000000003</v>
      </c>
      <c r="P30" s="1">
        <v>138055.54</v>
      </c>
    </row>
    <row r="31" spans="1:22" x14ac:dyDescent="0.3">
      <c r="A31" s="1" t="s">
        <v>14</v>
      </c>
      <c r="B31" s="1" t="s">
        <v>32</v>
      </c>
      <c r="C31" s="1" t="s">
        <v>60</v>
      </c>
      <c r="D31" s="1" t="s">
        <v>22</v>
      </c>
      <c r="E31" s="1" t="s">
        <v>18</v>
      </c>
      <c r="F31" s="7">
        <v>40686</v>
      </c>
      <c r="G31" s="1" t="s">
        <v>86</v>
      </c>
      <c r="H31" s="7">
        <v>40692</v>
      </c>
      <c r="I31" s="1">
        <f>Europe_Sales_Records[[#This Row],[Ship Date]]-Europe_Sales_Records[[#This Row],[Order Date]]</f>
        <v>6</v>
      </c>
      <c r="J31" s="1">
        <v>1505</v>
      </c>
      <c r="K31" s="1">
        <v>437.2</v>
      </c>
      <c r="L31" s="1">
        <v>263.33</v>
      </c>
      <c r="M31" s="1">
        <f>Europe_Sales_Records[[#This Row],[Unit Price]]-Europe_Sales_Records[[#This Row],[Unit Cost]]</f>
        <v>173.87</v>
      </c>
      <c r="N31" s="1">
        <v>657986</v>
      </c>
      <c r="O31" s="6">
        <v>396311.65</v>
      </c>
      <c r="P31" s="1">
        <v>261674.35</v>
      </c>
    </row>
    <row r="32" spans="1:22" x14ac:dyDescent="0.3">
      <c r="A32" s="1" t="s">
        <v>14</v>
      </c>
      <c r="B32" s="1" t="s">
        <v>87</v>
      </c>
      <c r="C32" s="1" t="s">
        <v>26</v>
      </c>
      <c r="D32" s="1" t="s">
        <v>22</v>
      </c>
      <c r="E32" s="1" t="s">
        <v>23</v>
      </c>
      <c r="F32" s="7">
        <v>41920</v>
      </c>
      <c r="G32" s="1" t="s">
        <v>88</v>
      </c>
      <c r="H32" s="7">
        <v>41930</v>
      </c>
      <c r="I32" s="1">
        <f>Europe_Sales_Records[[#This Row],[Ship Date]]-Europe_Sales_Records[[#This Row],[Order Date]]</f>
        <v>10</v>
      </c>
      <c r="J32" s="1">
        <v>650</v>
      </c>
      <c r="K32" s="1">
        <v>205.7</v>
      </c>
      <c r="L32" s="1">
        <v>117.11</v>
      </c>
      <c r="M32" s="1">
        <f>Europe_Sales_Records[[#This Row],[Unit Price]]-Europe_Sales_Records[[#This Row],[Unit Cost]]</f>
        <v>88.589999999999989</v>
      </c>
      <c r="N32" s="1">
        <v>133705</v>
      </c>
      <c r="O32" s="6">
        <v>76121.5</v>
      </c>
      <c r="P32" s="1">
        <v>57583.5</v>
      </c>
    </row>
    <row r="33" spans="1:16" x14ac:dyDescent="0.3">
      <c r="A33" s="1" t="s">
        <v>14</v>
      </c>
      <c r="B33" s="1" t="s">
        <v>38</v>
      </c>
      <c r="C33" s="1" t="s">
        <v>48</v>
      </c>
      <c r="D33" s="1" t="s">
        <v>22</v>
      </c>
      <c r="E33" s="1" t="s">
        <v>45</v>
      </c>
      <c r="F33" s="7">
        <v>40575</v>
      </c>
      <c r="G33" s="1" t="s">
        <v>89</v>
      </c>
      <c r="H33" s="7">
        <v>40612</v>
      </c>
      <c r="I33" s="1">
        <f>Europe_Sales_Records[[#This Row],[Ship Date]]-Europe_Sales_Records[[#This Row],[Order Date]]</f>
        <v>37</v>
      </c>
      <c r="J33" s="1">
        <v>955</v>
      </c>
      <c r="K33" s="1">
        <v>152.58000000000001</v>
      </c>
      <c r="L33" s="1">
        <v>97.44</v>
      </c>
      <c r="M33" s="1">
        <f>Europe_Sales_Records[[#This Row],[Unit Price]]-Europe_Sales_Records[[#This Row],[Unit Cost]]</f>
        <v>55.140000000000015</v>
      </c>
      <c r="N33" s="1">
        <v>145713.9</v>
      </c>
      <c r="O33" s="6">
        <v>93055.2</v>
      </c>
      <c r="P33" s="1">
        <v>52658.7</v>
      </c>
    </row>
    <row r="34" spans="1:16" x14ac:dyDescent="0.3">
      <c r="A34" s="1" t="s">
        <v>14</v>
      </c>
      <c r="B34" s="1" t="s">
        <v>38</v>
      </c>
      <c r="C34" s="1" t="s">
        <v>48</v>
      </c>
      <c r="D34" s="1" t="s">
        <v>22</v>
      </c>
      <c r="E34" s="1" t="s">
        <v>45</v>
      </c>
      <c r="F34" s="7">
        <v>40428</v>
      </c>
      <c r="G34" s="1" t="s">
        <v>90</v>
      </c>
      <c r="H34" s="7">
        <v>40444</v>
      </c>
      <c r="I34" s="1">
        <f>Europe_Sales_Records[[#This Row],[Ship Date]]-Europe_Sales_Records[[#This Row],[Order Date]]</f>
        <v>16</v>
      </c>
      <c r="J34" s="1">
        <v>2326</v>
      </c>
      <c r="K34" s="1">
        <v>152.58000000000001</v>
      </c>
      <c r="L34" s="1">
        <v>97.44</v>
      </c>
      <c r="M34" s="1">
        <f>Europe_Sales_Records[[#This Row],[Unit Price]]-Europe_Sales_Records[[#This Row],[Unit Cost]]</f>
        <v>55.140000000000015</v>
      </c>
      <c r="N34" s="1">
        <v>354901.08</v>
      </c>
      <c r="O34" s="6">
        <v>226645.44</v>
      </c>
      <c r="P34" s="1">
        <v>128255.64</v>
      </c>
    </row>
    <row r="35" spans="1:16" x14ac:dyDescent="0.3">
      <c r="A35" s="1" t="s">
        <v>14</v>
      </c>
      <c r="B35" s="1" t="s">
        <v>91</v>
      </c>
      <c r="C35" s="1" t="s">
        <v>33</v>
      </c>
      <c r="D35" s="1" t="s">
        <v>22</v>
      </c>
      <c r="E35" s="1" t="s">
        <v>23</v>
      </c>
      <c r="F35" s="7">
        <v>40625</v>
      </c>
      <c r="G35" s="1" t="s">
        <v>92</v>
      </c>
      <c r="H35" s="7">
        <v>40665</v>
      </c>
      <c r="I35" s="1">
        <f>Europe_Sales_Records[[#This Row],[Ship Date]]-Europe_Sales_Records[[#This Row],[Order Date]]</f>
        <v>40</v>
      </c>
      <c r="J35" s="1">
        <v>8866</v>
      </c>
      <c r="K35" s="1">
        <v>9.33</v>
      </c>
      <c r="L35" s="1">
        <v>6.92</v>
      </c>
      <c r="M35" s="1">
        <f>Europe_Sales_Records[[#This Row],[Unit Price]]-Europe_Sales_Records[[#This Row],[Unit Cost]]</f>
        <v>2.41</v>
      </c>
      <c r="N35" s="1">
        <v>82719.78</v>
      </c>
      <c r="O35" s="6">
        <v>61352.72</v>
      </c>
      <c r="P35" s="1">
        <v>21367.06</v>
      </c>
    </row>
    <row r="36" spans="1:16" x14ac:dyDescent="0.3">
      <c r="A36" s="1" t="s">
        <v>14</v>
      </c>
      <c r="B36" s="1" t="s">
        <v>28</v>
      </c>
      <c r="C36" s="1" t="s">
        <v>48</v>
      </c>
      <c r="D36" s="1" t="s">
        <v>17</v>
      </c>
      <c r="E36" s="1" t="s">
        <v>30</v>
      </c>
      <c r="F36" s="7">
        <v>42805</v>
      </c>
      <c r="G36" s="1" t="s">
        <v>93</v>
      </c>
      <c r="H36" s="7">
        <v>42821</v>
      </c>
      <c r="I36" s="1">
        <f>Europe_Sales_Records[[#This Row],[Ship Date]]-Europe_Sales_Records[[#This Row],[Order Date]]</f>
        <v>16</v>
      </c>
      <c r="J36" s="1">
        <v>1225</v>
      </c>
      <c r="K36" s="1">
        <v>152.58000000000001</v>
      </c>
      <c r="L36" s="1">
        <v>97.44</v>
      </c>
      <c r="M36" s="1">
        <f>Europe_Sales_Records[[#This Row],[Unit Price]]-Europe_Sales_Records[[#This Row],[Unit Cost]]</f>
        <v>55.140000000000015</v>
      </c>
      <c r="N36" s="1">
        <v>186910.5</v>
      </c>
      <c r="O36" s="6">
        <v>119364</v>
      </c>
      <c r="P36" s="1">
        <v>67546.5</v>
      </c>
    </row>
    <row r="37" spans="1:16" x14ac:dyDescent="0.3">
      <c r="A37" s="1" t="s">
        <v>14</v>
      </c>
      <c r="B37" s="1" t="s">
        <v>94</v>
      </c>
      <c r="C37" s="1" t="s">
        <v>16</v>
      </c>
      <c r="D37" s="1" t="s">
        <v>22</v>
      </c>
      <c r="E37" s="1" t="s">
        <v>45</v>
      </c>
      <c r="F37" s="7">
        <v>42526</v>
      </c>
      <c r="G37" s="1" t="s">
        <v>95</v>
      </c>
      <c r="H37" s="7">
        <v>42547</v>
      </c>
      <c r="I37" s="1">
        <f>Europe_Sales_Records[[#This Row],[Ship Date]]-Europe_Sales_Records[[#This Row],[Order Date]]</f>
        <v>21</v>
      </c>
      <c r="J37" s="1">
        <v>589</v>
      </c>
      <c r="K37" s="1">
        <v>47.45</v>
      </c>
      <c r="L37" s="1">
        <v>31.79</v>
      </c>
      <c r="M37" s="1">
        <f>Europe_Sales_Records[[#This Row],[Unit Price]]-Europe_Sales_Records[[#This Row],[Unit Cost]]</f>
        <v>15.660000000000004</v>
      </c>
      <c r="N37" s="1">
        <v>27948.05</v>
      </c>
      <c r="O37" s="6">
        <v>18724.310000000001</v>
      </c>
      <c r="P37" s="1">
        <v>9223.74</v>
      </c>
    </row>
    <row r="38" spans="1:16" x14ac:dyDescent="0.3">
      <c r="A38" s="1" t="s">
        <v>14</v>
      </c>
      <c r="B38" s="1" t="s">
        <v>44</v>
      </c>
      <c r="C38" s="1" t="s">
        <v>39</v>
      </c>
      <c r="D38" s="1" t="s">
        <v>17</v>
      </c>
      <c r="E38" s="1" t="s">
        <v>30</v>
      </c>
      <c r="F38" s="7">
        <v>41319</v>
      </c>
      <c r="G38" s="1" t="s">
        <v>96</v>
      </c>
      <c r="H38" s="7">
        <v>41354</v>
      </c>
      <c r="I38" s="1">
        <f>Europe_Sales_Records[[#This Row],[Ship Date]]-Europe_Sales_Records[[#This Row],[Order Date]]</f>
        <v>35</v>
      </c>
      <c r="J38" s="1">
        <v>4453</v>
      </c>
      <c r="K38" s="1">
        <v>154.06</v>
      </c>
      <c r="L38" s="1">
        <v>90.93</v>
      </c>
      <c r="M38" s="1">
        <f>Europe_Sales_Records[[#This Row],[Unit Price]]-Europe_Sales_Records[[#This Row],[Unit Cost]]</f>
        <v>63.129999999999995</v>
      </c>
      <c r="N38" s="1">
        <v>686029.18</v>
      </c>
      <c r="O38" s="6">
        <v>404911.29</v>
      </c>
      <c r="P38" s="1">
        <v>281117.89</v>
      </c>
    </row>
    <row r="39" spans="1:16" x14ac:dyDescent="0.3">
      <c r="A39" s="1" t="s">
        <v>14</v>
      </c>
      <c r="B39" s="1" t="s">
        <v>97</v>
      </c>
      <c r="C39" s="1" t="s">
        <v>33</v>
      </c>
      <c r="D39" s="1" t="s">
        <v>22</v>
      </c>
      <c r="E39" s="1" t="s">
        <v>30</v>
      </c>
      <c r="F39" s="7">
        <v>40300</v>
      </c>
      <c r="G39" s="1" t="s">
        <v>98</v>
      </c>
      <c r="H39" s="7">
        <v>40335</v>
      </c>
      <c r="I39" s="1">
        <f>Europe_Sales_Records[[#This Row],[Ship Date]]-Europe_Sales_Records[[#This Row],[Order Date]]</f>
        <v>35</v>
      </c>
      <c r="J39" s="1">
        <v>6788</v>
      </c>
      <c r="K39" s="1">
        <v>9.33</v>
      </c>
      <c r="L39" s="1">
        <v>6.92</v>
      </c>
      <c r="M39" s="1">
        <f>Europe_Sales_Records[[#This Row],[Unit Price]]-Europe_Sales_Records[[#This Row],[Unit Cost]]</f>
        <v>2.41</v>
      </c>
      <c r="N39" s="1">
        <v>63332.04</v>
      </c>
      <c r="O39" s="6">
        <v>46972.959999999999</v>
      </c>
      <c r="P39" s="1">
        <v>16359.08</v>
      </c>
    </row>
    <row r="40" spans="1:16" x14ac:dyDescent="0.3">
      <c r="A40" s="1" t="s">
        <v>14</v>
      </c>
      <c r="B40" s="1" t="s">
        <v>99</v>
      </c>
      <c r="C40" s="1" t="s">
        <v>52</v>
      </c>
      <c r="D40" s="1" t="s">
        <v>22</v>
      </c>
      <c r="E40" s="1" t="s">
        <v>23</v>
      </c>
      <c r="F40" s="7">
        <v>40568</v>
      </c>
      <c r="G40" s="1" t="s">
        <v>100</v>
      </c>
      <c r="H40" s="7">
        <v>40615</v>
      </c>
      <c r="I40" s="1">
        <f>Europe_Sales_Records[[#This Row],[Ship Date]]-Europe_Sales_Records[[#This Row],[Order Date]]</f>
        <v>47</v>
      </c>
      <c r="J40" s="1">
        <v>9968</v>
      </c>
      <c r="K40" s="1">
        <v>255.28</v>
      </c>
      <c r="L40" s="1">
        <v>159.41999999999999</v>
      </c>
      <c r="M40" s="1">
        <f>Europe_Sales_Records[[#This Row],[Unit Price]]-Europe_Sales_Records[[#This Row],[Unit Cost]]</f>
        <v>95.860000000000014</v>
      </c>
      <c r="N40" s="1">
        <v>2544631.04</v>
      </c>
      <c r="O40" s="6">
        <v>1589098.56</v>
      </c>
      <c r="P40" s="1">
        <v>955532.48</v>
      </c>
    </row>
    <row r="41" spans="1:16" x14ac:dyDescent="0.3">
      <c r="A41" s="1" t="s">
        <v>14</v>
      </c>
      <c r="B41" s="1" t="s">
        <v>101</v>
      </c>
      <c r="C41" s="1" t="s">
        <v>60</v>
      </c>
      <c r="D41" s="1" t="s">
        <v>17</v>
      </c>
      <c r="E41" s="1" t="s">
        <v>30</v>
      </c>
      <c r="F41" s="7">
        <v>40914</v>
      </c>
      <c r="G41" s="1" t="s">
        <v>102</v>
      </c>
      <c r="H41" s="7">
        <v>40957</v>
      </c>
      <c r="I41" s="1">
        <f>Europe_Sales_Records[[#This Row],[Ship Date]]-Europe_Sales_Records[[#This Row],[Order Date]]</f>
        <v>43</v>
      </c>
      <c r="J41" s="1">
        <v>5223</v>
      </c>
      <c r="K41" s="1">
        <v>437.2</v>
      </c>
      <c r="L41" s="1">
        <v>263.33</v>
      </c>
      <c r="M41" s="1">
        <f>Europe_Sales_Records[[#This Row],[Unit Price]]-Europe_Sales_Records[[#This Row],[Unit Cost]]</f>
        <v>173.87</v>
      </c>
      <c r="N41" s="1">
        <v>2283495.6</v>
      </c>
      <c r="O41" s="6">
        <v>1375372.59</v>
      </c>
      <c r="P41" s="1">
        <v>908123.01</v>
      </c>
    </row>
    <row r="42" spans="1:16" x14ac:dyDescent="0.3">
      <c r="A42" s="1" t="s">
        <v>14</v>
      </c>
      <c r="B42" s="1" t="s">
        <v>103</v>
      </c>
      <c r="C42" s="1" t="s">
        <v>39</v>
      </c>
      <c r="D42" s="1" t="s">
        <v>22</v>
      </c>
      <c r="E42" s="1" t="s">
        <v>18</v>
      </c>
      <c r="F42" s="7">
        <v>41187</v>
      </c>
      <c r="G42" s="1" t="s">
        <v>104</v>
      </c>
      <c r="H42" s="7">
        <v>41216</v>
      </c>
      <c r="I42" s="1">
        <f>Europe_Sales_Records[[#This Row],[Ship Date]]-Europe_Sales_Records[[#This Row],[Order Date]]</f>
        <v>29</v>
      </c>
      <c r="J42" s="1">
        <v>5310</v>
      </c>
      <c r="K42" s="1">
        <v>154.06</v>
      </c>
      <c r="L42" s="1">
        <v>90.93</v>
      </c>
      <c r="M42" s="1">
        <f>Europe_Sales_Records[[#This Row],[Unit Price]]-Europe_Sales_Records[[#This Row],[Unit Cost]]</f>
        <v>63.129999999999995</v>
      </c>
      <c r="N42" s="1">
        <v>818058.6</v>
      </c>
      <c r="O42" s="6">
        <v>482838.3</v>
      </c>
      <c r="P42" s="1">
        <v>335220.3</v>
      </c>
    </row>
    <row r="43" spans="1:16" x14ac:dyDescent="0.3">
      <c r="A43" s="1" t="s">
        <v>14</v>
      </c>
      <c r="B43" s="1" t="s">
        <v>81</v>
      </c>
      <c r="C43" s="1" t="s">
        <v>39</v>
      </c>
      <c r="D43" s="1" t="s">
        <v>17</v>
      </c>
      <c r="E43" s="1" t="s">
        <v>18</v>
      </c>
      <c r="F43" s="7">
        <v>41822</v>
      </c>
      <c r="G43" s="1" t="s">
        <v>105</v>
      </c>
      <c r="H43" s="7">
        <v>41839</v>
      </c>
      <c r="I43" s="1">
        <f>Europe_Sales_Records[[#This Row],[Ship Date]]-Europe_Sales_Records[[#This Row],[Order Date]]</f>
        <v>17</v>
      </c>
      <c r="J43" s="1">
        <v>9558</v>
      </c>
      <c r="K43" s="1">
        <v>154.06</v>
      </c>
      <c r="L43" s="1">
        <v>90.93</v>
      </c>
      <c r="M43" s="1">
        <f>Europe_Sales_Records[[#This Row],[Unit Price]]-Europe_Sales_Records[[#This Row],[Unit Cost]]</f>
        <v>63.129999999999995</v>
      </c>
      <c r="N43" s="1">
        <v>1472505.48</v>
      </c>
      <c r="O43" s="6">
        <v>869108.94</v>
      </c>
      <c r="P43" s="1">
        <v>603396.54</v>
      </c>
    </row>
    <row r="44" spans="1:16" x14ac:dyDescent="0.3">
      <c r="A44" s="1" t="s">
        <v>14</v>
      </c>
      <c r="B44" s="1" t="s">
        <v>106</v>
      </c>
      <c r="C44" s="1" t="s">
        <v>79</v>
      </c>
      <c r="D44" s="1" t="s">
        <v>22</v>
      </c>
      <c r="E44" s="1" t="s">
        <v>23</v>
      </c>
      <c r="F44" s="7">
        <v>41344</v>
      </c>
      <c r="G44" s="1" t="s">
        <v>107</v>
      </c>
      <c r="H44" s="7">
        <v>41376</v>
      </c>
      <c r="I44" s="1">
        <f>Europe_Sales_Records[[#This Row],[Ship Date]]-Europe_Sales_Records[[#This Row],[Order Date]]</f>
        <v>32</v>
      </c>
      <c r="J44" s="1">
        <v>8092</v>
      </c>
      <c r="K44" s="1">
        <v>81.73</v>
      </c>
      <c r="L44" s="1">
        <v>56.67</v>
      </c>
      <c r="M44" s="1">
        <f>Europe_Sales_Records[[#This Row],[Unit Price]]-Europe_Sales_Records[[#This Row],[Unit Cost]]</f>
        <v>25.060000000000002</v>
      </c>
      <c r="N44" s="1">
        <v>661359.16</v>
      </c>
      <c r="O44" s="6">
        <v>458573.64</v>
      </c>
      <c r="P44" s="1">
        <v>202785.52</v>
      </c>
    </row>
    <row r="45" spans="1:16" x14ac:dyDescent="0.3">
      <c r="A45" s="1" t="s">
        <v>14</v>
      </c>
      <c r="B45" s="1" t="s">
        <v>97</v>
      </c>
      <c r="C45" s="1" t="s">
        <v>60</v>
      </c>
      <c r="D45" s="1" t="s">
        <v>17</v>
      </c>
      <c r="E45" s="1" t="s">
        <v>18</v>
      </c>
      <c r="F45" s="7">
        <v>41214</v>
      </c>
      <c r="G45" s="1" t="s">
        <v>108</v>
      </c>
      <c r="H45" s="7">
        <v>41226</v>
      </c>
      <c r="I45" s="1">
        <f>Europe_Sales_Records[[#This Row],[Ship Date]]-Europe_Sales_Records[[#This Row],[Order Date]]</f>
        <v>12</v>
      </c>
      <c r="J45" s="1">
        <v>1818</v>
      </c>
      <c r="K45" s="1">
        <v>437.2</v>
      </c>
      <c r="L45" s="1">
        <v>263.33</v>
      </c>
      <c r="M45" s="1">
        <f>Europe_Sales_Records[[#This Row],[Unit Price]]-Europe_Sales_Records[[#This Row],[Unit Cost]]</f>
        <v>173.87</v>
      </c>
      <c r="N45" s="1">
        <v>794829.6</v>
      </c>
      <c r="O45" s="6">
        <v>478733.94</v>
      </c>
      <c r="P45" s="1">
        <v>316095.65999999997</v>
      </c>
    </row>
    <row r="46" spans="1:16" x14ac:dyDescent="0.3">
      <c r="A46" s="1" t="s">
        <v>14</v>
      </c>
      <c r="B46" s="1" t="s">
        <v>103</v>
      </c>
      <c r="C46" s="1" t="s">
        <v>60</v>
      </c>
      <c r="D46" s="1" t="s">
        <v>17</v>
      </c>
      <c r="E46" s="1" t="s">
        <v>30</v>
      </c>
      <c r="F46" s="7">
        <v>42643</v>
      </c>
      <c r="G46" s="1" t="s">
        <v>109</v>
      </c>
      <c r="H46" s="7">
        <v>42652</v>
      </c>
      <c r="I46" s="1">
        <f>Europe_Sales_Records[[#This Row],[Ship Date]]-Europe_Sales_Records[[#This Row],[Order Date]]</f>
        <v>9</v>
      </c>
      <c r="J46" s="1">
        <v>9619</v>
      </c>
      <c r="K46" s="1">
        <v>437.2</v>
      </c>
      <c r="L46" s="1">
        <v>263.33</v>
      </c>
      <c r="M46" s="1">
        <f>Europe_Sales_Records[[#This Row],[Unit Price]]-Europe_Sales_Records[[#This Row],[Unit Cost]]</f>
        <v>173.87</v>
      </c>
      <c r="N46" s="1">
        <v>4205426.8</v>
      </c>
      <c r="O46" s="6">
        <v>2532971.27</v>
      </c>
      <c r="P46" s="1">
        <v>1672455.53</v>
      </c>
    </row>
    <row r="47" spans="1:16" x14ac:dyDescent="0.3">
      <c r="A47" s="1" t="s">
        <v>14</v>
      </c>
      <c r="B47" s="1" t="s">
        <v>67</v>
      </c>
      <c r="C47" s="1" t="s">
        <v>52</v>
      </c>
      <c r="D47" s="1" t="s">
        <v>22</v>
      </c>
      <c r="E47" s="1" t="s">
        <v>30</v>
      </c>
      <c r="F47" s="7">
        <v>42219</v>
      </c>
      <c r="G47" s="1" t="s">
        <v>110</v>
      </c>
      <c r="H47" s="7">
        <v>42255</v>
      </c>
      <c r="I47" s="1">
        <f>Europe_Sales_Records[[#This Row],[Ship Date]]-Europe_Sales_Records[[#This Row],[Order Date]]</f>
        <v>36</v>
      </c>
      <c r="J47" s="1">
        <v>5157</v>
      </c>
      <c r="K47" s="1">
        <v>255.28</v>
      </c>
      <c r="L47" s="1">
        <v>159.41999999999999</v>
      </c>
      <c r="M47" s="1">
        <f>Europe_Sales_Records[[#This Row],[Unit Price]]-Europe_Sales_Records[[#This Row],[Unit Cost]]</f>
        <v>95.860000000000014</v>
      </c>
      <c r="N47" s="1">
        <v>1316478.96</v>
      </c>
      <c r="O47" s="6">
        <v>822128.94</v>
      </c>
      <c r="P47" s="1">
        <v>494350.02</v>
      </c>
    </row>
    <row r="48" spans="1:16" x14ac:dyDescent="0.3">
      <c r="A48" s="1" t="s">
        <v>14</v>
      </c>
      <c r="B48" s="1" t="s">
        <v>20</v>
      </c>
      <c r="C48" s="1" t="s">
        <v>52</v>
      </c>
      <c r="D48" s="1" t="s">
        <v>22</v>
      </c>
      <c r="E48" s="1" t="s">
        <v>18</v>
      </c>
      <c r="F48" s="7">
        <v>41759</v>
      </c>
      <c r="G48" s="1" t="s">
        <v>111</v>
      </c>
      <c r="H48" s="7">
        <v>41789</v>
      </c>
      <c r="I48" s="1">
        <f>Europe_Sales_Records[[#This Row],[Ship Date]]-Europe_Sales_Records[[#This Row],[Order Date]]</f>
        <v>30</v>
      </c>
      <c r="J48" s="1">
        <v>474</v>
      </c>
      <c r="K48" s="1">
        <v>255.28</v>
      </c>
      <c r="L48" s="1">
        <v>159.41999999999999</v>
      </c>
      <c r="M48" s="1">
        <f>Europe_Sales_Records[[#This Row],[Unit Price]]-Europe_Sales_Records[[#This Row],[Unit Cost]]</f>
        <v>95.860000000000014</v>
      </c>
      <c r="N48" s="1">
        <v>121002.72</v>
      </c>
      <c r="O48" s="6">
        <v>75565.08</v>
      </c>
      <c r="P48" s="1">
        <v>45437.64</v>
      </c>
    </row>
    <row r="49" spans="1:16" x14ac:dyDescent="0.3">
      <c r="A49" s="1" t="s">
        <v>14</v>
      </c>
      <c r="B49" s="1" t="s">
        <v>97</v>
      </c>
      <c r="C49" s="1" t="s">
        <v>39</v>
      </c>
      <c r="D49" s="1" t="s">
        <v>17</v>
      </c>
      <c r="E49" s="1" t="s">
        <v>18</v>
      </c>
      <c r="F49" s="7">
        <v>41261</v>
      </c>
      <c r="G49" s="1" t="s">
        <v>112</v>
      </c>
      <c r="H49" s="7">
        <v>41264</v>
      </c>
      <c r="I49" s="1">
        <f>Europe_Sales_Records[[#This Row],[Ship Date]]-Europe_Sales_Records[[#This Row],[Order Date]]</f>
        <v>3</v>
      </c>
      <c r="J49" s="1">
        <v>2337</v>
      </c>
      <c r="K49" s="1">
        <v>154.06</v>
      </c>
      <c r="L49" s="1">
        <v>90.93</v>
      </c>
      <c r="M49" s="1">
        <f>Europe_Sales_Records[[#This Row],[Unit Price]]-Europe_Sales_Records[[#This Row],[Unit Cost]]</f>
        <v>63.129999999999995</v>
      </c>
      <c r="N49" s="1">
        <v>360038.22</v>
      </c>
      <c r="O49" s="6">
        <v>212503.41</v>
      </c>
      <c r="P49" s="1">
        <v>147534.81</v>
      </c>
    </row>
    <row r="50" spans="1:16" x14ac:dyDescent="0.3">
      <c r="A50" s="1" t="s">
        <v>14</v>
      </c>
      <c r="B50" s="1" t="s">
        <v>41</v>
      </c>
      <c r="C50" s="1" t="s">
        <v>60</v>
      </c>
      <c r="D50" s="1" t="s">
        <v>22</v>
      </c>
      <c r="E50" s="1" t="s">
        <v>18</v>
      </c>
      <c r="F50" s="7">
        <v>42936</v>
      </c>
      <c r="G50" s="1" t="s">
        <v>113</v>
      </c>
      <c r="H50" s="7">
        <v>42936</v>
      </c>
      <c r="I50" s="1">
        <f>Europe_Sales_Records[[#This Row],[Ship Date]]-Europe_Sales_Records[[#This Row],[Order Date]]</f>
        <v>0</v>
      </c>
      <c r="J50" s="1">
        <v>8792</v>
      </c>
      <c r="K50" s="1">
        <v>437.2</v>
      </c>
      <c r="L50" s="1">
        <v>263.33</v>
      </c>
      <c r="M50" s="1">
        <f>Europe_Sales_Records[[#This Row],[Unit Price]]-Europe_Sales_Records[[#This Row],[Unit Cost]]</f>
        <v>173.87</v>
      </c>
      <c r="N50" s="1">
        <v>3843862.4</v>
      </c>
      <c r="O50" s="6">
        <v>2315197.36</v>
      </c>
      <c r="P50" s="1">
        <v>1528665.04</v>
      </c>
    </row>
    <row r="51" spans="1:16" x14ac:dyDescent="0.3">
      <c r="A51" s="1" t="s">
        <v>14</v>
      </c>
      <c r="B51" s="1" t="s">
        <v>101</v>
      </c>
      <c r="C51" s="1" t="s">
        <v>29</v>
      </c>
      <c r="D51" s="1" t="s">
        <v>17</v>
      </c>
      <c r="E51" s="1" t="s">
        <v>18</v>
      </c>
      <c r="F51" s="7">
        <v>42719</v>
      </c>
      <c r="G51" s="1" t="s">
        <v>114</v>
      </c>
      <c r="H51" s="7">
        <v>42746</v>
      </c>
      <c r="I51" s="1">
        <f>Europe_Sales_Records[[#This Row],[Ship Date]]-Europe_Sales_Records[[#This Row],[Order Date]]</f>
        <v>27</v>
      </c>
      <c r="J51" s="1">
        <v>22</v>
      </c>
      <c r="K51" s="1">
        <v>651.21</v>
      </c>
      <c r="L51" s="1">
        <v>524.96</v>
      </c>
      <c r="M51" s="1">
        <f>Europe_Sales_Records[[#This Row],[Unit Price]]-Europe_Sales_Records[[#This Row],[Unit Cost]]</f>
        <v>126.25</v>
      </c>
      <c r="N51" s="1">
        <v>14326.62</v>
      </c>
      <c r="O51" s="6">
        <v>11549.12</v>
      </c>
      <c r="P51" s="1">
        <v>2777.5</v>
      </c>
    </row>
    <row r="52" spans="1:16" x14ac:dyDescent="0.3">
      <c r="A52" s="1" t="s">
        <v>14</v>
      </c>
      <c r="B52" s="1" t="s">
        <v>35</v>
      </c>
      <c r="C52" s="1" t="s">
        <v>29</v>
      </c>
      <c r="D52" s="1" t="s">
        <v>17</v>
      </c>
      <c r="E52" s="1" t="s">
        <v>45</v>
      </c>
      <c r="F52" s="7">
        <v>41822</v>
      </c>
      <c r="G52" s="1" t="s">
        <v>115</v>
      </c>
      <c r="H52" s="7">
        <v>41872</v>
      </c>
      <c r="I52" s="1">
        <f>Europe_Sales_Records[[#This Row],[Ship Date]]-Europe_Sales_Records[[#This Row],[Order Date]]</f>
        <v>50</v>
      </c>
      <c r="J52" s="1">
        <v>3061</v>
      </c>
      <c r="K52" s="1">
        <v>651.21</v>
      </c>
      <c r="L52" s="1">
        <v>524.96</v>
      </c>
      <c r="M52" s="1">
        <f>Europe_Sales_Records[[#This Row],[Unit Price]]-Europe_Sales_Records[[#This Row],[Unit Cost]]</f>
        <v>126.25</v>
      </c>
      <c r="N52" s="1">
        <v>1993353.81</v>
      </c>
      <c r="O52" s="6">
        <v>1606902.56</v>
      </c>
      <c r="P52" s="1">
        <v>386451.25</v>
      </c>
    </row>
    <row r="53" spans="1:16" x14ac:dyDescent="0.3">
      <c r="A53" s="1" t="s">
        <v>14</v>
      </c>
      <c r="B53" s="1" t="s">
        <v>116</v>
      </c>
      <c r="C53" s="1" t="s">
        <v>42</v>
      </c>
      <c r="D53" s="1" t="s">
        <v>22</v>
      </c>
      <c r="E53" s="1" t="s">
        <v>30</v>
      </c>
      <c r="F53" s="7">
        <v>42336</v>
      </c>
      <c r="G53" s="1" t="s">
        <v>117</v>
      </c>
      <c r="H53" s="7">
        <v>42355</v>
      </c>
      <c r="I53" s="1">
        <f>Europe_Sales_Records[[#This Row],[Ship Date]]-Europe_Sales_Records[[#This Row],[Order Date]]</f>
        <v>19</v>
      </c>
      <c r="J53" s="1">
        <v>257</v>
      </c>
      <c r="K53" s="1">
        <v>421.89</v>
      </c>
      <c r="L53" s="1">
        <v>364.69</v>
      </c>
      <c r="M53" s="1">
        <f>Europe_Sales_Records[[#This Row],[Unit Price]]-Europe_Sales_Records[[#This Row],[Unit Cost]]</f>
        <v>57.199999999999989</v>
      </c>
      <c r="N53" s="1">
        <v>108425.73</v>
      </c>
      <c r="O53" s="6">
        <v>93725.33</v>
      </c>
      <c r="P53" s="1">
        <v>14700.4</v>
      </c>
    </row>
    <row r="54" spans="1:16" x14ac:dyDescent="0.3">
      <c r="A54" s="1" t="s">
        <v>14</v>
      </c>
      <c r="B54" s="1" t="s">
        <v>118</v>
      </c>
      <c r="C54" s="1" t="s">
        <v>33</v>
      </c>
      <c r="D54" s="1" t="s">
        <v>22</v>
      </c>
      <c r="E54" s="1" t="s">
        <v>45</v>
      </c>
      <c r="F54" s="7">
        <v>40838</v>
      </c>
      <c r="G54" s="1" t="s">
        <v>119</v>
      </c>
      <c r="H54" s="7">
        <v>40861</v>
      </c>
      <c r="I54" s="1">
        <f>Europe_Sales_Records[[#This Row],[Ship Date]]-Europe_Sales_Records[[#This Row],[Order Date]]</f>
        <v>23</v>
      </c>
      <c r="J54" s="1">
        <v>9172</v>
      </c>
      <c r="K54" s="1">
        <v>9.33</v>
      </c>
      <c r="L54" s="1">
        <v>6.92</v>
      </c>
      <c r="M54" s="1">
        <f>Europe_Sales_Records[[#This Row],[Unit Price]]-Europe_Sales_Records[[#This Row],[Unit Cost]]</f>
        <v>2.41</v>
      </c>
      <c r="N54" s="1">
        <v>85574.76</v>
      </c>
      <c r="O54" s="6">
        <v>63470.239999999998</v>
      </c>
      <c r="P54" s="1">
        <v>22104.52</v>
      </c>
    </row>
    <row r="55" spans="1:16" x14ac:dyDescent="0.3">
      <c r="A55" s="1" t="s">
        <v>14</v>
      </c>
      <c r="B55" s="1" t="s">
        <v>120</v>
      </c>
      <c r="C55" s="1" t="s">
        <v>39</v>
      </c>
      <c r="D55" s="1" t="s">
        <v>22</v>
      </c>
      <c r="E55" s="1" t="s">
        <v>45</v>
      </c>
      <c r="F55" s="7">
        <v>40441</v>
      </c>
      <c r="G55" s="1" t="s">
        <v>121</v>
      </c>
      <c r="H55" s="7">
        <v>40476</v>
      </c>
      <c r="I55" s="1">
        <f>Europe_Sales_Records[[#This Row],[Ship Date]]-Europe_Sales_Records[[#This Row],[Order Date]]</f>
        <v>35</v>
      </c>
      <c r="J55" s="1">
        <v>1151</v>
      </c>
      <c r="K55" s="1">
        <v>154.06</v>
      </c>
      <c r="L55" s="1">
        <v>90.93</v>
      </c>
      <c r="M55" s="1">
        <f>Europe_Sales_Records[[#This Row],[Unit Price]]-Europe_Sales_Records[[#This Row],[Unit Cost]]</f>
        <v>63.129999999999995</v>
      </c>
      <c r="N55" s="1">
        <v>177323.06</v>
      </c>
      <c r="O55" s="6">
        <v>104660.43</v>
      </c>
      <c r="P55" s="1">
        <v>72662.63</v>
      </c>
    </row>
    <row r="56" spans="1:16" x14ac:dyDescent="0.3">
      <c r="A56" s="1" t="s">
        <v>14</v>
      </c>
      <c r="B56" s="1" t="s">
        <v>63</v>
      </c>
      <c r="C56" s="1" t="s">
        <v>48</v>
      </c>
      <c r="D56" s="1" t="s">
        <v>22</v>
      </c>
      <c r="E56" s="1" t="s">
        <v>18</v>
      </c>
      <c r="F56" s="7">
        <v>42809</v>
      </c>
      <c r="G56" s="1" t="s">
        <v>122</v>
      </c>
      <c r="H56" s="7">
        <v>42834</v>
      </c>
      <c r="I56" s="1">
        <f>Europe_Sales_Records[[#This Row],[Ship Date]]-Europe_Sales_Records[[#This Row],[Order Date]]</f>
        <v>25</v>
      </c>
      <c r="J56" s="1">
        <v>5755</v>
      </c>
      <c r="K56" s="1">
        <v>152.58000000000001</v>
      </c>
      <c r="L56" s="1">
        <v>97.44</v>
      </c>
      <c r="M56" s="1">
        <f>Europe_Sales_Records[[#This Row],[Unit Price]]-Europe_Sales_Records[[#This Row],[Unit Cost]]</f>
        <v>55.140000000000015</v>
      </c>
      <c r="N56" s="1">
        <v>878097.9</v>
      </c>
      <c r="O56" s="6">
        <v>560767.19999999995</v>
      </c>
      <c r="P56" s="1">
        <v>317330.7</v>
      </c>
    </row>
    <row r="57" spans="1:16" x14ac:dyDescent="0.3">
      <c r="A57" s="1" t="s">
        <v>14</v>
      </c>
      <c r="B57" s="1" t="s">
        <v>87</v>
      </c>
      <c r="C57" s="1" t="s">
        <v>79</v>
      </c>
      <c r="D57" s="1" t="s">
        <v>17</v>
      </c>
      <c r="E57" s="1" t="s">
        <v>23</v>
      </c>
      <c r="F57" s="7">
        <v>41068</v>
      </c>
      <c r="G57" s="1" t="s">
        <v>123</v>
      </c>
      <c r="H57" s="7">
        <v>41077</v>
      </c>
      <c r="I57" s="1">
        <f>Europe_Sales_Records[[#This Row],[Ship Date]]-Europe_Sales_Records[[#This Row],[Order Date]]</f>
        <v>9</v>
      </c>
      <c r="J57" s="1">
        <v>7480</v>
      </c>
      <c r="K57" s="1">
        <v>81.73</v>
      </c>
      <c r="L57" s="1">
        <v>56.67</v>
      </c>
      <c r="M57" s="1">
        <f>Europe_Sales_Records[[#This Row],[Unit Price]]-Europe_Sales_Records[[#This Row],[Unit Cost]]</f>
        <v>25.060000000000002</v>
      </c>
      <c r="N57" s="1">
        <v>611340.4</v>
      </c>
      <c r="O57" s="6">
        <v>423891.6</v>
      </c>
      <c r="P57" s="1">
        <v>187448.8</v>
      </c>
    </row>
    <row r="58" spans="1:16" x14ac:dyDescent="0.3">
      <c r="A58" s="1" t="s">
        <v>14</v>
      </c>
      <c r="B58" s="1" t="s">
        <v>32</v>
      </c>
      <c r="C58" s="1" t="s">
        <v>21</v>
      </c>
      <c r="D58" s="1" t="s">
        <v>22</v>
      </c>
      <c r="E58" s="1" t="s">
        <v>45</v>
      </c>
      <c r="F58" s="7">
        <v>41160</v>
      </c>
      <c r="G58" s="1" t="s">
        <v>124</v>
      </c>
      <c r="H58" s="7">
        <v>41168</v>
      </c>
      <c r="I58" s="1">
        <f>Europe_Sales_Records[[#This Row],[Ship Date]]-Europe_Sales_Records[[#This Row],[Order Date]]</f>
        <v>8</v>
      </c>
      <c r="J58" s="1">
        <v>5016</v>
      </c>
      <c r="K58" s="1">
        <v>109.28</v>
      </c>
      <c r="L58" s="1">
        <v>35.840000000000003</v>
      </c>
      <c r="M58" s="1">
        <f>Europe_Sales_Records[[#This Row],[Unit Price]]-Europe_Sales_Records[[#This Row],[Unit Cost]]</f>
        <v>73.44</v>
      </c>
      <c r="N58" s="1">
        <v>548148.47999999998</v>
      </c>
      <c r="O58" s="6">
        <v>179773.44</v>
      </c>
      <c r="P58" s="1">
        <v>368375.03999999998</v>
      </c>
    </row>
    <row r="59" spans="1:16" x14ac:dyDescent="0.3">
      <c r="A59" s="1" t="s">
        <v>14</v>
      </c>
      <c r="B59" s="1" t="s">
        <v>77</v>
      </c>
      <c r="C59" s="1" t="s">
        <v>79</v>
      </c>
      <c r="D59" s="1" t="s">
        <v>17</v>
      </c>
      <c r="E59" s="1" t="s">
        <v>23</v>
      </c>
      <c r="F59" s="7">
        <v>40771</v>
      </c>
      <c r="G59" s="1" t="s">
        <v>125</v>
      </c>
      <c r="H59" s="7">
        <v>40771</v>
      </c>
      <c r="I59" s="1">
        <f>Europe_Sales_Records[[#This Row],[Ship Date]]-Europe_Sales_Records[[#This Row],[Order Date]]</f>
        <v>0</v>
      </c>
      <c r="J59" s="1">
        <v>1201</v>
      </c>
      <c r="K59" s="1">
        <v>81.73</v>
      </c>
      <c r="L59" s="1">
        <v>56.67</v>
      </c>
      <c r="M59" s="1">
        <f>Europe_Sales_Records[[#This Row],[Unit Price]]-Europe_Sales_Records[[#This Row],[Unit Cost]]</f>
        <v>25.060000000000002</v>
      </c>
      <c r="N59" s="1">
        <v>98157.73</v>
      </c>
      <c r="O59" s="6">
        <v>68060.67</v>
      </c>
      <c r="P59" s="1">
        <v>30097.06</v>
      </c>
    </row>
    <row r="60" spans="1:16" x14ac:dyDescent="0.3">
      <c r="A60" s="1" t="s">
        <v>14</v>
      </c>
      <c r="B60" s="1" t="s">
        <v>67</v>
      </c>
      <c r="C60" s="1" t="s">
        <v>26</v>
      </c>
      <c r="D60" s="1" t="s">
        <v>22</v>
      </c>
      <c r="E60" s="1" t="s">
        <v>18</v>
      </c>
      <c r="F60" s="7">
        <v>42227</v>
      </c>
      <c r="G60" s="1" t="s">
        <v>126</v>
      </c>
      <c r="H60" s="7">
        <v>42266</v>
      </c>
      <c r="I60" s="1">
        <f>Europe_Sales_Records[[#This Row],[Ship Date]]-Europe_Sales_Records[[#This Row],[Order Date]]</f>
        <v>39</v>
      </c>
      <c r="J60" s="1">
        <v>4868</v>
      </c>
      <c r="K60" s="1">
        <v>205.7</v>
      </c>
      <c r="L60" s="1">
        <v>117.11</v>
      </c>
      <c r="M60" s="1">
        <f>Europe_Sales_Records[[#This Row],[Unit Price]]-Europe_Sales_Records[[#This Row],[Unit Cost]]</f>
        <v>88.589999999999989</v>
      </c>
      <c r="N60" s="1">
        <v>1001347.6</v>
      </c>
      <c r="O60" s="6">
        <v>570091.48</v>
      </c>
      <c r="P60" s="1">
        <v>431256.12</v>
      </c>
    </row>
    <row r="61" spans="1:16" x14ac:dyDescent="0.3">
      <c r="A61" s="1" t="s">
        <v>14</v>
      </c>
      <c r="B61" s="1" t="s">
        <v>127</v>
      </c>
      <c r="C61" s="1" t="s">
        <v>60</v>
      </c>
      <c r="D61" s="1" t="s">
        <v>22</v>
      </c>
      <c r="E61" s="1" t="s">
        <v>18</v>
      </c>
      <c r="F61" s="7">
        <v>40538</v>
      </c>
      <c r="G61" s="1" t="s">
        <v>128</v>
      </c>
      <c r="H61" s="7">
        <v>40565</v>
      </c>
      <c r="I61" s="1">
        <f>Europe_Sales_Records[[#This Row],[Ship Date]]-Europe_Sales_Records[[#This Row],[Order Date]]</f>
        <v>27</v>
      </c>
      <c r="J61" s="1">
        <v>869</v>
      </c>
      <c r="K61" s="1">
        <v>437.2</v>
      </c>
      <c r="L61" s="1">
        <v>263.33</v>
      </c>
      <c r="M61" s="1">
        <f>Europe_Sales_Records[[#This Row],[Unit Price]]-Europe_Sales_Records[[#This Row],[Unit Cost]]</f>
        <v>173.87</v>
      </c>
      <c r="N61" s="1">
        <v>379926.8</v>
      </c>
      <c r="O61" s="6">
        <v>228833.77</v>
      </c>
      <c r="P61" s="1">
        <v>151093.03</v>
      </c>
    </row>
    <row r="62" spans="1:16" x14ac:dyDescent="0.3">
      <c r="A62" s="1" t="s">
        <v>14</v>
      </c>
      <c r="B62" s="1" t="s">
        <v>129</v>
      </c>
      <c r="C62" s="1" t="s">
        <v>79</v>
      </c>
      <c r="D62" s="1" t="s">
        <v>17</v>
      </c>
      <c r="E62" s="1" t="s">
        <v>23</v>
      </c>
      <c r="F62" s="7">
        <v>40885</v>
      </c>
      <c r="G62" s="1" t="s">
        <v>130</v>
      </c>
      <c r="H62" s="7">
        <v>40914</v>
      </c>
      <c r="I62" s="1">
        <f>Europe_Sales_Records[[#This Row],[Ship Date]]-Europe_Sales_Records[[#This Row],[Order Date]]</f>
        <v>29</v>
      </c>
      <c r="J62" s="1">
        <v>8626</v>
      </c>
      <c r="K62" s="1">
        <v>81.73</v>
      </c>
      <c r="L62" s="1">
        <v>56.67</v>
      </c>
      <c r="M62" s="1">
        <f>Europe_Sales_Records[[#This Row],[Unit Price]]-Europe_Sales_Records[[#This Row],[Unit Cost]]</f>
        <v>25.060000000000002</v>
      </c>
      <c r="N62" s="1">
        <v>705002.98</v>
      </c>
      <c r="O62" s="6">
        <v>488835.42</v>
      </c>
      <c r="P62" s="1">
        <v>216167.56</v>
      </c>
    </row>
    <row r="63" spans="1:16" x14ac:dyDescent="0.3">
      <c r="A63" s="1" t="s">
        <v>14</v>
      </c>
      <c r="B63" s="1" t="s">
        <v>131</v>
      </c>
      <c r="C63" s="1" t="s">
        <v>79</v>
      </c>
      <c r="D63" s="1" t="s">
        <v>22</v>
      </c>
      <c r="E63" s="1" t="s">
        <v>18</v>
      </c>
      <c r="F63" s="7">
        <v>40599</v>
      </c>
      <c r="G63" s="1" t="s">
        <v>132</v>
      </c>
      <c r="H63" s="7">
        <v>40630</v>
      </c>
      <c r="I63" s="1">
        <f>Europe_Sales_Records[[#This Row],[Ship Date]]-Europe_Sales_Records[[#This Row],[Order Date]]</f>
        <v>31</v>
      </c>
      <c r="J63" s="1">
        <v>222</v>
      </c>
      <c r="K63" s="1">
        <v>81.73</v>
      </c>
      <c r="L63" s="1">
        <v>56.67</v>
      </c>
      <c r="M63" s="1">
        <f>Europe_Sales_Records[[#This Row],[Unit Price]]-Europe_Sales_Records[[#This Row],[Unit Cost]]</f>
        <v>25.060000000000002</v>
      </c>
      <c r="N63" s="1">
        <v>18144.060000000001</v>
      </c>
      <c r="O63" s="6">
        <v>12580.74</v>
      </c>
      <c r="P63" s="1">
        <v>5563.32</v>
      </c>
    </row>
    <row r="64" spans="1:16" x14ac:dyDescent="0.3">
      <c r="A64" s="1" t="s">
        <v>14</v>
      </c>
      <c r="B64" s="1" t="s">
        <v>87</v>
      </c>
      <c r="C64" s="1" t="s">
        <v>57</v>
      </c>
      <c r="D64" s="1" t="s">
        <v>17</v>
      </c>
      <c r="E64" s="1" t="s">
        <v>23</v>
      </c>
      <c r="F64" s="7">
        <v>40257</v>
      </c>
      <c r="G64" s="1" t="s">
        <v>133</v>
      </c>
      <c r="H64" s="7">
        <v>40294</v>
      </c>
      <c r="I64" s="1">
        <f>Europe_Sales_Records[[#This Row],[Ship Date]]-Europe_Sales_Records[[#This Row],[Order Date]]</f>
        <v>37</v>
      </c>
      <c r="J64" s="1">
        <v>933</v>
      </c>
      <c r="K64" s="1">
        <v>668.27</v>
      </c>
      <c r="L64" s="1">
        <v>502.54</v>
      </c>
      <c r="M64" s="1">
        <f>Europe_Sales_Records[[#This Row],[Unit Price]]-Europe_Sales_Records[[#This Row],[Unit Cost]]</f>
        <v>165.72999999999996</v>
      </c>
      <c r="N64" s="1">
        <v>623495.91</v>
      </c>
      <c r="O64" s="6">
        <v>468869.82</v>
      </c>
      <c r="P64" s="1">
        <v>154626.09</v>
      </c>
    </row>
    <row r="65" spans="1:16" x14ac:dyDescent="0.3">
      <c r="A65" s="1" t="s">
        <v>14</v>
      </c>
      <c r="B65" s="1" t="s">
        <v>54</v>
      </c>
      <c r="C65" s="1" t="s">
        <v>57</v>
      </c>
      <c r="D65" s="1" t="s">
        <v>17</v>
      </c>
      <c r="E65" s="1" t="s">
        <v>18</v>
      </c>
      <c r="F65" s="7">
        <v>41656</v>
      </c>
      <c r="G65" s="1" t="s">
        <v>134</v>
      </c>
      <c r="H65" s="7">
        <v>41688</v>
      </c>
      <c r="I65" s="1">
        <f>Europe_Sales_Records[[#This Row],[Ship Date]]-Europe_Sales_Records[[#This Row],[Order Date]]</f>
        <v>32</v>
      </c>
      <c r="J65" s="1">
        <v>1138</v>
      </c>
      <c r="K65" s="1">
        <v>668.27</v>
      </c>
      <c r="L65" s="1">
        <v>502.54</v>
      </c>
      <c r="M65" s="1">
        <f>Europe_Sales_Records[[#This Row],[Unit Price]]-Europe_Sales_Records[[#This Row],[Unit Cost]]</f>
        <v>165.72999999999996</v>
      </c>
      <c r="N65" s="1">
        <v>760491.26</v>
      </c>
      <c r="O65" s="6">
        <v>571890.52</v>
      </c>
      <c r="P65" s="1">
        <v>188600.74</v>
      </c>
    </row>
    <row r="66" spans="1:16" x14ac:dyDescent="0.3">
      <c r="A66" s="1" t="s">
        <v>14</v>
      </c>
      <c r="B66" s="1" t="s">
        <v>47</v>
      </c>
      <c r="C66" s="1" t="s">
        <v>39</v>
      </c>
      <c r="D66" s="1" t="s">
        <v>17</v>
      </c>
      <c r="E66" s="1" t="s">
        <v>18</v>
      </c>
      <c r="F66" s="7">
        <v>40903</v>
      </c>
      <c r="G66" s="1" t="s">
        <v>135</v>
      </c>
      <c r="H66" s="7">
        <v>40906</v>
      </c>
      <c r="I66" s="1">
        <f>Europe_Sales_Records[[#This Row],[Ship Date]]-Europe_Sales_Records[[#This Row],[Order Date]]</f>
        <v>3</v>
      </c>
      <c r="J66" s="1">
        <v>4988</v>
      </c>
      <c r="K66" s="1">
        <v>154.06</v>
      </c>
      <c r="L66" s="1">
        <v>90.93</v>
      </c>
      <c r="M66" s="1">
        <f>Europe_Sales_Records[[#This Row],[Unit Price]]-Europe_Sales_Records[[#This Row],[Unit Cost]]</f>
        <v>63.129999999999995</v>
      </c>
      <c r="N66" s="1">
        <v>768451.28</v>
      </c>
      <c r="O66" s="6">
        <v>453558.84</v>
      </c>
      <c r="P66" s="1">
        <v>314892.44</v>
      </c>
    </row>
    <row r="67" spans="1:16" x14ac:dyDescent="0.3">
      <c r="A67" s="1" t="s">
        <v>14</v>
      </c>
      <c r="B67" s="1" t="s">
        <v>97</v>
      </c>
      <c r="C67" s="1" t="s">
        <v>33</v>
      </c>
      <c r="D67" s="1" t="s">
        <v>22</v>
      </c>
      <c r="E67" s="1" t="s">
        <v>18</v>
      </c>
      <c r="F67" s="7">
        <v>40970</v>
      </c>
      <c r="G67" s="1" t="s">
        <v>136</v>
      </c>
      <c r="H67" s="7">
        <v>40994</v>
      </c>
      <c r="I67" s="1">
        <f>Europe_Sales_Records[[#This Row],[Ship Date]]-Europe_Sales_Records[[#This Row],[Order Date]]</f>
        <v>24</v>
      </c>
      <c r="J67" s="1">
        <v>9821</v>
      </c>
      <c r="K67" s="1">
        <v>9.33</v>
      </c>
      <c r="L67" s="1">
        <v>6.92</v>
      </c>
      <c r="M67" s="1">
        <f>Europe_Sales_Records[[#This Row],[Unit Price]]-Europe_Sales_Records[[#This Row],[Unit Cost]]</f>
        <v>2.41</v>
      </c>
      <c r="N67" s="1">
        <v>91629.93</v>
      </c>
      <c r="O67" s="6">
        <v>67961.320000000007</v>
      </c>
      <c r="P67" s="1">
        <v>23668.61</v>
      </c>
    </row>
    <row r="68" spans="1:16" x14ac:dyDescent="0.3">
      <c r="A68" s="1" t="s">
        <v>14</v>
      </c>
      <c r="B68" s="1" t="s">
        <v>137</v>
      </c>
      <c r="C68" s="1" t="s">
        <v>52</v>
      </c>
      <c r="D68" s="1" t="s">
        <v>17</v>
      </c>
      <c r="E68" s="1" t="s">
        <v>30</v>
      </c>
      <c r="F68" s="7">
        <v>42741</v>
      </c>
      <c r="G68" s="1" t="s">
        <v>138</v>
      </c>
      <c r="H68" s="7">
        <v>42781</v>
      </c>
      <c r="I68" s="1">
        <f>Europe_Sales_Records[[#This Row],[Ship Date]]-Europe_Sales_Records[[#This Row],[Order Date]]</f>
        <v>40</v>
      </c>
      <c r="J68" s="1">
        <v>9061</v>
      </c>
      <c r="K68" s="1">
        <v>255.28</v>
      </c>
      <c r="L68" s="1">
        <v>159.41999999999999</v>
      </c>
      <c r="M68" s="1">
        <f>Europe_Sales_Records[[#This Row],[Unit Price]]-Europe_Sales_Records[[#This Row],[Unit Cost]]</f>
        <v>95.860000000000014</v>
      </c>
      <c r="N68" s="1">
        <v>2313092.08</v>
      </c>
      <c r="O68" s="6">
        <v>1444504.62</v>
      </c>
      <c r="P68" s="1">
        <v>868587.46</v>
      </c>
    </row>
    <row r="69" spans="1:16" x14ac:dyDescent="0.3">
      <c r="A69" s="1" t="s">
        <v>14</v>
      </c>
      <c r="B69" s="1" t="s">
        <v>99</v>
      </c>
      <c r="C69" s="1" t="s">
        <v>16</v>
      </c>
      <c r="D69" s="1" t="s">
        <v>22</v>
      </c>
      <c r="E69" s="1" t="s">
        <v>30</v>
      </c>
      <c r="F69" s="7">
        <v>41779</v>
      </c>
      <c r="G69" s="1" t="s">
        <v>139</v>
      </c>
      <c r="H69" s="7">
        <v>41811</v>
      </c>
      <c r="I69" s="1">
        <f>Europe_Sales_Records[[#This Row],[Ship Date]]-Europe_Sales_Records[[#This Row],[Order Date]]</f>
        <v>32</v>
      </c>
      <c r="J69" s="1">
        <v>6852</v>
      </c>
      <c r="K69" s="1">
        <v>47.45</v>
      </c>
      <c r="L69" s="1">
        <v>31.79</v>
      </c>
      <c r="M69" s="1">
        <f>Europe_Sales_Records[[#This Row],[Unit Price]]-Europe_Sales_Records[[#This Row],[Unit Cost]]</f>
        <v>15.660000000000004</v>
      </c>
      <c r="N69" s="1">
        <v>325127.40000000002</v>
      </c>
      <c r="O69" s="6">
        <v>217825.08</v>
      </c>
      <c r="P69" s="1">
        <v>107302.32</v>
      </c>
    </row>
    <row r="70" spans="1:16" x14ac:dyDescent="0.3">
      <c r="A70" s="1" t="s">
        <v>14</v>
      </c>
      <c r="B70" s="1" t="s">
        <v>28</v>
      </c>
      <c r="C70" s="1" t="s">
        <v>60</v>
      </c>
      <c r="D70" s="1" t="s">
        <v>22</v>
      </c>
      <c r="E70" s="1" t="s">
        <v>18</v>
      </c>
      <c r="F70" s="7">
        <v>41034</v>
      </c>
      <c r="G70" s="1" t="s">
        <v>140</v>
      </c>
      <c r="H70" s="7">
        <v>41062</v>
      </c>
      <c r="I70" s="1">
        <f>Europe_Sales_Records[[#This Row],[Ship Date]]-Europe_Sales_Records[[#This Row],[Order Date]]</f>
        <v>28</v>
      </c>
      <c r="J70" s="1">
        <v>1420</v>
      </c>
      <c r="K70" s="1">
        <v>437.2</v>
      </c>
      <c r="L70" s="1">
        <v>263.33</v>
      </c>
      <c r="M70" s="1">
        <f>Europe_Sales_Records[[#This Row],[Unit Price]]-Europe_Sales_Records[[#This Row],[Unit Cost]]</f>
        <v>173.87</v>
      </c>
      <c r="N70" s="1">
        <v>620824</v>
      </c>
      <c r="O70" s="6">
        <v>373928.6</v>
      </c>
      <c r="P70" s="1">
        <v>246895.4</v>
      </c>
    </row>
    <row r="71" spans="1:16" x14ac:dyDescent="0.3">
      <c r="A71" s="1" t="s">
        <v>14</v>
      </c>
      <c r="B71" s="1" t="s">
        <v>20</v>
      </c>
      <c r="C71" s="1" t="s">
        <v>33</v>
      </c>
      <c r="D71" s="1" t="s">
        <v>22</v>
      </c>
      <c r="E71" s="1" t="s">
        <v>45</v>
      </c>
      <c r="F71" s="7">
        <v>41279</v>
      </c>
      <c r="G71" s="1" t="s">
        <v>141</v>
      </c>
      <c r="H71" s="7">
        <v>41280</v>
      </c>
      <c r="I71" s="1">
        <f>Europe_Sales_Records[[#This Row],[Ship Date]]-Europe_Sales_Records[[#This Row],[Order Date]]</f>
        <v>1</v>
      </c>
      <c r="J71" s="1">
        <v>2705</v>
      </c>
      <c r="K71" s="1">
        <v>9.33</v>
      </c>
      <c r="L71" s="1">
        <v>6.92</v>
      </c>
      <c r="M71" s="1">
        <f>Europe_Sales_Records[[#This Row],[Unit Price]]-Europe_Sales_Records[[#This Row],[Unit Cost]]</f>
        <v>2.41</v>
      </c>
      <c r="N71" s="1">
        <v>25237.65</v>
      </c>
      <c r="O71" s="6">
        <v>18718.599999999999</v>
      </c>
      <c r="P71" s="1">
        <v>6519.05</v>
      </c>
    </row>
    <row r="72" spans="1:16" x14ac:dyDescent="0.3">
      <c r="A72" s="1" t="s">
        <v>14</v>
      </c>
      <c r="B72" s="1" t="s">
        <v>56</v>
      </c>
      <c r="C72" s="1" t="s">
        <v>79</v>
      </c>
      <c r="D72" s="1" t="s">
        <v>22</v>
      </c>
      <c r="E72" s="1" t="s">
        <v>30</v>
      </c>
      <c r="F72" s="7">
        <v>42118</v>
      </c>
      <c r="G72" s="1" t="s">
        <v>142</v>
      </c>
      <c r="H72" s="7">
        <v>42129</v>
      </c>
      <c r="I72" s="1">
        <f>Europe_Sales_Records[[#This Row],[Ship Date]]-Europe_Sales_Records[[#This Row],[Order Date]]</f>
        <v>11</v>
      </c>
      <c r="J72" s="1">
        <v>9689</v>
      </c>
      <c r="K72" s="1">
        <v>81.73</v>
      </c>
      <c r="L72" s="1">
        <v>56.67</v>
      </c>
      <c r="M72" s="1">
        <f>Europe_Sales_Records[[#This Row],[Unit Price]]-Europe_Sales_Records[[#This Row],[Unit Cost]]</f>
        <v>25.060000000000002</v>
      </c>
      <c r="N72" s="1">
        <v>791881.97</v>
      </c>
      <c r="O72" s="6">
        <v>549075.63</v>
      </c>
      <c r="P72" s="1">
        <v>242806.34</v>
      </c>
    </row>
    <row r="73" spans="1:16" x14ac:dyDescent="0.3">
      <c r="A73" s="1" t="s">
        <v>14</v>
      </c>
      <c r="B73" s="1" t="s">
        <v>103</v>
      </c>
      <c r="C73" s="1" t="s">
        <v>48</v>
      </c>
      <c r="D73" s="1" t="s">
        <v>22</v>
      </c>
      <c r="E73" s="1" t="s">
        <v>45</v>
      </c>
      <c r="F73" s="7">
        <v>40514</v>
      </c>
      <c r="G73" s="1" t="s">
        <v>143</v>
      </c>
      <c r="H73" s="7">
        <v>40519</v>
      </c>
      <c r="I73" s="1">
        <f>Europe_Sales_Records[[#This Row],[Ship Date]]-Europe_Sales_Records[[#This Row],[Order Date]]</f>
        <v>5</v>
      </c>
      <c r="J73" s="1">
        <v>1891</v>
      </c>
      <c r="K73" s="1">
        <v>152.58000000000001</v>
      </c>
      <c r="L73" s="1">
        <v>97.44</v>
      </c>
      <c r="M73" s="1">
        <f>Europe_Sales_Records[[#This Row],[Unit Price]]-Europe_Sales_Records[[#This Row],[Unit Cost]]</f>
        <v>55.140000000000015</v>
      </c>
      <c r="N73" s="1">
        <v>288528.78000000003</v>
      </c>
      <c r="O73" s="6">
        <v>184259.04</v>
      </c>
      <c r="P73" s="1">
        <v>104269.74</v>
      </c>
    </row>
    <row r="74" spans="1:16" x14ac:dyDescent="0.3">
      <c r="A74" s="1" t="s">
        <v>14</v>
      </c>
      <c r="B74" s="1" t="s">
        <v>75</v>
      </c>
      <c r="C74" s="1" t="s">
        <v>33</v>
      </c>
      <c r="D74" s="1" t="s">
        <v>17</v>
      </c>
      <c r="E74" s="1" t="s">
        <v>23</v>
      </c>
      <c r="F74" s="7">
        <v>41623</v>
      </c>
      <c r="G74" s="1" t="s">
        <v>144</v>
      </c>
      <c r="H74" s="7">
        <v>41644</v>
      </c>
      <c r="I74" s="1">
        <f>Europe_Sales_Records[[#This Row],[Ship Date]]-Europe_Sales_Records[[#This Row],[Order Date]]</f>
        <v>21</v>
      </c>
      <c r="J74" s="1">
        <v>6225</v>
      </c>
      <c r="K74" s="1">
        <v>9.33</v>
      </c>
      <c r="L74" s="1">
        <v>6.92</v>
      </c>
      <c r="M74" s="1">
        <f>Europe_Sales_Records[[#This Row],[Unit Price]]-Europe_Sales_Records[[#This Row],[Unit Cost]]</f>
        <v>2.41</v>
      </c>
      <c r="N74" s="1">
        <v>58079.25</v>
      </c>
      <c r="O74" s="6">
        <v>43077</v>
      </c>
      <c r="P74" s="1">
        <v>15002.25</v>
      </c>
    </row>
    <row r="75" spans="1:16" x14ac:dyDescent="0.3">
      <c r="A75" s="1" t="s">
        <v>14</v>
      </c>
      <c r="B75" s="1" t="s">
        <v>127</v>
      </c>
      <c r="C75" s="1" t="s">
        <v>79</v>
      </c>
      <c r="D75" s="1" t="s">
        <v>22</v>
      </c>
      <c r="E75" s="1" t="s">
        <v>30</v>
      </c>
      <c r="F75" s="7">
        <v>41839</v>
      </c>
      <c r="G75" s="1" t="s">
        <v>145</v>
      </c>
      <c r="H75" s="7">
        <v>41869</v>
      </c>
      <c r="I75" s="1">
        <f>Europe_Sales_Records[[#This Row],[Ship Date]]-Europe_Sales_Records[[#This Row],[Order Date]]</f>
        <v>30</v>
      </c>
      <c r="J75" s="1">
        <v>6489</v>
      </c>
      <c r="K75" s="1">
        <v>81.73</v>
      </c>
      <c r="L75" s="1">
        <v>56.67</v>
      </c>
      <c r="M75" s="1">
        <f>Europe_Sales_Records[[#This Row],[Unit Price]]-Europe_Sales_Records[[#This Row],[Unit Cost]]</f>
        <v>25.060000000000002</v>
      </c>
      <c r="N75" s="1">
        <v>530345.97</v>
      </c>
      <c r="O75" s="6">
        <v>367731.63</v>
      </c>
      <c r="P75" s="1">
        <v>162614.34</v>
      </c>
    </row>
    <row r="76" spans="1:16" x14ac:dyDescent="0.3">
      <c r="A76" s="1" t="s">
        <v>14</v>
      </c>
      <c r="B76" s="1" t="s">
        <v>103</v>
      </c>
      <c r="C76" s="1" t="s">
        <v>42</v>
      </c>
      <c r="D76" s="1" t="s">
        <v>17</v>
      </c>
      <c r="E76" s="1" t="s">
        <v>45</v>
      </c>
      <c r="F76" s="7">
        <v>41305</v>
      </c>
      <c r="G76" s="1" t="s">
        <v>146</v>
      </c>
      <c r="H76" s="7">
        <v>41346</v>
      </c>
      <c r="I76" s="1">
        <f>Europe_Sales_Records[[#This Row],[Ship Date]]-Europe_Sales_Records[[#This Row],[Order Date]]</f>
        <v>41</v>
      </c>
      <c r="J76" s="1">
        <v>1272</v>
      </c>
      <c r="K76" s="1">
        <v>421.89</v>
      </c>
      <c r="L76" s="1">
        <v>364.69</v>
      </c>
      <c r="M76" s="1">
        <f>Europe_Sales_Records[[#This Row],[Unit Price]]-Europe_Sales_Records[[#This Row],[Unit Cost]]</f>
        <v>57.199999999999989</v>
      </c>
      <c r="N76" s="1">
        <v>536644.07999999996</v>
      </c>
      <c r="O76" s="6">
        <v>463885.68</v>
      </c>
      <c r="P76" s="1">
        <v>72758.399999999994</v>
      </c>
    </row>
    <row r="77" spans="1:16" x14ac:dyDescent="0.3">
      <c r="A77" s="1" t="s">
        <v>14</v>
      </c>
      <c r="B77" s="1" t="s">
        <v>120</v>
      </c>
      <c r="C77" s="1" t="s">
        <v>60</v>
      </c>
      <c r="D77" s="1" t="s">
        <v>22</v>
      </c>
      <c r="E77" s="1" t="s">
        <v>30</v>
      </c>
      <c r="F77" s="7">
        <v>42919</v>
      </c>
      <c r="G77" s="1" t="s">
        <v>147</v>
      </c>
      <c r="H77" s="7">
        <v>42947</v>
      </c>
      <c r="I77" s="1">
        <f>Europe_Sales_Records[[#This Row],[Ship Date]]-Europe_Sales_Records[[#This Row],[Order Date]]</f>
        <v>28</v>
      </c>
      <c r="J77" s="1">
        <v>8659</v>
      </c>
      <c r="K77" s="1">
        <v>437.2</v>
      </c>
      <c r="L77" s="1">
        <v>263.33</v>
      </c>
      <c r="M77" s="1">
        <f>Europe_Sales_Records[[#This Row],[Unit Price]]-Europe_Sales_Records[[#This Row],[Unit Cost]]</f>
        <v>173.87</v>
      </c>
      <c r="N77" s="1">
        <v>3785714.8</v>
      </c>
      <c r="O77" s="6">
        <v>2280174.4700000002</v>
      </c>
      <c r="P77" s="1">
        <v>1505540.33</v>
      </c>
    </row>
    <row r="78" spans="1:16" x14ac:dyDescent="0.3">
      <c r="A78" s="1" t="s">
        <v>14</v>
      </c>
      <c r="B78" s="1" t="s">
        <v>87</v>
      </c>
      <c r="C78" s="1" t="s">
        <v>42</v>
      </c>
      <c r="D78" s="1" t="s">
        <v>22</v>
      </c>
      <c r="E78" s="1" t="s">
        <v>23</v>
      </c>
      <c r="F78" s="7">
        <v>42797</v>
      </c>
      <c r="G78" s="1" t="s">
        <v>148</v>
      </c>
      <c r="H78" s="7">
        <v>42816</v>
      </c>
      <c r="I78" s="1">
        <f>Europe_Sales_Records[[#This Row],[Ship Date]]-Europe_Sales_Records[[#This Row],[Order Date]]</f>
        <v>19</v>
      </c>
      <c r="J78" s="1">
        <v>661</v>
      </c>
      <c r="K78" s="1">
        <v>421.89</v>
      </c>
      <c r="L78" s="1">
        <v>364.69</v>
      </c>
      <c r="M78" s="1">
        <f>Europe_Sales_Records[[#This Row],[Unit Price]]-Europe_Sales_Records[[#This Row],[Unit Cost]]</f>
        <v>57.199999999999989</v>
      </c>
      <c r="N78" s="1">
        <v>278869.28999999998</v>
      </c>
      <c r="O78" s="6">
        <v>241060.09</v>
      </c>
      <c r="P78" s="1">
        <v>37809.199999999997</v>
      </c>
    </row>
    <row r="79" spans="1:16" x14ac:dyDescent="0.3">
      <c r="A79" s="1" t="s">
        <v>14</v>
      </c>
      <c r="B79" s="1" t="s">
        <v>15</v>
      </c>
      <c r="C79" s="1" t="s">
        <v>79</v>
      </c>
      <c r="D79" s="1" t="s">
        <v>22</v>
      </c>
      <c r="E79" s="1" t="s">
        <v>23</v>
      </c>
      <c r="F79" s="7">
        <v>40516</v>
      </c>
      <c r="G79" s="1" t="s">
        <v>149</v>
      </c>
      <c r="H79" s="7">
        <v>40520</v>
      </c>
      <c r="I79" s="1">
        <f>Europe_Sales_Records[[#This Row],[Ship Date]]-Europe_Sales_Records[[#This Row],[Order Date]]</f>
        <v>4</v>
      </c>
      <c r="J79" s="1">
        <v>2334</v>
      </c>
      <c r="K79" s="1">
        <v>81.73</v>
      </c>
      <c r="L79" s="1">
        <v>56.67</v>
      </c>
      <c r="M79" s="1">
        <f>Europe_Sales_Records[[#This Row],[Unit Price]]-Europe_Sales_Records[[#This Row],[Unit Cost]]</f>
        <v>25.060000000000002</v>
      </c>
      <c r="N79" s="1">
        <v>190757.82</v>
      </c>
      <c r="O79" s="6">
        <v>132267.78</v>
      </c>
      <c r="P79" s="1">
        <v>58490.04</v>
      </c>
    </row>
    <row r="80" spans="1:16" x14ac:dyDescent="0.3">
      <c r="A80" s="1" t="s">
        <v>14</v>
      </c>
      <c r="B80" s="1" t="s">
        <v>150</v>
      </c>
      <c r="C80" s="1" t="s">
        <v>26</v>
      </c>
      <c r="D80" s="1" t="s">
        <v>22</v>
      </c>
      <c r="E80" s="1" t="s">
        <v>45</v>
      </c>
      <c r="F80" s="7">
        <v>40256</v>
      </c>
      <c r="G80" s="1" t="s">
        <v>151</v>
      </c>
      <c r="H80" s="7">
        <v>40263</v>
      </c>
      <c r="I80" s="1">
        <f>Europe_Sales_Records[[#This Row],[Ship Date]]-Europe_Sales_Records[[#This Row],[Order Date]]</f>
        <v>7</v>
      </c>
      <c r="J80" s="1">
        <v>9278</v>
      </c>
      <c r="K80" s="1">
        <v>205.7</v>
      </c>
      <c r="L80" s="1">
        <v>117.11</v>
      </c>
      <c r="M80" s="1">
        <f>Europe_Sales_Records[[#This Row],[Unit Price]]-Europe_Sales_Records[[#This Row],[Unit Cost]]</f>
        <v>88.589999999999989</v>
      </c>
      <c r="N80" s="1">
        <v>1908484.6</v>
      </c>
      <c r="O80" s="6">
        <v>1086546.58</v>
      </c>
      <c r="P80" s="1">
        <v>821938.02</v>
      </c>
    </row>
    <row r="81" spans="1:16" x14ac:dyDescent="0.3">
      <c r="A81" s="1" t="s">
        <v>14</v>
      </c>
      <c r="B81" s="1" t="s">
        <v>152</v>
      </c>
      <c r="C81" s="1" t="s">
        <v>60</v>
      </c>
      <c r="D81" s="1" t="s">
        <v>22</v>
      </c>
      <c r="E81" s="1" t="s">
        <v>18</v>
      </c>
      <c r="F81" s="7">
        <v>41004</v>
      </c>
      <c r="G81" s="1" t="s">
        <v>153</v>
      </c>
      <c r="H81" s="7">
        <v>41045</v>
      </c>
      <c r="I81" s="1">
        <f>Europe_Sales_Records[[#This Row],[Ship Date]]-Europe_Sales_Records[[#This Row],[Order Date]]</f>
        <v>41</v>
      </c>
      <c r="J81" s="1">
        <v>3743</v>
      </c>
      <c r="K81" s="1">
        <v>437.2</v>
      </c>
      <c r="L81" s="1">
        <v>263.33</v>
      </c>
      <c r="M81" s="1">
        <f>Europe_Sales_Records[[#This Row],[Unit Price]]-Europe_Sales_Records[[#This Row],[Unit Cost]]</f>
        <v>173.87</v>
      </c>
      <c r="N81" s="1">
        <v>1636439.6</v>
      </c>
      <c r="O81" s="6">
        <v>985644.19</v>
      </c>
      <c r="P81" s="1">
        <v>650795.41</v>
      </c>
    </row>
    <row r="82" spans="1:16" x14ac:dyDescent="0.3">
      <c r="A82" s="1" t="s">
        <v>14</v>
      </c>
      <c r="B82" s="1" t="s">
        <v>69</v>
      </c>
      <c r="C82" s="1" t="s">
        <v>79</v>
      </c>
      <c r="D82" s="1" t="s">
        <v>17</v>
      </c>
      <c r="E82" s="1" t="s">
        <v>18</v>
      </c>
      <c r="F82" s="7">
        <v>41734</v>
      </c>
      <c r="G82" s="1" t="s">
        <v>154</v>
      </c>
      <c r="H82" s="7">
        <v>41754</v>
      </c>
      <c r="I82" s="1">
        <f>Europe_Sales_Records[[#This Row],[Ship Date]]-Europe_Sales_Records[[#This Row],[Order Date]]</f>
        <v>20</v>
      </c>
      <c r="J82" s="1">
        <v>5060</v>
      </c>
      <c r="K82" s="1">
        <v>81.73</v>
      </c>
      <c r="L82" s="1">
        <v>56.67</v>
      </c>
      <c r="M82" s="1">
        <f>Europe_Sales_Records[[#This Row],[Unit Price]]-Europe_Sales_Records[[#This Row],[Unit Cost]]</f>
        <v>25.060000000000002</v>
      </c>
      <c r="N82" s="1">
        <v>413553.8</v>
      </c>
      <c r="O82" s="6">
        <v>286750.2</v>
      </c>
      <c r="P82" s="1">
        <v>126803.6</v>
      </c>
    </row>
    <row r="83" spans="1:16" x14ac:dyDescent="0.3">
      <c r="A83" s="1" t="s">
        <v>14</v>
      </c>
      <c r="B83" s="1" t="s">
        <v>44</v>
      </c>
      <c r="C83" s="1" t="s">
        <v>39</v>
      </c>
      <c r="D83" s="1" t="s">
        <v>22</v>
      </c>
      <c r="E83" s="1" t="s">
        <v>45</v>
      </c>
      <c r="F83" s="7">
        <v>41180</v>
      </c>
      <c r="G83" s="1" t="s">
        <v>155</v>
      </c>
      <c r="H83" s="7">
        <v>41203</v>
      </c>
      <c r="I83" s="1">
        <f>Europe_Sales_Records[[#This Row],[Ship Date]]-Europe_Sales_Records[[#This Row],[Order Date]]</f>
        <v>23</v>
      </c>
      <c r="J83" s="1">
        <v>963</v>
      </c>
      <c r="K83" s="1">
        <v>154.06</v>
      </c>
      <c r="L83" s="1">
        <v>90.93</v>
      </c>
      <c r="M83" s="1">
        <f>Europe_Sales_Records[[#This Row],[Unit Price]]-Europe_Sales_Records[[#This Row],[Unit Cost]]</f>
        <v>63.129999999999995</v>
      </c>
      <c r="N83" s="1">
        <v>148359.78</v>
      </c>
      <c r="O83" s="6">
        <v>87565.59</v>
      </c>
      <c r="P83" s="1">
        <v>60794.19</v>
      </c>
    </row>
    <row r="84" spans="1:16" x14ac:dyDescent="0.3">
      <c r="A84" s="1" t="s">
        <v>14</v>
      </c>
      <c r="B84" s="1" t="s">
        <v>69</v>
      </c>
      <c r="C84" s="1" t="s">
        <v>16</v>
      </c>
      <c r="D84" s="1" t="s">
        <v>17</v>
      </c>
      <c r="E84" s="1" t="s">
        <v>18</v>
      </c>
      <c r="F84" s="7">
        <v>41647</v>
      </c>
      <c r="G84" s="1" t="s">
        <v>156</v>
      </c>
      <c r="H84" s="7">
        <v>41672</v>
      </c>
      <c r="I84" s="1">
        <f>Europe_Sales_Records[[#This Row],[Ship Date]]-Europe_Sales_Records[[#This Row],[Order Date]]</f>
        <v>25</v>
      </c>
      <c r="J84" s="1">
        <v>6348</v>
      </c>
      <c r="K84" s="1">
        <v>47.45</v>
      </c>
      <c r="L84" s="1">
        <v>31.79</v>
      </c>
      <c r="M84" s="1">
        <f>Europe_Sales_Records[[#This Row],[Unit Price]]-Europe_Sales_Records[[#This Row],[Unit Cost]]</f>
        <v>15.660000000000004</v>
      </c>
      <c r="N84" s="1">
        <v>301212.59999999998</v>
      </c>
      <c r="O84" s="6">
        <v>201802.92</v>
      </c>
      <c r="P84" s="1">
        <v>99409.68</v>
      </c>
    </row>
    <row r="85" spans="1:16" x14ac:dyDescent="0.3">
      <c r="A85" s="1" t="s">
        <v>14</v>
      </c>
      <c r="B85" s="1" t="s">
        <v>157</v>
      </c>
      <c r="C85" s="1" t="s">
        <v>16</v>
      </c>
      <c r="D85" s="1" t="s">
        <v>17</v>
      </c>
      <c r="E85" s="1" t="s">
        <v>30</v>
      </c>
      <c r="F85" s="7">
        <v>41327</v>
      </c>
      <c r="G85" s="1" t="s">
        <v>158</v>
      </c>
      <c r="H85" s="7">
        <v>41354</v>
      </c>
      <c r="I85" s="1">
        <f>Europe_Sales_Records[[#This Row],[Ship Date]]-Europe_Sales_Records[[#This Row],[Order Date]]</f>
        <v>27</v>
      </c>
      <c r="J85" s="1">
        <v>1668</v>
      </c>
      <c r="K85" s="1">
        <v>47.45</v>
      </c>
      <c r="L85" s="1">
        <v>31.79</v>
      </c>
      <c r="M85" s="1">
        <f>Europe_Sales_Records[[#This Row],[Unit Price]]-Europe_Sales_Records[[#This Row],[Unit Cost]]</f>
        <v>15.660000000000004</v>
      </c>
      <c r="N85" s="1">
        <v>79146.600000000006</v>
      </c>
      <c r="O85" s="6">
        <v>53025.72</v>
      </c>
      <c r="P85" s="1">
        <v>26120.880000000001</v>
      </c>
    </row>
    <row r="86" spans="1:16" x14ac:dyDescent="0.3">
      <c r="A86" s="1" t="s">
        <v>14</v>
      </c>
      <c r="B86" s="1" t="s">
        <v>69</v>
      </c>
      <c r="C86" s="1" t="s">
        <v>42</v>
      </c>
      <c r="D86" s="1" t="s">
        <v>22</v>
      </c>
      <c r="E86" s="1" t="s">
        <v>45</v>
      </c>
      <c r="F86" s="7">
        <v>41394</v>
      </c>
      <c r="G86" s="1" t="s">
        <v>159</v>
      </c>
      <c r="H86" s="7">
        <v>41416</v>
      </c>
      <c r="I86" s="1">
        <f>Europe_Sales_Records[[#This Row],[Ship Date]]-Europe_Sales_Records[[#This Row],[Order Date]]</f>
        <v>22</v>
      </c>
      <c r="J86" s="1">
        <v>6571</v>
      </c>
      <c r="K86" s="1">
        <v>421.89</v>
      </c>
      <c r="L86" s="1">
        <v>364.69</v>
      </c>
      <c r="M86" s="1">
        <f>Europe_Sales_Records[[#This Row],[Unit Price]]-Europe_Sales_Records[[#This Row],[Unit Cost]]</f>
        <v>57.199999999999989</v>
      </c>
      <c r="N86" s="1">
        <v>2772239.19</v>
      </c>
      <c r="O86" s="6">
        <v>2396377.9900000002</v>
      </c>
      <c r="P86" s="1">
        <v>375861.2</v>
      </c>
    </row>
    <row r="87" spans="1:16" x14ac:dyDescent="0.3">
      <c r="A87" s="1" t="s">
        <v>14</v>
      </c>
      <c r="B87" s="1" t="s">
        <v>41</v>
      </c>
      <c r="C87" s="1" t="s">
        <v>52</v>
      </c>
      <c r="D87" s="1" t="s">
        <v>22</v>
      </c>
      <c r="E87" s="1" t="s">
        <v>18</v>
      </c>
      <c r="F87" s="7">
        <v>40355</v>
      </c>
      <c r="G87" s="1" t="s">
        <v>160</v>
      </c>
      <c r="H87" s="7">
        <v>40377</v>
      </c>
      <c r="I87" s="1">
        <f>Europe_Sales_Records[[#This Row],[Ship Date]]-Europe_Sales_Records[[#This Row],[Order Date]]</f>
        <v>22</v>
      </c>
      <c r="J87" s="1">
        <v>8591</v>
      </c>
      <c r="K87" s="1">
        <v>255.28</v>
      </c>
      <c r="L87" s="1">
        <v>159.41999999999999</v>
      </c>
      <c r="M87" s="1">
        <f>Europe_Sales_Records[[#This Row],[Unit Price]]-Europe_Sales_Records[[#This Row],[Unit Cost]]</f>
        <v>95.860000000000014</v>
      </c>
      <c r="N87" s="1">
        <v>2193110.48</v>
      </c>
      <c r="O87" s="6">
        <v>1369577.22</v>
      </c>
      <c r="P87" s="1">
        <v>823533.26</v>
      </c>
    </row>
    <row r="88" spans="1:16" x14ac:dyDescent="0.3">
      <c r="A88" s="1" t="s">
        <v>14</v>
      </c>
      <c r="B88" s="1" t="s">
        <v>20</v>
      </c>
      <c r="C88" s="1" t="s">
        <v>79</v>
      </c>
      <c r="D88" s="1" t="s">
        <v>17</v>
      </c>
      <c r="E88" s="1" t="s">
        <v>30</v>
      </c>
      <c r="F88" s="7">
        <v>40216</v>
      </c>
      <c r="G88" s="1" t="s">
        <v>161</v>
      </c>
      <c r="H88" s="7">
        <v>40255</v>
      </c>
      <c r="I88" s="1">
        <f>Europe_Sales_Records[[#This Row],[Ship Date]]-Europe_Sales_Records[[#This Row],[Order Date]]</f>
        <v>39</v>
      </c>
      <c r="J88" s="1">
        <v>6742</v>
      </c>
      <c r="K88" s="1">
        <v>81.73</v>
      </c>
      <c r="L88" s="1">
        <v>56.67</v>
      </c>
      <c r="M88" s="1">
        <f>Europe_Sales_Records[[#This Row],[Unit Price]]-Europe_Sales_Records[[#This Row],[Unit Cost]]</f>
        <v>25.060000000000002</v>
      </c>
      <c r="N88" s="1">
        <v>551023.66</v>
      </c>
      <c r="O88" s="6">
        <v>382069.14</v>
      </c>
      <c r="P88" s="1">
        <v>168954.52</v>
      </c>
    </row>
    <row r="89" spans="1:16" x14ac:dyDescent="0.3">
      <c r="A89" s="1" t="s">
        <v>14</v>
      </c>
      <c r="B89" s="1" t="s">
        <v>99</v>
      </c>
      <c r="C89" s="1" t="s">
        <v>16</v>
      </c>
      <c r="D89" s="1" t="s">
        <v>17</v>
      </c>
      <c r="E89" s="1" t="s">
        <v>23</v>
      </c>
      <c r="F89" s="7">
        <v>40515</v>
      </c>
      <c r="G89" s="1" t="s">
        <v>162</v>
      </c>
      <c r="H89" s="7">
        <v>40547</v>
      </c>
      <c r="I89" s="1">
        <f>Europe_Sales_Records[[#This Row],[Ship Date]]-Europe_Sales_Records[[#This Row],[Order Date]]</f>
        <v>32</v>
      </c>
      <c r="J89" s="1">
        <v>5540</v>
      </c>
      <c r="K89" s="1">
        <v>47.45</v>
      </c>
      <c r="L89" s="1">
        <v>31.79</v>
      </c>
      <c r="M89" s="1">
        <f>Europe_Sales_Records[[#This Row],[Unit Price]]-Europe_Sales_Records[[#This Row],[Unit Cost]]</f>
        <v>15.660000000000004</v>
      </c>
      <c r="N89" s="1">
        <v>262873</v>
      </c>
      <c r="O89" s="6">
        <v>176116.6</v>
      </c>
      <c r="P89" s="1">
        <v>86756.4</v>
      </c>
    </row>
    <row r="90" spans="1:16" x14ac:dyDescent="0.3">
      <c r="A90" s="1" t="s">
        <v>14</v>
      </c>
      <c r="B90" s="1" t="s">
        <v>120</v>
      </c>
      <c r="C90" s="1" t="s">
        <v>26</v>
      </c>
      <c r="D90" s="1" t="s">
        <v>17</v>
      </c>
      <c r="E90" s="1" t="s">
        <v>30</v>
      </c>
      <c r="F90" s="7">
        <v>41201</v>
      </c>
      <c r="G90" s="1" t="s">
        <v>163</v>
      </c>
      <c r="H90" s="7">
        <v>41216</v>
      </c>
      <c r="I90" s="1">
        <f>Europe_Sales_Records[[#This Row],[Ship Date]]-Europe_Sales_Records[[#This Row],[Order Date]]</f>
        <v>15</v>
      </c>
      <c r="J90" s="1">
        <v>1352</v>
      </c>
      <c r="K90" s="1">
        <v>205.7</v>
      </c>
      <c r="L90" s="1">
        <v>117.11</v>
      </c>
      <c r="M90" s="1">
        <f>Europe_Sales_Records[[#This Row],[Unit Price]]-Europe_Sales_Records[[#This Row],[Unit Cost]]</f>
        <v>88.589999999999989</v>
      </c>
      <c r="N90" s="1">
        <v>278106.40000000002</v>
      </c>
      <c r="O90" s="6">
        <v>158332.72</v>
      </c>
      <c r="P90" s="1">
        <v>119773.68</v>
      </c>
    </row>
    <row r="91" spans="1:16" x14ac:dyDescent="0.3">
      <c r="A91" s="1" t="s">
        <v>14</v>
      </c>
      <c r="B91" s="1" t="s">
        <v>164</v>
      </c>
      <c r="C91" s="1" t="s">
        <v>57</v>
      </c>
      <c r="D91" s="1" t="s">
        <v>17</v>
      </c>
      <c r="E91" s="1" t="s">
        <v>30</v>
      </c>
      <c r="F91" s="7">
        <v>40229</v>
      </c>
      <c r="G91" s="1" t="s">
        <v>165</v>
      </c>
      <c r="H91" s="7">
        <v>40279</v>
      </c>
      <c r="I91" s="1">
        <f>Europe_Sales_Records[[#This Row],[Ship Date]]-Europe_Sales_Records[[#This Row],[Order Date]]</f>
        <v>50</v>
      </c>
      <c r="J91" s="1">
        <v>773</v>
      </c>
      <c r="K91" s="1">
        <v>668.27</v>
      </c>
      <c r="L91" s="1">
        <v>502.54</v>
      </c>
      <c r="M91" s="1">
        <f>Europe_Sales_Records[[#This Row],[Unit Price]]-Europe_Sales_Records[[#This Row],[Unit Cost]]</f>
        <v>165.72999999999996</v>
      </c>
      <c r="N91" s="1">
        <v>516572.71</v>
      </c>
      <c r="O91" s="6">
        <v>388463.42</v>
      </c>
      <c r="P91" s="1">
        <v>128109.29</v>
      </c>
    </row>
    <row r="92" spans="1:16" x14ac:dyDescent="0.3">
      <c r="A92" s="1" t="s">
        <v>14</v>
      </c>
      <c r="B92" s="1" t="s">
        <v>15</v>
      </c>
      <c r="C92" s="1" t="s">
        <v>52</v>
      </c>
      <c r="D92" s="1" t="s">
        <v>17</v>
      </c>
      <c r="E92" s="1" t="s">
        <v>45</v>
      </c>
      <c r="F92" s="7">
        <v>42203</v>
      </c>
      <c r="G92" s="1" t="s">
        <v>166</v>
      </c>
      <c r="H92" s="7">
        <v>42217</v>
      </c>
      <c r="I92" s="1">
        <f>Europe_Sales_Records[[#This Row],[Ship Date]]-Europe_Sales_Records[[#This Row],[Order Date]]</f>
        <v>14</v>
      </c>
      <c r="J92" s="1">
        <v>810</v>
      </c>
      <c r="K92" s="1">
        <v>255.28</v>
      </c>
      <c r="L92" s="1">
        <v>159.41999999999999</v>
      </c>
      <c r="M92" s="1">
        <f>Europe_Sales_Records[[#This Row],[Unit Price]]-Europe_Sales_Records[[#This Row],[Unit Cost]]</f>
        <v>95.860000000000014</v>
      </c>
      <c r="N92" s="1">
        <v>206776.8</v>
      </c>
      <c r="O92" s="6">
        <v>129130.2</v>
      </c>
      <c r="P92" s="1">
        <v>77646.600000000006</v>
      </c>
    </row>
    <row r="93" spans="1:16" x14ac:dyDescent="0.3">
      <c r="A93" s="1" t="s">
        <v>14</v>
      </c>
      <c r="B93" s="1" t="s">
        <v>20</v>
      </c>
      <c r="C93" s="1" t="s">
        <v>29</v>
      </c>
      <c r="D93" s="1" t="s">
        <v>17</v>
      </c>
      <c r="E93" s="1" t="s">
        <v>18</v>
      </c>
      <c r="F93" s="7">
        <v>41221</v>
      </c>
      <c r="G93" s="1" t="s">
        <v>167</v>
      </c>
      <c r="H93" s="7">
        <v>41237</v>
      </c>
      <c r="I93" s="1">
        <f>Europe_Sales_Records[[#This Row],[Ship Date]]-Europe_Sales_Records[[#This Row],[Order Date]]</f>
        <v>16</v>
      </c>
      <c r="J93" s="1">
        <v>6660</v>
      </c>
      <c r="K93" s="1">
        <v>651.21</v>
      </c>
      <c r="L93" s="1">
        <v>524.96</v>
      </c>
      <c r="M93" s="1">
        <f>Europe_Sales_Records[[#This Row],[Unit Price]]-Europe_Sales_Records[[#This Row],[Unit Cost]]</f>
        <v>126.25</v>
      </c>
      <c r="N93" s="1">
        <v>4337058.5999999996</v>
      </c>
      <c r="O93" s="6">
        <v>3496233.6</v>
      </c>
      <c r="P93" s="1">
        <v>840825</v>
      </c>
    </row>
    <row r="94" spans="1:16" x14ac:dyDescent="0.3">
      <c r="A94" s="1" t="s">
        <v>14</v>
      </c>
      <c r="B94" s="1" t="s">
        <v>97</v>
      </c>
      <c r="C94" s="1" t="s">
        <v>42</v>
      </c>
      <c r="D94" s="1" t="s">
        <v>17</v>
      </c>
      <c r="E94" s="1" t="s">
        <v>45</v>
      </c>
      <c r="F94" s="7">
        <v>40575</v>
      </c>
      <c r="G94" s="1" t="s">
        <v>168</v>
      </c>
      <c r="H94" s="7">
        <v>40591</v>
      </c>
      <c r="I94" s="1">
        <f>Europe_Sales_Records[[#This Row],[Ship Date]]-Europe_Sales_Records[[#This Row],[Order Date]]</f>
        <v>16</v>
      </c>
      <c r="J94" s="1">
        <v>7603</v>
      </c>
      <c r="K94" s="1">
        <v>421.89</v>
      </c>
      <c r="L94" s="1">
        <v>364.69</v>
      </c>
      <c r="M94" s="1">
        <f>Europe_Sales_Records[[#This Row],[Unit Price]]-Europe_Sales_Records[[#This Row],[Unit Cost]]</f>
        <v>57.199999999999989</v>
      </c>
      <c r="N94" s="1">
        <v>3207629.67</v>
      </c>
      <c r="O94" s="6">
        <v>2772738.07</v>
      </c>
      <c r="P94" s="1">
        <v>434891.6</v>
      </c>
    </row>
    <row r="95" spans="1:16" x14ac:dyDescent="0.3">
      <c r="A95" s="1" t="s">
        <v>14</v>
      </c>
      <c r="B95" s="1" t="s">
        <v>84</v>
      </c>
      <c r="C95" s="1" t="s">
        <v>79</v>
      </c>
      <c r="D95" s="1" t="s">
        <v>22</v>
      </c>
      <c r="E95" s="1" t="s">
        <v>45</v>
      </c>
      <c r="F95" s="7">
        <v>42458</v>
      </c>
      <c r="G95" s="1" t="s">
        <v>169</v>
      </c>
      <c r="H95" s="7">
        <v>42498</v>
      </c>
      <c r="I95" s="1">
        <f>Europe_Sales_Records[[#This Row],[Ship Date]]-Europe_Sales_Records[[#This Row],[Order Date]]</f>
        <v>40</v>
      </c>
      <c r="J95" s="1">
        <v>750</v>
      </c>
      <c r="K95" s="1">
        <v>81.73</v>
      </c>
      <c r="L95" s="1">
        <v>56.67</v>
      </c>
      <c r="M95" s="1">
        <f>Europe_Sales_Records[[#This Row],[Unit Price]]-Europe_Sales_Records[[#This Row],[Unit Cost]]</f>
        <v>25.060000000000002</v>
      </c>
      <c r="N95" s="1">
        <v>61297.5</v>
      </c>
      <c r="O95" s="6">
        <v>42502.5</v>
      </c>
      <c r="P95" s="1">
        <v>18795</v>
      </c>
    </row>
    <row r="96" spans="1:16" x14ac:dyDescent="0.3">
      <c r="A96" s="1" t="s">
        <v>14</v>
      </c>
      <c r="B96" s="1" t="s">
        <v>67</v>
      </c>
      <c r="C96" s="1" t="s">
        <v>16</v>
      </c>
      <c r="D96" s="1" t="s">
        <v>17</v>
      </c>
      <c r="E96" s="1" t="s">
        <v>45</v>
      </c>
      <c r="F96" s="7">
        <v>42389</v>
      </c>
      <c r="G96" s="1" t="s">
        <v>170</v>
      </c>
      <c r="H96" s="7">
        <v>42397</v>
      </c>
      <c r="I96" s="1">
        <f>Europe_Sales_Records[[#This Row],[Ship Date]]-Europe_Sales_Records[[#This Row],[Order Date]]</f>
        <v>8</v>
      </c>
      <c r="J96" s="1">
        <v>3256</v>
      </c>
      <c r="K96" s="1">
        <v>47.45</v>
      </c>
      <c r="L96" s="1">
        <v>31.79</v>
      </c>
      <c r="M96" s="1">
        <f>Europe_Sales_Records[[#This Row],[Unit Price]]-Europe_Sales_Records[[#This Row],[Unit Cost]]</f>
        <v>15.660000000000004</v>
      </c>
      <c r="N96" s="1">
        <v>154497.20000000001</v>
      </c>
      <c r="O96" s="6">
        <v>103508.24</v>
      </c>
      <c r="P96" s="1">
        <v>50988.959999999999</v>
      </c>
    </row>
    <row r="97" spans="1:16" x14ac:dyDescent="0.3">
      <c r="A97" s="1" t="s">
        <v>14</v>
      </c>
      <c r="B97" s="1" t="s">
        <v>137</v>
      </c>
      <c r="C97" s="1" t="s">
        <v>26</v>
      </c>
      <c r="D97" s="1" t="s">
        <v>17</v>
      </c>
      <c r="E97" s="1" t="s">
        <v>18</v>
      </c>
      <c r="F97" s="7">
        <v>40228</v>
      </c>
      <c r="G97" s="1" t="s">
        <v>171</v>
      </c>
      <c r="H97" s="7">
        <v>40239</v>
      </c>
      <c r="I97" s="1">
        <f>Europe_Sales_Records[[#This Row],[Ship Date]]-Europe_Sales_Records[[#This Row],[Order Date]]</f>
        <v>11</v>
      </c>
      <c r="J97" s="1">
        <v>4629</v>
      </c>
      <c r="K97" s="1">
        <v>205.7</v>
      </c>
      <c r="L97" s="1">
        <v>117.11</v>
      </c>
      <c r="M97" s="1">
        <f>Europe_Sales_Records[[#This Row],[Unit Price]]-Europe_Sales_Records[[#This Row],[Unit Cost]]</f>
        <v>88.589999999999989</v>
      </c>
      <c r="N97" s="1">
        <v>952185.3</v>
      </c>
      <c r="O97" s="6">
        <v>542102.18999999994</v>
      </c>
      <c r="P97" s="1">
        <v>410083.11</v>
      </c>
    </row>
    <row r="98" spans="1:16" x14ac:dyDescent="0.3">
      <c r="A98" s="1" t="s">
        <v>14</v>
      </c>
      <c r="B98" s="1" t="s">
        <v>172</v>
      </c>
      <c r="C98" s="1" t="s">
        <v>16</v>
      </c>
      <c r="D98" s="1" t="s">
        <v>22</v>
      </c>
      <c r="E98" s="1" t="s">
        <v>18</v>
      </c>
      <c r="F98" s="7">
        <v>42365</v>
      </c>
      <c r="G98" s="1" t="s">
        <v>173</v>
      </c>
      <c r="H98" s="7">
        <v>42388</v>
      </c>
      <c r="I98" s="1">
        <f>Europe_Sales_Records[[#This Row],[Ship Date]]-Europe_Sales_Records[[#This Row],[Order Date]]</f>
        <v>23</v>
      </c>
      <c r="J98" s="1">
        <v>3348</v>
      </c>
      <c r="K98" s="1">
        <v>47.45</v>
      </c>
      <c r="L98" s="1">
        <v>31.79</v>
      </c>
      <c r="M98" s="1">
        <f>Europe_Sales_Records[[#This Row],[Unit Price]]-Europe_Sales_Records[[#This Row],[Unit Cost]]</f>
        <v>15.660000000000004</v>
      </c>
      <c r="N98" s="1">
        <v>158862.6</v>
      </c>
      <c r="O98" s="6">
        <v>106432.92</v>
      </c>
      <c r="P98" s="1">
        <v>52429.68</v>
      </c>
    </row>
    <row r="99" spans="1:16" x14ac:dyDescent="0.3">
      <c r="A99" s="1" t="s">
        <v>14</v>
      </c>
      <c r="B99" s="1" t="s">
        <v>94</v>
      </c>
      <c r="C99" s="1" t="s">
        <v>52</v>
      </c>
      <c r="D99" s="1" t="s">
        <v>17</v>
      </c>
      <c r="E99" s="1" t="s">
        <v>45</v>
      </c>
      <c r="F99" s="7">
        <v>41546</v>
      </c>
      <c r="G99" s="1" t="s">
        <v>174</v>
      </c>
      <c r="H99" s="7">
        <v>41548</v>
      </c>
      <c r="I99" s="1">
        <f>Europe_Sales_Records[[#This Row],[Ship Date]]-Europe_Sales_Records[[#This Row],[Order Date]]</f>
        <v>2</v>
      </c>
      <c r="J99" s="1">
        <v>9454</v>
      </c>
      <c r="K99" s="1">
        <v>255.28</v>
      </c>
      <c r="L99" s="1">
        <v>159.41999999999999</v>
      </c>
      <c r="M99" s="1">
        <f>Europe_Sales_Records[[#This Row],[Unit Price]]-Europe_Sales_Records[[#This Row],[Unit Cost]]</f>
        <v>95.860000000000014</v>
      </c>
      <c r="N99" s="1">
        <v>2413417.12</v>
      </c>
      <c r="O99" s="6">
        <v>1507156.68</v>
      </c>
      <c r="P99" s="1">
        <v>906260.44</v>
      </c>
    </row>
    <row r="100" spans="1:16" x14ac:dyDescent="0.3">
      <c r="A100" s="1" t="s">
        <v>14</v>
      </c>
      <c r="B100" s="1" t="s">
        <v>32</v>
      </c>
      <c r="C100" s="1" t="s">
        <v>16</v>
      </c>
      <c r="D100" s="1" t="s">
        <v>17</v>
      </c>
      <c r="E100" s="1" t="s">
        <v>18</v>
      </c>
      <c r="F100" s="7">
        <v>42775</v>
      </c>
      <c r="G100" s="1" t="s">
        <v>175</v>
      </c>
      <c r="H100" s="7">
        <v>42787</v>
      </c>
      <c r="I100" s="1">
        <f>Europe_Sales_Records[[#This Row],[Ship Date]]-Europe_Sales_Records[[#This Row],[Order Date]]</f>
        <v>12</v>
      </c>
      <c r="J100" s="1">
        <v>8412</v>
      </c>
      <c r="K100" s="1">
        <v>47.45</v>
      </c>
      <c r="L100" s="1">
        <v>31.79</v>
      </c>
      <c r="M100" s="1">
        <f>Europe_Sales_Records[[#This Row],[Unit Price]]-Europe_Sales_Records[[#This Row],[Unit Cost]]</f>
        <v>15.660000000000004</v>
      </c>
      <c r="N100" s="1">
        <v>399149.4</v>
      </c>
      <c r="O100" s="6">
        <v>267417.48</v>
      </c>
      <c r="P100" s="1">
        <v>131731.92000000001</v>
      </c>
    </row>
    <row r="101" spans="1:16" x14ac:dyDescent="0.3">
      <c r="A101" s="1" t="s">
        <v>14</v>
      </c>
      <c r="B101" s="1" t="s">
        <v>176</v>
      </c>
      <c r="C101" s="1" t="s">
        <v>39</v>
      </c>
      <c r="D101" s="1" t="s">
        <v>22</v>
      </c>
      <c r="E101" s="1" t="s">
        <v>30</v>
      </c>
      <c r="F101" s="7">
        <v>41274</v>
      </c>
      <c r="G101" s="1" t="s">
        <v>177</v>
      </c>
      <c r="H101" s="7">
        <v>41285</v>
      </c>
      <c r="I101" s="1">
        <f>Europe_Sales_Records[[#This Row],[Ship Date]]-Europe_Sales_Records[[#This Row],[Order Date]]</f>
        <v>11</v>
      </c>
      <c r="J101" s="1">
        <v>8086</v>
      </c>
      <c r="K101" s="1">
        <v>154.06</v>
      </c>
      <c r="L101" s="1">
        <v>90.93</v>
      </c>
      <c r="M101" s="1">
        <f>Europe_Sales_Records[[#This Row],[Unit Price]]-Europe_Sales_Records[[#This Row],[Unit Cost]]</f>
        <v>63.129999999999995</v>
      </c>
      <c r="N101" s="1">
        <v>1245729.1599999999</v>
      </c>
      <c r="O101" s="6">
        <v>735259.98</v>
      </c>
      <c r="P101" s="1">
        <v>510469.18</v>
      </c>
    </row>
    <row r="102" spans="1:16" x14ac:dyDescent="0.3">
      <c r="A102" s="1" t="s">
        <v>14</v>
      </c>
      <c r="B102" s="1" t="s">
        <v>131</v>
      </c>
      <c r="C102" s="1" t="s">
        <v>48</v>
      </c>
      <c r="D102" s="1" t="s">
        <v>22</v>
      </c>
      <c r="E102" s="1" t="s">
        <v>23</v>
      </c>
      <c r="F102" s="7">
        <v>40526</v>
      </c>
      <c r="G102" s="1" t="s">
        <v>178</v>
      </c>
      <c r="H102" s="7">
        <v>40544</v>
      </c>
      <c r="I102" s="1">
        <f>Europe_Sales_Records[[#This Row],[Ship Date]]-Europe_Sales_Records[[#This Row],[Order Date]]</f>
        <v>18</v>
      </c>
      <c r="J102" s="1">
        <v>558</v>
      </c>
      <c r="K102" s="1">
        <v>152.58000000000001</v>
      </c>
      <c r="L102" s="1">
        <v>97.44</v>
      </c>
      <c r="M102" s="1">
        <f>Europe_Sales_Records[[#This Row],[Unit Price]]-Europe_Sales_Records[[#This Row],[Unit Cost]]</f>
        <v>55.140000000000015</v>
      </c>
      <c r="N102" s="1">
        <v>85139.64</v>
      </c>
      <c r="O102" s="6">
        <v>54371.519999999997</v>
      </c>
      <c r="P102" s="1">
        <v>30768.12</v>
      </c>
    </row>
    <row r="103" spans="1:16" x14ac:dyDescent="0.3">
      <c r="A103" s="1" t="s">
        <v>14</v>
      </c>
      <c r="B103" s="1" t="s">
        <v>97</v>
      </c>
      <c r="C103" s="1" t="s">
        <v>29</v>
      </c>
      <c r="D103" s="1" t="s">
        <v>22</v>
      </c>
      <c r="E103" s="1" t="s">
        <v>18</v>
      </c>
      <c r="F103" s="7">
        <v>40856</v>
      </c>
      <c r="G103" s="1" t="s">
        <v>179</v>
      </c>
      <c r="H103" s="7">
        <v>40873</v>
      </c>
      <c r="I103" s="1">
        <f>Europe_Sales_Records[[#This Row],[Ship Date]]-Europe_Sales_Records[[#This Row],[Order Date]]</f>
        <v>17</v>
      </c>
      <c r="J103" s="1">
        <v>35</v>
      </c>
      <c r="K103" s="1">
        <v>651.21</v>
      </c>
      <c r="L103" s="1">
        <v>524.96</v>
      </c>
      <c r="M103" s="1">
        <f>Europe_Sales_Records[[#This Row],[Unit Price]]-Europe_Sales_Records[[#This Row],[Unit Cost]]</f>
        <v>126.25</v>
      </c>
      <c r="N103" s="1">
        <v>22792.35</v>
      </c>
      <c r="O103" s="6">
        <v>18373.599999999999</v>
      </c>
      <c r="P103" s="1">
        <v>4418.75</v>
      </c>
    </row>
    <row r="104" spans="1:16" x14ac:dyDescent="0.3">
      <c r="A104" s="1" t="s">
        <v>14</v>
      </c>
      <c r="B104" s="1" t="s">
        <v>180</v>
      </c>
      <c r="C104" s="1" t="s">
        <v>39</v>
      </c>
      <c r="D104" s="1" t="s">
        <v>17</v>
      </c>
      <c r="E104" s="1" t="s">
        <v>18</v>
      </c>
      <c r="F104" s="7">
        <v>40498</v>
      </c>
      <c r="G104" s="1" t="s">
        <v>181</v>
      </c>
      <c r="H104" s="7">
        <v>40523</v>
      </c>
      <c r="I104" s="1">
        <f>Europe_Sales_Records[[#This Row],[Ship Date]]-Europe_Sales_Records[[#This Row],[Order Date]]</f>
        <v>25</v>
      </c>
      <c r="J104" s="1">
        <v>3331</v>
      </c>
      <c r="K104" s="1">
        <v>154.06</v>
      </c>
      <c r="L104" s="1">
        <v>90.93</v>
      </c>
      <c r="M104" s="1">
        <f>Europe_Sales_Records[[#This Row],[Unit Price]]-Europe_Sales_Records[[#This Row],[Unit Cost]]</f>
        <v>63.129999999999995</v>
      </c>
      <c r="N104" s="1">
        <v>513173.86</v>
      </c>
      <c r="O104" s="6">
        <v>302887.83</v>
      </c>
      <c r="P104" s="1">
        <v>210286.03</v>
      </c>
    </row>
    <row r="105" spans="1:16" x14ac:dyDescent="0.3">
      <c r="A105" s="1" t="s">
        <v>14</v>
      </c>
      <c r="B105" s="1" t="s">
        <v>35</v>
      </c>
      <c r="C105" s="1" t="s">
        <v>60</v>
      </c>
      <c r="D105" s="1" t="s">
        <v>17</v>
      </c>
      <c r="E105" s="1" t="s">
        <v>30</v>
      </c>
      <c r="F105" s="7">
        <v>41140</v>
      </c>
      <c r="G105" s="1" t="s">
        <v>182</v>
      </c>
      <c r="H105" s="7">
        <v>41143</v>
      </c>
      <c r="I105" s="1">
        <f>Europe_Sales_Records[[#This Row],[Ship Date]]-Europe_Sales_Records[[#This Row],[Order Date]]</f>
        <v>3</v>
      </c>
      <c r="J105" s="1">
        <v>4141</v>
      </c>
      <c r="K105" s="1">
        <v>437.2</v>
      </c>
      <c r="L105" s="1">
        <v>263.33</v>
      </c>
      <c r="M105" s="1">
        <f>Europe_Sales_Records[[#This Row],[Unit Price]]-Europe_Sales_Records[[#This Row],[Unit Cost]]</f>
        <v>173.87</v>
      </c>
      <c r="N105" s="1">
        <v>1810445.2</v>
      </c>
      <c r="O105" s="6">
        <v>1090449.53</v>
      </c>
      <c r="P105" s="1">
        <v>719995.67</v>
      </c>
    </row>
    <row r="106" spans="1:16" x14ac:dyDescent="0.3">
      <c r="A106" s="1" t="s">
        <v>14</v>
      </c>
      <c r="B106" s="1" t="s">
        <v>87</v>
      </c>
      <c r="C106" s="1" t="s">
        <v>26</v>
      </c>
      <c r="D106" s="1" t="s">
        <v>17</v>
      </c>
      <c r="E106" s="1" t="s">
        <v>30</v>
      </c>
      <c r="F106" s="7">
        <v>41445</v>
      </c>
      <c r="G106" s="1" t="s">
        <v>183</v>
      </c>
      <c r="H106" s="7">
        <v>41476</v>
      </c>
      <c r="I106" s="1">
        <f>Europe_Sales_Records[[#This Row],[Ship Date]]-Europe_Sales_Records[[#This Row],[Order Date]]</f>
        <v>31</v>
      </c>
      <c r="J106" s="1">
        <v>6416</v>
      </c>
      <c r="K106" s="1">
        <v>205.7</v>
      </c>
      <c r="L106" s="1">
        <v>117.11</v>
      </c>
      <c r="M106" s="1">
        <f>Europe_Sales_Records[[#This Row],[Unit Price]]-Europe_Sales_Records[[#This Row],[Unit Cost]]</f>
        <v>88.589999999999989</v>
      </c>
      <c r="N106" s="1">
        <v>1319771.2</v>
      </c>
      <c r="O106" s="6">
        <v>751377.76</v>
      </c>
      <c r="P106" s="1">
        <v>568393.43999999994</v>
      </c>
    </row>
    <row r="107" spans="1:16" x14ac:dyDescent="0.3">
      <c r="A107" s="1" t="s">
        <v>14</v>
      </c>
      <c r="B107" s="1" t="s">
        <v>69</v>
      </c>
      <c r="C107" s="1" t="s">
        <v>29</v>
      </c>
      <c r="D107" s="1" t="s">
        <v>22</v>
      </c>
      <c r="E107" s="1" t="s">
        <v>45</v>
      </c>
      <c r="F107" s="7">
        <v>41536</v>
      </c>
      <c r="G107" s="1" t="s">
        <v>184</v>
      </c>
      <c r="H107" s="7">
        <v>41542</v>
      </c>
      <c r="I107" s="1">
        <f>Europe_Sales_Records[[#This Row],[Ship Date]]-Europe_Sales_Records[[#This Row],[Order Date]]</f>
        <v>6</v>
      </c>
      <c r="J107" s="1">
        <v>85</v>
      </c>
      <c r="K107" s="1">
        <v>651.21</v>
      </c>
      <c r="L107" s="1">
        <v>524.96</v>
      </c>
      <c r="M107" s="1">
        <f>Europe_Sales_Records[[#This Row],[Unit Price]]-Europe_Sales_Records[[#This Row],[Unit Cost]]</f>
        <v>126.25</v>
      </c>
      <c r="N107" s="1">
        <v>55352.85</v>
      </c>
      <c r="O107" s="6">
        <v>44621.599999999999</v>
      </c>
      <c r="P107" s="1">
        <v>10731.25</v>
      </c>
    </row>
    <row r="108" spans="1:16" x14ac:dyDescent="0.3">
      <c r="A108" s="1" t="s">
        <v>14</v>
      </c>
      <c r="B108" s="1" t="s">
        <v>120</v>
      </c>
      <c r="C108" s="1" t="s">
        <v>52</v>
      </c>
      <c r="D108" s="1" t="s">
        <v>22</v>
      </c>
      <c r="E108" s="1" t="s">
        <v>30</v>
      </c>
      <c r="F108" s="7">
        <v>41367</v>
      </c>
      <c r="G108" s="1" t="s">
        <v>185</v>
      </c>
      <c r="H108" s="7">
        <v>41403</v>
      </c>
      <c r="I108" s="1">
        <f>Europe_Sales_Records[[#This Row],[Ship Date]]-Europe_Sales_Records[[#This Row],[Order Date]]</f>
        <v>36</v>
      </c>
      <c r="J108" s="1">
        <v>5566</v>
      </c>
      <c r="K108" s="1">
        <v>255.28</v>
      </c>
      <c r="L108" s="1">
        <v>159.41999999999999</v>
      </c>
      <c r="M108" s="1">
        <f>Europe_Sales_Records[[#This Row],[Unit Price]]-Europe_Sales_Records[[#This Row],[Unit Cost]]</f>
        <v>95.860000000000014</v>
      </c>
      <c r="N108" s="1">
        <v>1420888.48</v>
      </c>
      <c r="O108" s="6">
        <v>887331.72</v>
      </c>
      <c r="P108" s="1">
        <v>533556.76</v>
      </c>
    </row>
    <row r="109" spans="1:16" x14ac:dyDescent="0.3">
      <c r="A109" s="1" t="s">
        <v>14</v>
      </c>
      <c r="B109" s="1" t="s">
        <v>172</v>
      </c>
      <c r="C109" s="1" t="s">
        <v>21</v>
      </c>
      <c r="D109" s="1" t="s">
        <v>17</v>
      </c>
      <c r="E109" s="1" t="s">
        <v>45</v>
      </c>
      <c r="F109" s="7">
        <v>41709</v>
      </c>
      <c r="G109" s="1" t="s">
        <v>186</v>
      </c>
      <c r="H109" s="7">
        <v>41718</v>
      </c>
      <c r="I109" s="1">
        <f>Europe_Sales_Records[[#This Row],[Ship Date]]-Europe_Sales_Records[[#This Row],[Order Date]]</f>
        <v>9</v>
      </c>
      <c r="J109" s="1">
        <v>1642</v>
      </c>
      <c r="K109" s="1">
        <v>109.28</v>
      </c>
      <c r="L109" s="1">
        <v>35.840000000000003</v>
      </c>
      <c r="M109" s="1">
        <f>Europe_Sales_Records[[#This Row],[Unit Price]]-Europe_Sales_Records[[#This Row],[Unit Cost]]</f>
        <v>73.44</v>
      </c>
      <c r="N109" s="1">
        <v>179437.76</v>
      </c>
      <c r="O109" s="6">
        <v>58849.279999999999</v>
      </c>
      <c r="P109" s="1">
        <v>120588.48</v>
      </c>
    </row>
    <row r="110" spans="1:16" x14ac:dyDescent="0.3">
      <c r="A110" s="1" t="s">
        <v>14</v>
      </c>
      <c r="B110" s="1" t="s">
        <v>101</v>
      </c>
      <c r="C110" s="1" t="s">
        <v>29</v>
      </c>
      <c r="D110" s="1" t="s">
        <v>22</v>
      </c>
      <c r="E110" s="1" t="s">
        <v>18</v>
      </c>
      <c r="F110" s="7">
        <v>41098</v>
      </c>
      <c r="G110" s="1" t="s">
        <v>187</v>
      </c>
      <c r="H110" s="7">
        <v>41122</v>
      </c>
      <c r="I110" s="1">
        <f>Europe_Sales_Records[[#This Row],[Ship Date]]-Europe_Sales_Records[[#This Row],[Order Date]]</f>
        <v>24</v>
      </c>
      <c r="J110" s="1">
        <v>1150</v>
      </c>
      <c r="K110" s="1">
        <v>651.21</v>
      </c>
      <c r="L110" s="1">
        <v>524.96</v>
      </c>
      <c r="M110" s="1">
        <f>Europe_Sales_Records[[#This Row],[Unit Price]]-Europe_Sales_Records[[#This Row],[Unit Cost]]</f>
        <v>126.25</v>
      </c>
      <c r="N110" s="1">
        <v>748891.5</v>
      </c>
      <c r="O110" s="6">
        <v>603704</v>
      </c>
      <c r="P110" s="1">
        <v>145187.5</v>
      </c>
    </row>
    <row r="111" spans="1:16" x14ac:dyDescent="0.3">
      <c r="A111" s="1" t="s">
        <v>14</v>
      </c>
      <c r="B111" s="1" t="s">
        <v>157</v>
      </c>
      <c r="C111" s="1" t="s">
        <v>52</v>
      </c>
      <c r="D111" s="1" t="s">
        <v>17</v>
      </c>
      <c r="E111" s="1" t="s">
        <v>45</v>
      </c>
      <c r="F111" s="7">
        <v>41171</v>
      </c>
      <c r="G111" s="1" t="s">
        <v>188</v>
      </c>
      <c r="H111" s="7">
        <v>41202</v>
      </c>
      <c r="I111" s="1">
        <f>Europe_Sales_Records[[#This Row],[Ship Date]]-Europe_Sales_Records[[#This Row],[Order Date]]</f>
        <v>31</v>
      </c>
      <c r="J111" s="1">
        <v>5247</v>
      </c>
      <c r="K111" s="1">
        <v>255.28</v>
      </c>
      <c r="L111" s="1">
        <v>159.41999999999999</v>
      </c>
      <c r="M111" s="1">
        <f>Europe_Sales_Records[[#This Row],[Unit Price]]-Europe_Sales_Records[[#This Row],[Unit Cost]]</f>
        <v>95.860000000000014</v>
      </c>
      <c r="N111" s="1">
        <v>1339454.1599999999</v>
      </c>
      <c r="O111" s="6">
        <v>836476.74</v>
      </c>
      <c r="P111" s="1">
        <v>502977.42</v>
      </c>
    </row>
    <row r="112" spans="1:16" x14ac:dyDescent="0.3">
      <c r="A112" s="1" t="s">
        <v>14</v>
      </c>
      <c r="B112" s="1" t="s">
        <v>77</v>
      </c>
      <c r="C112" s="1" t="s">
        <v>79</v>
      </c>
      <c r="D112" s="1" t="s">
        <v>22</v>
      </c>
      <c r="E112" s="1" t="s">
        <v>45</v>
      </c>
      <c r="F112" s="7">
        <v>41689</v>
      </c>
      <c r="G112" s="1" t="s">
        <v>189</v>
      </c>
      <c r="H112" s="7">
        <v>41697</v>
      </c>
      <c r="I112" s="1">
        <f>Europe_Sales_Records[[#This Row],[Ship Date]]-Europe_Sales_Records[[#This Row],[Order Date]]</f>
        <v>8</v>
      </c>
      <c r="J112" s="1">
        <v>3975</v>
      </c>
      <c r="K112" s="1">
        <v>81.73</v>
      </c>
      <c r="L112" s="1">
        <v>56.67</v>
      </c>
      <c r="M112" s="1">
        <f>Europe_Sales_Records[[#This Row],[Unit Price]]-Europe_Sales_Records[[#This Row],[Unit Cost]]</f>
        <v>25.060000000000002</v>
      </c>
      <c r="N112" s="1">
        <v>324876.75</v>
      </c>
      <c r="O112" s="6">
        <v>225263.25</v>
      </c>
      <c r="P112" s="1">
        <v>99613.5</v>
      </c>
    </row>
    <row r="113" spans="1:16" x14ac:dyDescent="0.3">
      <c r="A113" s="1" t="s">
        <v>14</v>
      </c>
      <c r="B113" s="1" t="s">
        <v>127</v>
      </c>
      <c r="C113" s="1" t="s">
        <v>16</v>
      </c>
      <c r="D113" s="1" t="s">
        <v>17</v>
      </c>
      <c r="E113" s="1" t="s">
        <v>23</v>
      </c>
      <c r="F113" s="7">
        <v>41114</v>
      </c>
      <c r="G113" s="1" t="s">
        <v>190</v>
      </c>
      <c r="H113" s="7">
        <v>41121</v>
      </c>
      <c r="I113" s="1">
        <f>Europe_Sales_Records[[#This Row],[Ship Date]]-Europe_Sales_Records[[#This Row],[Order Date]]</f>
        <v>7</v>
      </c>
      <c r="J113" s="1">
        <v>9353</v>
      </c>
      <c r="K113" s="1">
        <v>47.45</v>
      </c>
      <c r="L113" s="1">
        <v>31.79</v>
      </c>
      <c r="M113" s="1">
        <f>Europe_Sales_Records[[#This Row],[Unit Price]]-Europe_Sales_Records[[#This Row],[Unit Cost]]</f>
        <v>15.660000000000004</v>
      </c>
      <c r="N113" s="1">
        <v>443799.85</v>
      </c>
      <c r="O113" s="6">
        <v>297331.87</v>
      </c>
      <c r="P113" s="1">
        <v>146467.98000000001</v>
      </c>
    </row>
    <row r="114" spans="1:16" x14ac:dyDescent="0.3">
      <c r="A114" s="1" t="s">
        <v>14</v>
      </c>
      <c r="B114" s="1" t="s">
        <v>176</v>
      </c>
      <c r="C114" s="1" t="s">
        <v>29</v>
      </c>
      <c r="D114" s="1" t="s">
        <v>17</v>
      </c>
      <c r="E114" s="1" t="s">
        <v>18</v>
      </c>
      <c r="F114" s="7">
        <v>42916</v>
      </c>
      <c r="G114" s="1" t="s">
        <v>191</v>
      </c>
      <c r="H114" s="7">
        <v>42940</v>
      </c>
      <c r="I114" s="1">
        <f>Europe_Sales_Records[[#This Row],[Ship Date]]-Europe_Sales_Records[[#This Row],[Order Date]]</f>
        <v>24</v>
      </c>
      <c r="J114" s="1">
        <v>2206</v>
      </c>
      <c r="K114" s="1">
        <v>651.21</v>
      </c>
      <c r="L114" s="1">
        <v>524.96</v>
      </c>
      <c r="M114" s="1">
        <f>Europe_Sales_Records[[#This Row],[Unit Price]]-Europe_Sales_Records[[#This Row],[Unit Cost]]</f>
        <v>126.25</v>
      </c>
      <c r="N114" s="1">
        <v>1436569.26</v>
      </c>
      <c r="O114" s="6">
        <v>1158061.76</v>
      </c>
      <c r="P114" s="1">
        <v>278507.5</v>
      </c>
    </row>
    <row r="115" spans="1:16" x14ac:dyDescent="0.3">
      <c r="A115" s="1" t="s">
        <v>14</v>
      </c>
      <c r="B115" s="1" t="s">
        <v>71</v>
      </c>
      <c r="C115" s="1" t="s">
        <v>16</v>
      </c>
      <c r="D115" s="1" t="s">
        <v>22</v>
      </c>
      <c r="E115" s="1" t="s">
        <v>18</v>
      </c>
      <c r="F115" s="7">
        <v>42618</v>
      </c>
      <c r="G115" s="1" t="s">
        <v>192</v>
      </c>
      <c r="H115" s="7">
        <v>42635</v>
      </c>
      <c r="I115" s="1">
        <f>Europe_Sales_Records[[#This Row],[Ship Date]]-Europe_Sales_Records[[#This Row],[Order Date]]</f>
        <v>17</v>
      </c>
      <c r="J115" s="1">
        <v>840</v>
      </c>
      <c r="K115" s="1">
        <v>47.45</v>
      </c>
      <c r="L115" s="1">
        <v>31.79</v>
      </c>
      <c r="M115" s="1">
        <f>Europe_Sales_Records[[#This Row],[Unit Price]]-Europe_Sales_Records[[#This Row],[Unit Cost]]</f>
        <v>15.660000000000004</v>
      </c>
      <c r="N115" s="1">
        <v>39858</v>
      </c>
      <c r="O115" s="6">
        <v>26703.599999999999</v>
      </c>
      <c r="P115" s="1">
        <v>13154.4</v>
      </c>
    </row>
    <row r="116" spans="1:16" x14ac:dyDescent="0.3">
      <c r="A116" s="1" t="s">
        <v>14</v>
      </c>
      <c r="B116" s="1" t="s">
        <v>56</v>
      </c>
      <c r="C116" s="1" t="s">
        <v>29</v>
      </c>
      <c r="D116" s="1" t="s">
        <v>17</v>
      </c>
      <c r="E116" s="1" t="s">
        <v>45</v>
      </c>
      <c r="F116" s="7">
        <v>40832</v>
      </c>
      <c r="G116" s="1" t="s">
        <v>193</v>
      </c>
      <c r="H116" s="7">
        <v>40854</v>
      </c>
      <c r="I116" s="1">
        <f>Europe_Sales_Records[[#This Row],[Ship Date]]-Europe_Sales_Records[[#This Row],[Order Date]]</f>
        <v>22</v>
      </c>
      <c r="J116" s="1">
        <v>9270</v>
      </c>
      <c r="K116" s="1">
        <v>651.21</v>
      </c>
      <c r="L116" s="1">
        <v>524.96</v>
      </c>
      <c r="M116" s="1">
        <f>Europe_Sales_Records[[#This Row],[Unit Price]]-Europe_Sales_Records[[#This Row],[Unit Cost]]</f>
        <v>126.25</v>
      </c>
      <c r="N116" s="1">
        <v>6036716.7000000002</v>
      </c>
      <c r="O116" s="6">
        <v>4866379.2</v>
      </c>
      <c r="P116" s="1">
        <v>1170337.5</v>
      </c>
    </row>
    <row r="117" spans="1:16" x14ac:dyDescent="0.3">
      <c r="A117" s="1" t="s">
        <v>14</v>
      </c>
      <c r="B117" s="1" t="s">
        <v>91</v>
      </c>
      <c r="C117" s="1" t="s">
        <v>26</v>
      </c>
      <c r="D117" s="1" t="s">
        <v>22</v>
      </c>
      <c r="E117" s="1" t="s">
        <v>45</v>
      </c>
      <c r="F117" s="7">
        <v>41310</v>
      </c>
      <c r="G117" s="1" t="s">
        <v>194</v>
      </c>
      <c r="H117" s="7">
        <v>41337</v>
      </c>
      <c r="I117" s="1">
        <f>Europe_Sales_Records[[#This Row],[Ship Date]]-Europe_Sales_Records[[#This Row],[Order Date]]</f>
        <v>27</v>
      </c>
      <c r="J117" s="1">
        <v>3600</v>
      </c>
      <c r="K117" s="1">
        <v>205.7</v>
      </c>
      <c r="L117" s="1">
        <v>117.11</v>
      </c>
      <c r="M117" s="1">
        <f>Europe_Sales_Records[[#This Row],[Unit Price]]-Europe_Sales_Records[[#This Row],[Unit Cost]]</f>
        <v>88.589999999999989</v>
      </c>
      <c r="N117" s="1">
        <v>740520</v>
      </c>
      <c r="O117" s="6">
        <v>421596</v>
      </c>
      <c r="P117" s="1">
        <v>318924</v>
      </c>
    </row>
    <row r="118" spans="1:16" x14ac:dyDescent="0.3">
      <c r="A118" s="1" t="s">
        <v>14</v>
      </c>
      <c r="B118" s="1" t="s">
        <v>73</v>
      </c>
      <c r="C118" s="1" t="s">
        <v>29</v>
      </c>
      <c r="D118" s="1" t="s">
        <v>22</v>
      </c>
      <c r="E118" s="1" t="s">
        <v>45</v>
      </c>
      <c r="F118" s="7">
        <v>42188</v>
      </c>
      <c r="G118" s="1" t="s">
        <v>195</v>
      </c>
      <c r="H118" s="7">
        <v>42201</v>
      </c>
      <c r="I118" s="1">
        <f>Europe_Sales_Records[[#This Row],[Ship Date]]-Europe_Sales_Records[[#This Row],[Order Date]]</f>
        <v>13</v>
      </c>
      <c r="J118" s="1">
        <v>979</v>
      </c>
      <c r="K118" s="1">
        <v>651.21</v>
      </c>
      <c r="L118" s="1">
        <v>524.96</v>
      </c>
      <c r="M118" s="1">
        <f>Europe_Sales_Records[[#This Row],[Unit Price]]-Europe_Sales_Records[[#This Row],[Unit Cost]]</f>
        <v>126.25</v>
      </c>
      <c r="N118" s="1">
        <v>637534.59</v>
      </c>
      <c r="O118" s="6">
        <v>513935.84</v>
      </c>
      <c r="P118" s="1">
        <v>123598.75</v>
      </c>
    </row>
    <row r="119" spans="1:16" x14ac:dyDescent="0.3">
      <c r="A119" s="1" t="s">
        <v>14</v>
      </c>
      <c r="B119" s="1" t="s">
        <v>106</v>
      </c>
      <c r="C119" s="1" t="s">
        <v>29</v>
      </c>
      <c r="D119" s="1" t="s">
        <v>17</v>
      </c>
      <c r="E119" s="1" t="s">
        <v>30</v>
      </c>
      <c r="F119" s="7">
        <v>42098</v>
      </c>
      <c r="G119" s="1" t="s">
        <v>196</v>
      </c>
      <c r="H119" s="7">
        <v>42110</v>
      </c>
      <c r="I119" s="1">
        <f>Europe_Sales_Records[[#This Row],[Ship Date]]-Europe_Sales_Records[[#This Row],[Order Date]]</f>
        <v>12</v>
      </c>
      <c r="J119" s="1">
        <v>2815</v>
      </c>
      <c r="K119" s="1">
        <v>651.21</v>
      </c>
      <c r="L119" s="1">
        <v>524.96</v>
      </c>
      <c r="M119" s="1">
        <f>Europe_Sales_Records[[#This Row],[Unit Price]]-Europe_Sales_Records[[#This Row],[Unit Cost]]</f>
        <v>126.25</v>
      </c>
      <c r="N119" s="1">
        <v>1833156.15</v>
      </c>
      <c r="O119" s="6">
        <v>1477762.4</v>
      </c>
      <c r="P119" s="1">
        <v>355393.75</v>
      </c>
    </row>
    <row r="120" spans="1:16" x14ac:dyDescent="0.3">
      <c r="A120" s="1" t="s">
        <v>14</v>
      </c>
      <c r="B120" s="1" t="s">
        <v>54</v>
      </c>
      <c r="C120" s="1" t="s">
        <v>57</v>
      </c>
      <c r="D120" s="1" t="s">
        <v>17</v>
      </c>
      <c r="E120" s="1" t="s">
        <v>30</v>
      </c>
      <c r="F120" s="7">
        <v>41504</v>
      </c>
      <c r="G120" s="1" t="s">
        <v>197</v>
      </c>
      <c r="H120" s="7">
        <v>41518</v>
      </c>
      <c r="I120" s="1">
        <f>Europe_Sales_Records[[#This Row],[Ship Date]]-Europe_Sales_Records[[#This Row],[Order Date]]</f>
        <v>14</v>
      </c>
      <c r="J120" s="1">
        <v>2112</v>
      </c>
      <c r="K120" s="1">
        <v>668.27</v>
      </c>
      <c r="L120" s="1">
        <v>502.54</v>
      </c>
      <c r="M120" s="1">
        <f>Europe_Sales_Records[[#This Row],[Unit Price]]-Europe_Sales_Records[[#This Row],[Unit Cost]]</f>
        <v>165.72999999999996</v>
      </c>
      <c r="N120" s="1">
        <v>1411386.24</v>
      </c>
      <c r="O120" s="6">
        <v>1061364.48</v>
      </c>
      <c r="P120" s="1">
        <v>350021.76</v>
      </c>
    </row>
    <row r="121" spans="1:16" x14ac:dyDescent="0.3">
      <c r="A121" s="1" t="s">
        <v>14</v>
      </c>
      <c r="B121" s="1" t="s">
        <v>150</v>
      </c>
      <c r="C121" s="1" t="s">
        <v>48</v>
      </c>
      <c r="D121" s="1" t="s">
        <v>17</v>
      </c>
      <c r="E121" s="1" t="s">
        <v>18</v>
      </c>
      <c r="F121" s="7">
        <v>40201</v>
      </c>
      <c r="G121" s="1" t="s">
        <v>198</v>
      </c>
      <c r="H121" s="7">
        <v>40214</v>
      </c>
      <c r="I121" s="1">
        <f>Europe_Sales_Records[[#This Row],[Ship Date]]-Europe_Sales_Records[[#This Row],[Order Date]]</f>
        <v>13</v>
      </c>
      <c r="J121" s="1">
        <v>9048</v>
      </c>
      <c r="K121" s="1">
        <v>152.58000000000001</v>
      </c>
      <c r="L121" s="1">
        <v>97.44</v>
      </c>
      <c r="M121" s="1">
        <f>Europe_Sales_Records[[#This Row],[Unit Price]]-Europe_Sales_Records[[#This Row],[Unit Cost]]</f>
        <v>55.140000000000015</v>
      </c>
      <c r="N121" s="1">
        <v>1380543.84</v>
      </c>
      <c r="O121" s="6">
        <v>881637.12</v>
      </c>
      <c r="P121" s="1">
        <v>498906.72</v>
      </c>
    </row>
    <row r="122" spans="1:16" x14ac:dyDescent="0.3">
      <c r="A122" s="1" t="s">
        <v>14</v>
      </c>
      <c r="B122" s="1" t="s">
        <v>91</v>
      </c>
      <c r="C122" s="1" t="s">
        <v>39</v>
      </c>
      <c r="D122" s="1" t="s">
        <v>22</v>
      </c>
      <c r="E122" s="1" t="s">
        <v>23</v>
      </c>
      <c r="F122" s="7">
        <v>42711</v>
      </c>
      <c r="G122" s="1" t="s">
        <v>199</v>
      </c>
      <c r="H122" s="7">
        <v>42736</v>
      </c>
      <c r="I122" s="1">
        <f>Europe_Sales_Records[[#This Row],[Ship Date]]-Europe_Sales_Records[[#This Row],[Order Date]]</f>
        <v>25</v>
      </c>
      <c r="J122" s="1">
        <v>6097</v>
      </c>
      <c r="K122" s="1">
        <v>154.06</v>
      </c>
      <c r="L122" s="1">
        <v>90.93</v>
      </c>
      <c r="M122" s="1">
        <f>Europe_Sales_Records[[#This Row],[Unit Price]]-Europe_Sales_Records[[#This Row],[Unit Cost]]</f>
        <v>63.129999999999995</v>
      </c>
      <c r="N122" s="1">
        <v>939303.82</v>
      </c>
      <c r="O122" s="6">
        <v>554400.21</v>
      </c>
      <c r="P122" s="1">
        <v>384903.61</v>
      </c>
    </row>
    <row r="123" spans="1:16" x14ac:dyDescent="0.3">
      <c r="A123" s="1" t="s">
        <v>14</v>
      </c>
      <c r="B123" s="1" t="s">
        <v>131</v>
      </c>
      <c r="C123" s="1" t="s">
        <v>48</v>
      </c>
      <c r="D123" s="1" t="s">
        <v>22</v>
      </c>
      <c r="E123" s="1" t="s">
        <v>45</v>
      </c>
      <c r="F123" s="7">
        <v>41168</v>
      </c>
      <c r="G123" s="1" t="s">
        <v>200</v>
      </c>
      <c r="H123" s="7">
        <v>41216</v>
      </c>
      <c r="I123" s="1">
        <f>Europe_Sales_Records[[#This Row],[Ship Date]]-Europe_Sales_Records[[#This Row],[Order Date]]</f>
        <v>48</v>
      </c>
      <c r="J123" s="1">
        <v>2866</v>
      </c>
      <c r="K123" s="1">
        <v>152.58000000000001</v>
      </c>
      <c r="L123" s="1">
        <v>97.44</v>
      </c>
      <c r="M123" s="1">
        <f>Europe_Sales_Records[[#This Row],[Unit Price]]-Europe_Sales_Records[[#This Row],[Unit Cost]]</f>
        <v>55.140000000000015</v>
      </c>
      <c r="N123" s="1">
        <v>437294.28</v>
      </c>
      <c r="O123" s="6">
        <v>279263.03999999998</v>
      </c>
      <c r="P123" s="1">
        <v>158031.24</v>
      </c>
    </row>
    <row r="124" spans="1:16" x14ac:dyDescent="0.3">
      <c r="A124" s="1" t="s">
        <v>14</v>
      </c>
      <c r="B124" s="1" t="s">
        <v>157</v>
      </c>
      <c r="C124" s="1" t="s">
        <v>57</v>
      </c>
      <c r="D124" s="1" t="s">
        <v>22</v>
      </c>
      <c r="E124" s="1" t="s">
        <v>30</v>
      </c>
      <c r="F124" s="7">
        <v>41390</v>
      </c>
      <c r="G124" s="1" t="s">
        <v>201</v>
      </c>
      <c r="H124" s="7">
        <v>41426</v>
      </c>
      <c r="I124" s="1">
        <f>Europe_Sales_Records[[#This Row],[Ship Date]]-Europe_Sales_Records[[#This Row],[Order Date]]</f>
        <v>36</v>
      </c>
      <c r="J124" s="1">
        <v>9680</v>
      </c>
      <c r="K124" s="1">
        <v>668.27</v>
      </c>
      <c r="L124" s="1">
        <v>502.54</v>
      </c>
      <c r="M124" s="1">
        <f>Europe_Sales_Records[[#This Row],[Unit Price]]-Europe_Sales_Records[[#This Row],[Unit Cost]]</f>
        <v>165.72999999999996</v>
      </c>
      <c r="N124" s="1">
        <v>6468853.5999999996</v>
      </c>
      <c r="O124" s="6">
        <v>4864587.2</v>
      </c>
      <c r="P124" s="1">
        <v>1604266.4</v>
      </c>
    </row>
    <row r="125" spans="1:16" x14ac:dyDescent="0.3">
      <c r="A125" s="1" t="s">
        <v>14</v>
      </c>
      <c r="B125" s="1" t="s">
        <v>28</v>
      </c>
      <c r="C125" s="1" t="s">
        <v>79</v>
      </c>
      <c r="D125" s="1" t="s">
        <v>17</v>
      </c>
      <c r="E125" s="1" t="s">
        <v>45</v>
      </c>
      <c r="F125" s="7">
        <v>41206</v>
      </c>
      <c r="G125" s="1" t="s">
        <v>202</v>
      </c>
      <c r="H125" s="7">
        <v>41217</v>
      </c>
      <c r="I125" s="1">
        <f>Europe_Sales_Records[[#This Row],[Ship Date]]-Europe_Sales_Records[[#This Row],[Order Date]]</f>
        <v>11</v>
      </c>
      <c r="J125" s="1">
        <v>9530</v>
      </c>
      <c r="K125" s="1">
        <v>81.73</v>
      </c>
      <c r="L125" s="1">
        <v>56.67</v>
      </c>
      <c r="M125" s="1">
        <f>Europe_Sales_Records[[#This Row],[Unit Price]]-Europe_Sales_Records[[#This Row],[Unit Cost]]</f>
        <v>25.060000000000002</v>
      </c>
      <c r="N125" s="1">
        <v>778886.9</v>
      </c>
      <c r="O125" s="6">
        <v>540065.1</v>
      </c>
      <c r="P125" s="1">
        <v>238821.8</v>
      </c>
    </row>
    <row r="126" spans="1:16" x14ac:dyDescent="0.3">
      <c r="A126" s="1" t="s">
        <v>14</v>
      </c>
      <c r="B126" s="1" t="s">
        <v>180</v>
      </c>
      <c r="C126" s="1" t="s">
        <v>79</v>
      </c>
      <c r="D126" s="1" t="s">
        <v>17</v>
      </c>
      <c r="E126" s="1" t="s">
        <v>45</v>
      </c>
      <c r="F126" s="7">
        <v>40328</v>
      </c>
      <c r="G126" s="1" t="s">
        <v>203</v>
      </c>
      <c r="H126" s="7">
        <v>40337</v>
      </c>
      <c r="I126" s="1">
        <f>Europe_Sales_Records[[#This Row],[Ship Date]]-Europe_Sales_Records[[#This Row],[Order Date]]</f>
        <v>9</v>
      </c>
      <c r="J126" s="1">
        <v>1011</v>
      </c>
      <c r="K126" s="1">
        <v>81.73</v>
      </c>
      <c r="L126" s="1">
        <v>56.67</v>
      </c>
      <c r="M126" s="1">
        <f>Europe_Sales_Records[[#This Row],[Unit Price]]-Europe_Sales_Records[[#This Row],[Unit Cost]]</f>
        <v>25.060000000000002</v>
      </c>
      <c r="N126" s="1">
        <v>82629.03</v>
      </c>
      <c r="O126" s="6">
        <v>57293.37</v>
      </c>
      <c r="P126" s="1">
        <v>25335.66</v>
      </c>
    </row>
    <row r="127" spans="1:16" x14ac:dyDescent="0.3">
      <c r="A127" s="1" t="s">
        <v>14</v>
      </c>
      <c r="B127" s="1" t="s">
        <v>118</v>
      </c>
      <c r="C127" s="1" t="s">
        <v>42</v>
      </c>
      <c r="D127" s="1" t="s">
        <v>17</v>
      </c>
      <c r="E127" s="1" t="s">
        <v>18</v>
      </c>
      <c r="F127" s="7">
        <v>40876</v>
      </c>
      <c r="G127" s="1" t="s">
        <v>204</v>
      </c>
      <c r="H127" s="7">
        <v>40894</v>
      </c>
      <c r="I127" s="1">
        <f>Europe_Sales_Records[[#This Row],[Ship Date]]-Europe_Sales_Records[[#This Row],[Order Date]]</f>
        <v>18</v>
      </c>
      <c r="J127" s="1">
        <v>7701</v>
      </c>
      <c r="K127" s="1">
        <v>421.89</v>
      </c>
      <c r="L127" s="1">
        <v>364.69</v>
      </c>
      <c r="M127" s="1">
        <f>Europe_Sales_Records[[#This Row],[Unit Price]]-Europe_Sales_Records[[#This Row],[Unit Cost]]</f>
        <v>57.199999999999989</v>
      </c>
      <c r="N127" s="1">
        <v>3248974.89</v>
      </c>
      <c r="O127" s="6">
        <v>2808477.69</v>
      </c>
      <c r="P127" s="1">
        <v>440497.2</v>
      </c>
    </row>
    <row r="128" spans="1:16" x14ac:dyDescent="0.3">
      <c r="A128" s="1" t="s">
        <v>14</v>
      </c>
      <c r="B128" s="1" t="s">
        <v>106</v>
      </c>
      <c r="C128" s="1" t="s">
        <v>39</v>
      </c>
      <c r="D128" s="1" t="s">
        <v>22</v>
      </c>
      <c r="E128" s="1" t="s">
        <v>30</v>
      </c>
      <c r="F128" s="7">
        <v>42457</v>
      </c>
      <c r="G128" s="1" t="s">
        <v>205</v>
      </c>
      <c r="H128" s="7">
        <v>42494</v>
      </c>
      <c r="I128" s="1">
        <f>Europe_Sales_Records[[#This Row],[Ship Date]]-Europe_Sales_Records[[#This Row],[Order Date]]</f>
        <v>37</v>
      </c>
      <c r="J128" s="1">
        <v>8458</v>
      </c>
      <c r="K128" s="1">
        <v>154.06</v>
      </c>
      <c r="L128" s="1">
        <v>90.93</v>
      </c>
      <c r="M128" s="1">
        <f>Europe_Sales_Records[[#This Row],[Unit Price]]-Europe_Sales_Records[[#This Row],[Unit Cost]]</f>
        <v>63.129999999999995</v>
      </c>
      <c r="N128" s="1">
        <v>1303039.48</v>
      </c>
      <c r="O128" s="6">
        <v>769085.94</v>
      </c>
      <c r="P128" s="1">
        <v>533953.54</v>
      </c>
    </row>
    <row r="129" spans="1:16" x14ac:dyDescent="0.3">
      <c r="A129" s="1" t="s">
        <v>14</v>
      </c>
      <c r="B129" s="1" t="s">
        <v>131</v>
      </c>
      <c r="C129" s="1" t="s">
        <v>29</v>
      </c>
      <c r="D129" s="1" t="s">
        <v>17</v>
      </c>
      <c r="E129" s="1" t="s">
        <v>18</v>
      </c>
      <c r="F129" s="7">
        <v>40732</v>
      </c>
      <c r="G129" s="1" t="s">
        <v>206</v>
      </c>
      <c r="H129" s="7">
        <v>40749</v>
      </c>
      <c r="I129" s="1">
        <f>Europe_Sales_Records[[#This Row],[Ship Date]]-Europe_Sales_Records[[#This Row],[Order Date]]</f>
        <v>17</v>
      </c>
      <c r="J129" s="1">
        <v>9453</v>
      </c>
      <c r="K129" s="1">
        <v>651.21</v>
      </c>
      <c r="L129" s="1">
        <v>524.96</v>
      </c>
      <c r="M129" s="1">
        <f>Europe_Sales_Records[[#This Row],[Unit Price]]-Europe_Sales_Records[[#This Row],[Unit Cost]]</f>
        <v>126.25</v>
      </c>
      <c r="N129" s="1">
        <v>6155888.1299999999</v>
      </c>
      <c r="O129" s="6">
        <v>4962446.88</v>
      </c>
      <c r="P129" s="1">
        <v>1193441.25</v>
      </c>
    </row>
    <row r="130" spans="1:16" x14ac:dyDescent="0.3">
      <c r="A130" s="1" t="s">
        <v>14</v>
      </c>
      <c r="B130" s="1" t="s">
        <v>44</v>
      </c>
      <c r="C130" s="1" t="s">
        <v>26</v>
      </c>
      <c r="D130" s="1" t="s">
        <v>17</v>
      </c>
      <c r="E130" s="1" t="s">
        <v>23</v>
      </c>
      <c r="F130" s="7">
        <v>40278</v>
      </c>
      <c r="G130" s="1" t="s">
        <v>207</v>
      </c>
      <c r="H130" s="7">
        <v>40318</v>
      </c>
      <c r="I130" s="1">
        <f>Europe_Sales_Records[[#This Row],[Ship Date]]-Europe_Sales_Records[[#This Row],[Order Date]]</f>
        <v>40</v>
      </c>
      <c r="J130" s="1">
        <v>1458</v>
      </c>
      <c r="K130" s="1">
        <v>205.7</v>
      </c>
      <c r="L130" s="1">
        <v>117.11</v>
      </c>
      <c r="M130" s="1">
        <f>Europe_Sales_Records[[#This Row],[Unit Price]]-Europe_Sales_Records[[#This Row],[Unit Cost]]</f>
        <v>88.589999999999989</v>
      </c>
      <c r="N130" s="1">
        <v>299910.59999999998</v>
      </c>
      <c r="O130" s="6">
        <v>170746.38</v>
      </c>
      <c r="P130" s="1">
        <v>129164.22</v>
      </c>
    </row>
    <row r="131" spans="1:16" x14ac:dyDescent="0.3">
      <c r="A131" s="1" t="s">
        <v>14</v>
      </c>
      <c r="B131" s="1" t="s">
        <v>69</v>
      </c>
      <c r="C131" s="1" t="s">
        <v>26</v>
      </c>
      <c r="D131" s="1" t="s">
        <v>22</v>
      </c>
      <c r="E131" s="1" t="s">
        <v>18</v>
      </c>
      <c r="F131" s="7">
        <v>40761</v>
      </c>
      <c r="G131" s="1" t="s">
        <v>208</v>
      </c>
      <c r="H131" s="7">
        <v>40792</v>
      </c>
      <c r="I131" s="1">
        <f>Europe_Sales_Records[[#This Row],[Ship Date]]-Europe_Sales_Records[[#This Row],[Order Date]]</f>
        <v>31</v>
      </c>
      <c r="J131" s="1">
        <v>475</v>
      </c>
      <c r="K131" s="1">
        <v>205.7</v>
      </c>
      <c r="L131" s="1">
        <v>117.11</v>
      </c>
      <c r="M131" s="1">
        <f>Europe_Sales_Records[[#This Row],[Unit Price]]-Europe_Sales_Records[[#This Row],[Unit Cost]]</f>
        <v>88.589999999999989</v>
      </c>
      <c r="N131" s="1">
        <v>97707.5</v>
      </c>
      <c r="O131" s="6">
        <v>55627.25</v>
      </c>
      <c r="P131" s="1">
        <v>42080.25</v>
      </c>
    </row>
    <row r="132" spans="1:16" x14ac:dyDescent="0.3">
      <c r="A132" s="1" t="s">
        <v>14</v>
      </c>
      <c r="B132" s="1" t="s">
        <v>25</v>
      </c>
      <c r="C132" s="1" t="s">
        <v>29</v>
      </c>
      <c r="D132" s="1" t="s">
        <v>22</v>
      </c>
      <c r="E132" s="1" t="s">
        <v>30</v>
      </c>
      <c r="F132" s="7">
        <v>42784</v>
      </c>
      <c r="G132" s="1" t="s">
        <v>209</v>
      </c>
      <c r="H132" s="7">
        <v>42804</v>
      </c>
      <c r="I132" s="1">
        <f>Europe_Sales_Records[[#This Row],[Ship Date]]-Europe_Sales_Records[[#This Row],[Order Date]]</f>
        <v>20</v>
      </c>
      <c r="J132" s="1">
        <v>1913</v>
      </c>
      <c r="K132" s="1">
        <v>651.21</v>
      </c>
      <c r="L132" s="1">
        <v>524.96</v>
      </c>
      <c r="M132" s="1">
        <f>Europe_Sales_Records[[#This Row],[Unit Price]]-Europe_Sales_Records[[#This Row],[Unit Cost]]</f>
        <v>126.25</v>
      </c>
      <c r="N132" s="1">
        <v>1245764.73</v>
      </c>
      <c r="O132" s="6">
        <v>1004248.48</v>
      </c>
      <c r="P132" s="1">
        <v>241516.25</v>
      </c>
    </row>
    <row r="133" spans="1:16" x14ac:dyDescent="0.3">
      <c r="A133" s="1" t="s">
        <v>14</v>
      </c>
      <c r="B133" s="1" t="s">
        <v>150</v>
      </c>
      <c r="C133" s="1" t="s">
        <v>33</v>
      </c>
      <c r="D133" s="1" t="s">
        <v>17</v>
      </c>
      <c r="E133" s="1" t="s">
        <v>18</v>
      </c>
      <c r="F133" s="7">
        <v>42550</v>
      </c>
      <c r="G133" s="1" t="s">
        <v>210</v>
      </c>
      <c r="H133" s="7">
        <v>42553</v>
      </c>
      <c r="I133" s="1">
        <f>Europe_Sales_Records[[#This Row],[Ship Date]]-Europe_Sales_Records[[#This Row],[Order Date]]</f>
        <v>3</v>
      </c>
      <c r="J133" s="1">
        <v>7360</v>
      </c>
      <c r="K133" s="1">
        <v>9.33</v>
      </c>
      <c r="L133" s="1">
        <v>6.92</v>
      </c>
      <c r="M133" s="1">
        <f>Europe_Sales_Records[[#This Row],[Unit Price]]-Europe_Sales_Records[[#This Row],[Unit Cost]]</f>
        <v>2.41</v>
      </c>
      <c r="N133" s="1">
        <v>68668.800000000003</v>
      </c>
      <c r="O133" s="6">
        <v>50931.199999999997</v>
      </c>
      <c r="P133" s="1">
        <v>17737.599999999999</v>
      </c>
    </row>
    <row r="134" spans="1:16" x14ac:dyDescent="0.3">
      <c r="A134" s="1" t="s">
        <v>14</v>
      </c>
      <c r="B134" s="1" t="s">
        <v>44</v>
      </c>
      <c r="C134" s="1" t="s">
        <v>16</v>
      </c>
      <c r="D134" s="1" t="s">
        <v>22</v>
      </c>
      <c r="E134" s="1" t="s">
        <v>45</v>
      </c>
      <c r="F134" s="7">
        <v>40804</v>
      </c>
      <c r="G134" s="1" t="s">
        <v>211</v>
      </c>
      <c r="H134" s="7">
        <v>40835</v>
      </c>
      <c r="I134" s="1">
        <f>Europe_Sales_Records[[#This Row],[Ship Date]]-Europe_Sales_Records[[#This Row],[Order Date]]</f>
        <v>31</v>
      </c>
      <c r="J134" s="1">
        <v>7829</v>
      </c>
      <c r="K134" s="1">
        <v>47.45</v>
      </c>
      <c r="L134" s="1">
        <v>31.79</v>
      </c>
      <c r="M134" s="1">
        <f>Europe_Sales_Records[[#This Row],[Unit Price]]-Europe_Sales_Records[[#This Row],[Unit Cost]]</f>
        <v>15.660000000000004</v>
      </c>
      <c r="N134" s="1">
        <v>371486.05</v>
      </c>
      <c r="O134" s="6">
        <v>248883.91</v>
      </c>
      <c r="P134" s="1">
        <v>122602.14</v>
      </c>
    </row>
    <row r="135" spans="1:16" x14ac:dyDescent="0.3">
      <c r="A135" s="1" t="s">
        <v>14</v>
      </c>
      <c r="B135" s="1" t="s">
        <v>150</v>
      </c>
      <c r="C135" s="1" t="s">
        <v>60</v>
      </c>
      <c r="D135" s="1" t="s">
        <v>22</v>
      </c>
      <c r="E135" s="1" t="s">
        <v>18</v>
      </c>
      <c r="F135" s="7">
        <v>41090</v>
      </c>
      <c r="G135" s="1" t="s">
        <v>212</v>
      </c>
      <c r="H135" s="7">
        <v>41109</v>
      </c>
      <c r="I135" s="1">
        <f>Europe_Sales_Records[[#This Row],[Ship Date]]-Europe_Sales_Records[[#This Row],[Order Date]]</f>
        <v>19</v>
      </c>
      <c r="J135" s="1">
        <v>6876</v>
      </c>
      <c r="K135" s="1">
        <v>437.2</v>
      </c>
      <c r="L135" s="1">
        <v>263.33</v>
      </c>
      <c r="M135" s="1">
        <f>Europe_Sales_Records[[#This Row],[Unit Price]]-Europe_Sales_Records[[#This Row],[Unit Cost]]</f>
        <v>173.87</v>
      </c>
      <c r="N135" s="1">
        <v>3006187.2</v>
      </c>
      <c r="O135" s="6">
        <v>1810657.08</v>
      </c>
      <c r="P135" s="1">
        <v>1195530.1200000001</v>
      </c>
    </row>
    <row r="136" spans="1:16" x14ac:dyDescent="0.3">
      <c r="A136" s="1" t="s">
        <v>14</v>
      </c>
      <c r="B136" s="1" t="s">
        <v>137</v>
      </c>
      <c r="C136" s="1" t="s">
        <v>48</v>
      </c>
      <c r="D136" s="1" t="s">
        <v>22</v>
      </c>
      <c r="E136" s="1" t="s">
        <v>45</v>
      </c>
      <c r="F136" s="7">
        <v>41720</v>
      </c>
      <c r="G136" s="1" t="s">
        <v>213</v>
      </c>
      <c r="H136" s="7">
        <v>41769</v>
      </c>
      <c r="I136" s="1">
        <f>Europe_Sales_Records[[#This Row],[Ship Date]]-Europe_Sales_Records[[#This Row],[Order Date]]</f>
        <v>49</v>
      </c>
      <c r="J136" s="1">
        <v>3944</v>
      </c>
      <c r="K136" s="1">
        <v>152.58000000000001</v>
      </c>
      <c r="L136" s="1">
        <v>97.44</v>
      </c>
      <c r="M136" s="1">
        <f>Europe_Sales_Records[[#This Row],[Unit Price]]-Europe_Sales_Records[[#This Row],[Unit Cost]]</f>
        <v>55.140000000000015</v>
      </c>
      <c r="N136" s="1">
        <v>601775.52</v>
      </c>
      <c r="O136" s="6">
        <v>384303.35999999999</v>
      </c>
      <c r="P136" s="1">
        <v>217472.16</v>
      </c>
    </row>
    <row r="137" spans="1:16" x14ac:dyDescent="0.3">
      <c r="A137" s="1" t="s">
        <v>14</v>
      </c>
      <c r="B137" s="1" t="s">
        <v>131</v>
      </c>
      <c r="C137" s="1" t="s">
        <v>48</v>
      </c>
      <c r="D137" s="1" t="s">
        <v>17</v>
      </c>
      <c r="E137" s="1" t="s">
        <v>30</v>
      </c>
      <c r="F137" s="7">
        <v>41646</v>
      </c>
      <c r="G137" s="1" t="s">
        <v>214</v>
      </c>
      <c r="H137" s="7">
        <v>41680</v>
      </c>
      <c r="I137" s="1">
        <f>Europe_Sales_Records[[#This Row],[Ship Date]]-Europe_Sales_Records[[#This Row],[Order Date]]</f>
        <v>34</v>
      </c>
      <c r="J137" s="1">
        <v>6413</v>
      </c>
      <c r="K137" s="1">
        <v>152.58000000000001</v>
      </c>
      <c r="L137" s="1">
        <v>97.44</v>
      </c>
      <c r="M137" s="1">
        <f>Europe_Sales_Records[[#This Row],[Unit Price]]-Europe_Sales_Records[[#This Row],[Unit Cost]]</f>
        <v>55.140000000000015</v>
      </c>
      <c r="N137" s="1">
        <v>978495.54</v>
      </c>
      <c r="O137" s="6">
        <v>624882.72</v>
      </c>
      <c r="P137" s="1">
        <v>353612.82</v>
      </c>
    </row>
    <row r="138" spans="1:16" x14ac:dyDescent="0.3">
      <c r="A138" s="1" t="s">
        <v>14</v>
      </c>
      <c r="B138" s="1" t="s">
        <v>65</v>
      </c>
      <c r="C138" s="1" t="s">
        <v>16</v>
      </c>
      <c r="D138" s="1" t="s">
        <v>22</v>
      </c>
      <c r="E138" s="1" t="s">
        <v>18</v>
      </c>
      <c r="F138" s="7">
        <v>40463</v>
      </c>
      <c r="G138" s="1" t="s">
        <v>215</v>
      </c>
      <c r="H138" s="7">
        <v>40513</v>
      </c>
      <c r="I138" s="1">
        <f>Europe_Sales_Records[[#This Row],[Ship Date]]-Europe_Sales_Records[[#This Row],[Order Date]]</f>
        <v>50</v>
      </c>
      <c r="J138" s="1">
        <v>4615</v>
      </c>
      <c r="K138" s="1">
        <v>47.45</v>
      </c>
      <c r="L138" s="1">
        <v>31.79</v>
      </c>
      <c r="M138" s="1">
        <f>Europe_Sales_Records[[#This Row],[Unit Price]]-Europe_Sales_Records[[#This Row],[Unit Cost]]</f>
        <v>15.660000000000004</v>
      </c>
      <c r="N138" s="1">
        <v>218981.75</v>
      </c>
      <c r="O138" s="6">
        <v>146710.85</v>
      </c>
      <c r="P138" s="1">
        <v>72270.899999999994</v>
      </c>
    </row>
    <row r="139" spans="1:16" x14ac:dyDescent="0.3">
      <c r="A139" s="1" t="s">
        <v>14</v>
      </c>
      <c r="B139" s="1" t="s">
        <v>131</v>
      </c>
      <c r="C139" s="1" t="s">
        <v>52</v>
      </c>
      <c r="D139" s="1" t="s">
        <v>17</v>
      </c>
      <c r="E139" s="1" t="s">
        <v>45</v>
      </c>
      <c r="F139" s="7">
        <v>40969</v>
      </c>
      <c r="G139" s="1" t="s">
        <v>216</v>
      </c>
      <c r="H139" s="7">
        <v>40990</v>
      </c>
      <c r="I139" s="1">
        <f>Europe_Sales_Records[[#This Row],[Ship Date]]-Europe_Sales_Records[[#This Row],[Order Date]]</f>
        <v>21</v>
      </c>
      <c r="J139" s="1">
        <v>7529</v>
      </c>
      <c r="K139" s="1">
        <v>255.28</v>
      </c>
      <c r="L139" s="1">
        <v>159.41999999999999</v>
      </c>
      <c r="M139" s="1">
        <f>Europe_Sales_Records[[#This Row],[Unit Price]]-Europe_Sales_Records[[#This Row],[Unit Cost]]</f>
        <v>95.860000000000014</v>
      </c>
      <c r="N139" s="1">
        <v>1922003.12</v>
      </c>
      <c r="O139" s="6">
        <v>1200273.18</v>
      </c>
      <c r="P139" s="1">
        <v>721729.94</v>
      </c>
    </row>
    <row r="140" spans="1:16" x14ac:dyDescent="0.3">
      <c r="A140" s="1" t="s">
        <v>14</v>
      </c>
      <c r="B140" s="1" t="s">
        <v>91</v>
      </c>
      <c r="C140" s="1" t="s">
        <v>42</v>
      </c>
      <c r="D140" s="1" t="s">
        <v>22</v>
      </c>
      <c r="E140" s="1" t="s">
        <v>30</v>
      </c>
      <c r="F140" s="7">
        <v>41085</v>
      </c>
      <c r="G140" s="1" t="s">
        <v>217</v>
      </c>
      <c r="H140" s="7">
        <v>41134</v>
      </c>
      <c r="I140" s="1">
        <f>Europe_Sales_Records[[#This Row],[Ship Date]]-Europe_Sales_Records[[#This Row],[Order Date]]</f>
        <v>49</v>
      </c>
      <c r="J140" s="1">
        <v>5259</v>
      </c>
      <c r="K140" s="1">
        <v>421.89</v>
      </c>
      <c r="L140" s="1">
        <v>364.69</v>
      </c>
      <c r="M140" s="1">
        <f>Europe_Sales_Records[[#This Row],[Unit Price]]-Europe_Sales_Records[[#This Row],[Unit Cost]]</f>
        <v>57.199999999999989</v>
      </c>
      <c r="N140" s="1">
        <v>2218719.5099999998</v>
      </c>
      <c r="O140" s="6">
        <v>1917904.71</v>
      </c>
      <c r="P140" s="1">
        <v>300814.8</v>
      </c>
    </row>
    <row r="141" spans="1:16" x14ac:dyDescent="0.3">
      <c r="A141" s="1" t="s">
        <v>14</v>
      </c>
      <c r="B141" s="1" t="s">
        <v>120</v>
      </c>
      <c r="C141" s="1" t="s">
        <v>33</v>
      </c>
      <c r="D141" s="1" t="s">
        <v>17</v>
      </c>
      <c r="E141" s="1" t="s">
        <v>30</v>
      </c>
      <c r="F141" s="7">
        <v>40777</v>
      </c>
      <c r="G141" s="1" t="s">
        <v>218</v>
      </c>
      <c r="H141" s="7">
        <v>40806</v>
      </c>
      <c r="I141" s="1">
        <f>Europe_Sales_Records[[#This Row],[Ship Date]]-Europe_Sales_Records[[#This Row],[Order Date]]</f>
        <v>29</v>
      </c>
      <c r="J141" s="1">
        <v>3464</v>
      </c>
      <c r="K141" s="1">
        <v>9.33</v>
      </c>
      <c r="L141" s="1">
        <v>6.92</v>
      </c>
      <c r="M141" s="1">
        <f>Europe_Sales_Records[[#This Row],[Unit Price]]-Europe_Sales_Records[[#This Row],[Unit Cost]]</f>
        <v>2.41</v>
      </c>
      <c r="N141" s="1">
        <v>32319.119999999999</v>
      </c>
      <c r="O141" s="6">
        <v>23970.880000000001</v>
      </c>
      <c r="P141" s="1">
        <v>8348.24</v>
      </c>
    </row>
    <row r="142" spans="1:16" x14ac:dyDescent="0.3">
      <c r="A142" s="1" t="s">
        <v>14</v>
      </c>
      <c r="B142" s="1" t="s">
        <v>219</v>
      </c>
      <c r="C142" s="1" t="s">
        <v>48</v>
      </c>
      <c r="D142" s="1" t="s">
        <v>22</v>
      </c>
      <c r="E142" s="1" t="s">
        <v>45</v>
      </c>
      <c r="F142" s="7">
        <v>41869</v>
      </c>
      <c r="G142" s="1" t="s">
        <v>220</v>
      </c>
      <c r="H142" s="7">
        <v>41897</v>
      </c>
      <c r="I142" s="1">
        <f>Europe_Sales_Records[[#This Row],[Ship Date]]-Europe_Sales_Records[[#This Row],[Order Date]]</f>
        <v>28</v>
      </c>
      <c r="J142" s="1">
        <v>9587</v>
      </c>
      <c r="K142" s="1">
        <v>152.58000000000001</v>
      </c>
      <c r="L142" s="1">
        <v>97.44</v>
      </c>
      <c r="M142" s="1">
        <f>Europe_Sales_Records[[#This Row],[Unit Price]]-Europe_Sales_Records[[#This Row],[Unit Cost]]</f>
        <v>55.140000000000015</v>
      </c>
      <c r="N142" s="1">
        <v>1462784.46</v>
      </c>
      <c r="O142" s="6">
        <v>934157.28</v>
      </c>
      <c r="P142" s="1">
        <v>528627.18000000005</v>
      </c>
    </row>
    <row r="143" spans="1:16" x14ac:dyDescent="0.3">
      <c r="A143" s="1" t="s">
        <v>14</v>
      </c>
      <c r="B143" s="1" t="s">
        <v>20</v>
      </c>
      <c r="C143" s="1" t="s">
        <v>21</v>
      </c>
      <c r="D143" s="1" t="s">
        <v>22</v>
      </c>
      <c r="E143" s="1" t="s">
        <v>23</v>
      </c>
      <c r="F143" s="7">
        <v>40826</v>
      </c>
      <c r="G143" s="1" t="s">
        <v>221</v>
      </c>
      <c r="H143" s="7">
        <v>40868</v>
      </c>
      <c r="I143" s="1">
        <f>Europe_Sales_Records[[#This Row],[Ship Date]]-Europe_Sales_Records[[#This Row],[Order Date]]</f>
        <v>42</v>
      </c>
      <c r="J143" s="1">
        <v>1789</v>
      </c>
      <c r="K143" s="1">
        <v>109.28</v>
      </c>
      <c r="L143" s="1">
        <v>35.840000000000003</v>
      </c>
      <c r="M143" s="1">
        <f>Europe_Sales_Records[[#This Row],[Unit Price]]-Europe_Sales_Records[[#This Row],[Unit Cost]]</f>
        <v>73.44</v>
      </c>
      <c r="N143" s="1">
        <v>195501.92</v>
      </c>
      <c r="O143" s="6">
        <v>64117.760000000002</v>
      </c>
      <c r="P143" s="1">
        <v>131384.16</v>
      </c>
    </row>
    <row r="144" spans="1:16" x14ac:dyDescent="0.3">
      <c r="A144" s="1" t="s">
        <v>14</v>
      </c>
      <c r="B144" s="1" t="s">
        <v>101</v>
      </c>
      <c r="C144" s="1" t="s">
        <v>79</v>
      </c>
      <c r="D144" s="1" t="s">
        <v>17</v>
      </c>
      <c r="E144" s="1" t="s">
        <v>23</v>
      </c>
      <c r="F144" s="7">
        <v>41364</v>
      </c>
      <c r="G144" s="1" t="s">
        <v>222</v>
      </c>
      <c r="H144" s="7">
        <v>41369</v>
      </c>
      <c r="I144" s="1">
        <f>Europe_Sales_Records[[#This Row],[Ship Date]]-Europe_Sales_Records[[#This Row],[Order Date]]</f>
        <v>5</v>
      </c>
      <c r="J144" s="1">
        <v>7683</v>
      </c>
      <c r="K144" s="1">
        <v>81.73</v>
      </c>
      <c r="L144" s="1">
        <v>56.67</v>
      </c>
      <c r="M144" s="1">
        <f>Europe_Sales_Records[[#This Row],[Unit Price]]-Europe_Sales_Records[[#This Row],[Unit Cost]]</f>
        <v>25.060000000000002</v>
      </c>
      <c r="N144" s="1">
        <v>627931.59</v>
      </c>
      <c r="O144" s="6">
        <v>435395.61</v>
      </c>
      <c r="P144" s="1">
        <v>192535.98</v>
      </c>
    </row>
    <row r="145" spans="1:16" x14ac:dyDescent="0.3">
      <c r="A145" s="1" t="s">
        <v>14</v>
      </c>
      <c r="B145" s="1" t="s">
        <v>137</v>
      </c>
      <c r="C145" s="1" t="s">
        <v>79</v>
      </c>
      <c r="D145" s="1" t="s">
        <v>17</v>
      </c>
      <c r="E145" s="1" t="s">
        <v>45</v>
      </c>
      <c r="F145" s="7">
        <v>42408</v>
      </c>
      <c r="G145" s="1" t="s">
        <v>223</v>
      </c>
      <c r="H145" s="7">
        <v>42416</v>
      </c>
      <c r="I145" s="1">
        <f>Europe_Sales_Records[[#This Row],[Ship Date]]-Europe_Sales_Records[[#This Row],[Order Date]]</f>
        <v>8</v>
      </c>
      <c r="J145" s="1">
        <v>8702</v>
      </c>
      <c r="K145" s="1">
        <v>81.73</v>
      </c>
      <c r="L145" s="1">
        <v>56.67</v>
      </c>
      <c r="M145" s="1">
        <f>Europe_Sales_Records[[#This Row],[Unit Price]]-Europe_Sales_Records[[#This Row],[Unit Cost]]</f>
        <v>25.060000000000002</v>
      </c>
      <c r="N145" s="1">
        <v>711214.46</v>
      </c>
      <c r="O145" s="6">
        <v>493142.34</v>
      </c>
      <c r="P145" s="1">
        <v>218072.12</v>
      </c>
    </row>
    <row r="146" spans="1:16" x14ac:dyDescent="0.3">
      <c r="A146" s="1" t="s">
        <v>14</v>
      </c>
      <c r="B146" s="1" t="s">
        <v>137</v>
      </c>
      <c r="C146" s="1" t="s">
        <v>52</v>
      </c>
      <c r="D146" s="1" t="s">
        <v>22</v>
      </c>
      <c r="E146" s="1" t="s">
        <v>30</v>
      </c>
      <c r="F146" s="7">
        <v>41982</v>
      </c>
      <c r="G146" s="1" t="s">
        <v>224</v>
      </c>
      <c r="H146" s="7">
        <v>42006</v>
      </c>
      <c r="I146" s="1">
        <f>Europe_Sales_Records[[#This Row],[Ship Date]]-Europe_Sales_Records[[#This Row],[Order Date]]</f>
        <v>24</v>
      </c>
      <c r="J146" s="1">
        <v>9222</v>
      </c>
      <c r="K146" s="1">
        <v>255.28</v>
      </c>
      <c r="L146" s="1">
        <v>159.41999999999999</v>
      </c>
      <c r="M146" s="1">
        <f>Europe_Sales_Records[[#This Row],[Unit Price]]-Europe_Sales_Records[[#This Row],[Unit Cost]]</f>
        <v>95.860000000000014</v>
      </c>
      <c r="N146" s="1">
        <v>2354192.16</v>
      </c>
      <c r="O146" s="6">
        <v>1470171.24</v>
      </c>
      <c r="P146" s="1">
        <v>884020.92</v>
      </c>
    </row>
    <row r="147" spans="1:16" x14ac:dyDescent="0.3">
      <c r="A147" s="1" t="s">
        <v>14</v>
      </c>
      <c r="B147" s="1" t="s">
        <v>28</v>
      </c>
      <c r="C147" s="1" t="s">
        <v>16</v>
      </c>
      <c r="D147" s="1" t="s">
        <v>22</v>
      </c>
      <c r="E147" s="1" t="s">
        <v>45</v>
      </c>
      <c r="F147" s="7">
        <v>42404</v>
      </c>
      <c r="G147" s="1" t="s">
        <v>225</v>
      </c>
      <c r="H147" s="7">
        <v>42436</v>
      </c>
      <c r="I147" s="1">
        <f>Europe_Sales_Records[[#This Row],[Ship Date]]-Europe_Sales_Records[[#This Row],[Order Date]]</f>
        <v>32</v>
      </c>
      <c r="J147" s="1">
        <v>2807</v>
      </c>
      <c r="K147" s="1">
        <v>47.45</v>
      </c>
      <c r="L147" s="1">
        <v>31.79</v>
      </c>
      <c r="M147" s="1">
        <f>Europe_Sales_Records[[#This Row],[Unit Price]]-Europe_Sales_Records[[#This Row],[Unit Cost]]</f>
        <v>15.660000000000004</v>
      </c>
      <c r="N147" s="1">
        <v>133192.15</v>
      </c>
      <c r="O147" s="6">
        <v>89234.53</v>
      </c>
      <c r="P147" s="1">
        <v>43957.62</v>
      </c>
    </row>
    <row r="148" spans="1:16" x14ac:dyDescent="0.3">
      <c r="A148" s="1" t="s">
        <v>14</v>
      </c>
      <c r="B148" s="1" t="s">
        <v>65</v>
      </c>
      <c r="C148" s="1" t="s">
        <v>42</v>
      </c>
      <c r="D148" s="1" t="s">
        <v>17</v>
      </c>
      <c r="E148" s="1" t="s">
        <v>18</v>
      </c>
      <c r="F148" s="7">
        <v>40898</v>
      </c>
      <c r="G148" s="1" t="s">
        <v>226</v>
      </c>
      <c r="H148" s="7">
        <v>40906</v>
      </c>
      <c r="I148" s="1">
        <f>Europe_Sales_Records[[#This Row],[Ship Date]]-Europe_Sales_Records[[#This Row],[Order Date]]</f>
        <v>8</v>
      </c>
      <c r="J148" s="1">
        <v>9946</v>
      </c>
      <c r="K148" s="1">
        <v>421.89</v>
      </c>
      <c r="L148" s="1">
        <v>364.69</v>
      </c>
      <c r="M148" s="1">
        <f>Europe_Sales_Records[[#This Row],[Unit Price]]-Europe_Sales_Records[[#This Row],[Unit Cost]]</f>
        <v>57.199999999999989</v>
      </c>
      <c r="N148" s="1">
        <v>4196117.9400000004</v>
      </c>
      <c r="O148" s="6">
        <v>3627206.74</v>
      </c>
      <c r="P148" s="1">
        <v>568911.19999999995</v>
      </c>
    </row>
    <row r="149" spans="1:16" x14ac:dyDescent="0.3">
      <c r="A149" s="1" t="s">
        <v>14</v>
      </c>
      <c r="B149" s="1" t="s">
        <v>116</v>
      </c>
      <c r="C149" s="1" t="s">
        <v>39</v>
      </c>
      <c r="D149" s="1" t="s">
        <v>17</v>
      </c>
      <c r="E149" s="1" t="s">
        <v>30</v>
      </c>
      <c r="F149" s="7">
        <v>40940</v>
      </c>
      <c r="G149" s="1" t="s">
        <v>227</v>
      </c>
      <c r="H149" s="7">
        <v>40941</v>
      </c>
      <c r="I149" s="1">
        <f>Europe_Sales_Records[[#This Row],[Ship Date]]-Europe_Sales_Records[[#This Row],[Order Date]]</f>
        <v>1</v>
      </c>
      <c r="J149" s="1">
        <v>5504</v>
      </c>
      <c r="K149" s="1">
        <v>154.06</v>
      </c>
      <c r="L149" s="1">
        <v>90.93</v>
      </c>
      <c r="M149" s="1">
        <f>Europe_Sales_Records[[#This Row],[Unit Price]]-Europe_Sales_Records[[#This Row],[Unit Cost]]</f>
        <v>63.129999999999995</v>
      </c>
      <c r="N149" s="1">
        <v>847946.23999999999</v>
      </c>
      <c r="O149" s="6">
        <v>500478.71999999997</v>
      </c>
      <c r="P149" s="1">
        <v>347467.52000000002</v>
      </c>
    </row>
    <row r="150" spans="1:16" x14ac:dyDescent="0.3">
      <c r="A150" s="1" t="s">
        <v>14</v>
      </c>
      <c r="B150" s="1" t="s">
        <v>152</v>
      </c>
      <c r="C150" s="1" t="s">
        <v>21</v>
      </c>
      <c r="D150" s="1" t="s">
        <v>22</v>
      </c>
      <c r="E150" s="1" t="s">
        <v>23</v>
      </c>
      <c r="F150" s="7">
        <v>41527</v>
      </c>
      <c r="G150" s="1" t="s">
        <v>228</v>
      </c>
      <c r="H150" s="7">
        <v>41554</v>
      </c>
      <c r="I150" s="1">
        <f>Europe_Sales_Records[[#This Row],[Ship Date]]-Europe_Sales_Records[[#This Row],[Order Date]]</f>
        <v>27</v>
      </c>
      <c r="J150" s="1">
        <v>3938</v>
      </c>
      <c r="K150" s="1">
        <v>109.28</v>
      </c>
      <c r="L150" s="1">
        <v>35.840000000000003</v>
      </c>
      <c r="M150" s="1">
        <f>Europe_Sales_Records[[#This Row],[Unit Price]]-Europe_Sales_Records[[#This Row],[Unit Cost]]</f>
        <v>73.44</v>
      </c>
      <c r="N150" s="1">
        <v>430344.64</v>
      </c>
      <c r="O150" s="6">
        <v>141137.92000000001</v>
      </c>
      <c r="P150" s="1">
        <v>289206.71999999997</v>
      </c>
    </row>
    <row r="151" spans="1:16" x14ac:dyDescent="0.3">
      <c r="A151" s="1" t="s">
        <v>14</v>
      </c>
      <c r="B151" s="1" t="s">
        <v>103</v>
      </c>
      <c r="C151" s="1" t="s">
        <v>60</v>
      </c>
      <c r="D151" s="1" t="s">
        <v>17</v>
      </c>
      <c r="E151" s="1" t="s">
        <v>30</v>
      </c>
      <c r="F151" s="7">
        <v>40721</v>
      </c>
      <c r="G151" s="1" t="s">
        <v>229</v>
      </c>
      <c r="H151" s="7">
        <v>40767</v>
      </c>
      <c r="I151" s="1">
        <f>Europe_Sales_Records[[#This Row],[Ship Date]]-Europe_Sales_Records[[#This Row],[Order Date]]</f>
        <v>46</v>
      </c>
      <c r="J151" s="1">
        <v>5009</v>
      </c>
      <c r="K151" s="1">
        <v>437.2</v>
      </c>
      <c r="L151" s="1">
        <v>263.33</v>
      </c>
      <c r="M151" s="1">
        <f>Europe_Sales_Records[[#This Row],[Unit Price]]-Europe_Sales_Records[[#This Row],[Unit Cost]]</f>
        <v>173.87</v>
      </c>
      <c r="N151" s="1">
        <v>2189934.7999999998</v>
      </c>
      <c r="O151" s="6">
        <v>1319019.97</v>
      </c>
      <c r="P151" s="1">
        <v>870914.83</v>
      </c>
    </row>
    <row r="152" spans="1:16" x14ac:dyDescent="0.3">
      <c r="A152" s="1" t="s">
        <v>14</v>
      </c>
      <c r="B152" s="1" t="s">
        <v>25</v>
      </c>
      <c r="C152" s="1" t="s">
        <v>33</v>
      </c>
      <c r="D152" s="1" t="s">
        <v>17</v>
      </c>
      <c r="E152" s="1" t="s">
        <v>23</v>
      </c>
      <c r="F152" s="7">
        <v>40653</v>
      </c>
      <c r="G152" s="1" t="s">
        <v>230</v>
      </c>
      <c r="H152" s="7">
        <v>40691</v>
      </c>
      <c r="I152" s="1">
        <f>Europe_Sales_Records[[#This Row],[Ship Date]]-Europe_Sales_Records[[#This Row],[Order Date]]</f>
        <v>38</v>
      </c>
      <c r="J152" s="1">
        <v>8733</v>
      </c>
      <c r="K152" s="1">
        <v>9.33</v>
      </c>
      <c r="L152" s="1">
        <v>6.92</v>
      </c>
      <c r="M152" s="1">
        <f>Europe_Sales_Records[[#This Row],[Unit Price]]-Europe_Sales_Records[[#This Row],[Unit Cost]]</f>
        <v>2.41</v>
      </c>
      <c r="N152" s="1">
        <v>81478.89</v>
      </c>
      <c r="O152" s="6">
        <v>60432.36</v>
      </c>
      <c r="P152" s="1">
        <v>21046.53</v>
      </c>
    </row>
    <row r="153" spans="1:16" x14ac:dyDescent="0.3">
      <c r="A153" s="1" t="s">
        <v>14</v>
      </c>
      <c r="B153" s="1" t="s">
        <v>44</v>
      </c>
      <c r="C153" s="1" t="s">
        <v>29</v>
      </c>
      <c r="D153" s="1" t="s">
        <v>17</v>
      </c>
      <c r="E153" s="1" t="s">
        <v>45</v>
      </c>
      <c r="F153" s="7">
        <v>40876</v>
      </c>
      <c r="G153" s="1" t="s">
        <v>231</v>
      </c>
      <c r="H153" s="7">
        <v>40917</v>
      </c>
      <c r="I153" s="1">
        <f>Europe_Sales_Records[[#This Row],[Ship Date]]-Europe_Sales_Records[[#This Row],[Order Date]]</f>
        <v>41</v>
      </c>
      <c r="J153" s="1">
        <v>5201</v>
      </c>
      <c r="K153" s="1">
        <v>651.21</v>
      </c>
      <c r="L153" s="1">
        <v>524.96</v>
      </c>
      <c r="M153" s="1">
        <f>Europe_Sales_Records[[#This Row],[Unit Price]]-Europe_Sales_Records[[#This Row],[Unit Cost]]</f>
        <v>126.25</v>
      </c>
      <c r="N153" s="1">
        <v>3386943.21</v>
      </c>
      <c r="O153" s="6">
        <v>2730316.96</v>
      </c>
      <c r="P153" s="1">
        <v>656626.25</v>
      </c>
    </row>
    <row r="154" spans="1:16" x14ac:dyDescent="0.3">
      <c r="A154" s="1" t="s">
        <v>14</v>
      </c>
      <c r="B154" s="1" t="s">
        <v>232</v>
      </c>
      <c r="C154" s="1" t="s">
        <v>52</v>
      </c>
      <c r="D154" s="1" t="s">
        <v>22</v>
      </c>
      <c r="E154" s="1" t="s">
        <v>30</v>
      </c>
      <c r="F154" s="7">
        <v>41665</v>
      </c>
      <c r="G154" s="1" t="s">
        <v>233</v>
      </c>
      <c r="H154" s="7">
        <v>41706</v>
      </c>
      <c r="I154" s="1">
        <f>Europe_Sales_Records[[#This Row],[Ship Date]]-Europe_Sales_Records[[#This Row],[Order Date]]</f>
        <v>41</v>
      </c>
      <c r="J154" s="1">
        <v>3352</v>
      </c>
      <c r="K154" s="1">
        <v>255.28</v>
      </c>
      <c r="L154" s="1">
        <v>159.41999999999999</v>
      </c>
      <c r="M154" s="1">
        <f>Europe_Sales_Records[[#This Row],[Unit Price]]-Europe_Sales_Records[[#This Row],[Unit Cost]]</f>
        <v>95.860000000000014</v>
      </c>
      <c r="N154" s="1">
        <v>855698.56</v>
      </c>
      <c r="O154" s="6">
        <v>534375.84</v>
      </c>
      <c r="P154" s="1">
        <v>321322.71999999997</v>
      </c>
    </row>
    <row r="155" spans="1:16" x14ac:dyDescent="0.3">
      <c r="A155" s="1" t="s">
        <v>14</v>
      </c>
      <c r="B155" s="1" t="s">
        <v>219</v>
      </c>
      <c r="C155" s="1" t="s">
        <v>79</v>
      </c>
      <c r="D155" s="1" t="s">
        <v>17</v>
      </c>
      <c r="E155" s="1" t="s">
        <v>30</v>
      </c>
      <c r="F155" s="7">
        <v>41408</v>
      </c>
      <c r="G155" s="1" t="s">
        <v>234</v>
      </c>
      <c r="H155" s="7">
        <v>41426</v>
      </c>
      <c r="I155" s="1">
        <f>Europe_Sales_Records[[#This Row],[Ship Date]]-Europe_Sales_Records[[#This Row],[Order Date]]</f>
        <v>18</v>
      </c>
      <c r="J155" s="1">
        <v>1251</v>
      </c>
      <c r="K155" s="1">
        <v>81.73</v>
      </c>
      <c r="L155" s="1">
        <v>56.67</v>
      </c>
      <c r="M155" s="1">
        <f>Europe_Sales_Records[[#This Row],[Unit Price]]-Europe_Sales_Records[[#This Row],[Unit Cost]]</f>
        <v>25.060000000000002</v>
      </c>
      <c r="N155" s="1">
        <v>102244.23</v>
      </c>
      <c r="O155" s="6">
        <v>70894.17</v>
      </c>
      <c r="P155" s="1">
        <v>31350.06</v>
      </c>
    </row>
    <row r="156" spans="1:16" x14ac:dyDescent="0.3">
      <c r="A156" s="1" t="s">
        <v>14</v>
      </c>
      <c r="B156" s="1" t="s">
        <v>41</v>
      </c>
      <c r="C156" s="1" t="s">
        <v>33</v>
      </c>
      <c r="D156" s="1" t="s">
        <v>17</v>
      </c>
      <c r="E156" s="1" t="s">
        <v>23</v>
      </c>
      <c r="F156" s="7">
        <v>40989</v>
      </c>
      <c r="G156" s="1" t="s">
        <v>235</v>
      </c>
      <c r="H156" s="7">
        <v>40995</v>
      </c>
      <c r="I156" s="1">
        <f>Europe_Sales_Records[[#This Row],[Ship Date]]-Europe_Sales_Records[[#This Row],[Order Date]]</f>
        <v>6</v>
      </c>
      <c r="J156" s="1">
        <v>8910</v>
      </c>
      <c r="K156" s="1">
        <v>9.33</v>
      </c>
      <c r="L156" s="1">
        <v>6.92</v>
      </c>
      <c r="M156" s="1">
        <f>Europe_Sales_Records[[#This Row],[Unit Price]]-Europe_Sales_Records[[#This Row],[Unit Cost]]</f>
        <v>2.41</v>
      </c>
      <c r="N156" s="1">
        <v>83130.3</v>
      </c>
      <c r="O156" s="6">
        <v>61657.2</v>
      </c>
      <c r="P156" s="1">
        <v>21473.1</v>
      </c>
    </row>
    <row r="157" spans="1:16" x14ac:dyDescent="0.3">
      <c r="A157" s="1" t="s">
        <v>14</v>
      </c>
      <c r="B157" s="1" t="s">
        <v>180</v>
      </c>
      <c r="C157" s="1" t="s">
        <v>60</v>
      </c>
      <c r="D157" s="1" t="s">
        <v>17</v>
      </c>
      <c r="E157" s="1" t="s">
        <v>45</v>
      </c>
      <c r="F157" s="7">
        <v>42609</v>
      </c>
      <c r="G157" s="1" t="s">
        <v>236</v>
      </c>
      <c r="H157" s="7">
        <v>42619</v>
      </c>
      <c r="I157" s="1">
        <f>Europe_Sales_Records[[#This Row],[Ship Date]]-Europe_Sales_Records[[#This Row],[Order Date]]</f>
        <v>10</v>
      </c>
      <c r="J157" s="1">
        <v>1625</v>
      </c>
      <c r="K157" s="1">
        <v>437.2</v>
      </c>
      <c r="L157" s="1">
        <v>263.33</v>
      </c>
      <c r="M157" s="1">
        <f>Europe_Sales_Records[[#This Row],[Unit Price]]-Europe_Sales_Records[[#This Row],[Unit Cost]]</f>
        <v>173.87</v>
      </c>
      <c r="N157" s="1">
        <v>710450</v>
      </c>
      <c r="O157" s="6">
        <v>427911.25</v>
      </c>
      <c r="P157" s="1">
        <v>282538.75</v>
      </c>
    </row>
    <row r="158" spans="1:16" x14ac:dyDescent="0.3">
      <c r="A158" s="1" t="s">
        <v>14</v>
      </c>
      <c r="B158" s="1" t="s">
        <v>59</v>
      </c>
      <c r="C158" s="1" t="s">
        <v>60</v>
      </c>
      <c r="D158" s="1" t="s">
        <v>22</v>
      </c>
      <c r="E158" s="1" t="s">
        <v>18</v>
      </c>
      <c r="F158" s="7">
        <v>41799</v>
      </c>
      <c r="G158" s="1" t="s">
        <v>237</v>
      </c>
      <c r="H158" s="7">
        <v>41801</v>
      </c>
      <c r="I158" s="1">
        <f>Europe_Sales_Records[[#This Row],[Ship Date]]-Europe_Sales_Records[[#This Row],[Order Date]]</f>
        <v>2</v>
      </c>
      <c r="J158" s="1">
        <v>1946</v>
      </c>
      <c r="K158" s="1">
        <v>437.2</v>
      </c>
      <c r="L158" s="1">
        <v>263.33</v>
      </c>
      <c r="M158" s="1">
        <f>Europe_Sales_Records[[#This Row],[Unit Price]]-Europe_Sales_Records[[#This Row],[Unit Cost]]</f>
        <v>173.87</v>
      </c>
      <c r="N158" s="1">
        <v>850791.2</v>
      </c>
      <c r="O158" s="6">
        <v>512440.18</v>
      </c>
      <c r="P158" s="1">
        <v>338351.02</v>
      </c>
    </row>
    <row r="159" spans="1:16" x14ac:dyDescent="0.3">
      <c r="A159" s="1" t="s">
        <v>14</v>
      </c>
      <c r="B159" s="1" t="s">
        <v>38</v>
      </c>
      <c r="C159" s="1" t="s">
        <v>21</v>
      </c>
      <c r="D159" s="1" t="s">
        <v>22</v>
      </c>
      <c r="E159" s="1" t="s">
        <v>45</v>
      </c>
      <c r="F159" s="7">
        <v>41585</v>
      </c>
      <c r="G159" s="1" t="s">
        <v>238</v>
      </c>
      <c r="H159" s="7">
        <v>41601</v>
      </c>
      <c r="I159" s="1">
        <f>Europe_Sales_Records[[#This Row],[Ship Date]]-Europe_Sales_Records[[#This Row],[Order Date]]</f>
        <v>16</v>
      </c>
      <c r="J159" s="1">
        <v>6700</v>
      </c>
      <c r="K159" s="1">
        <v>109.28</v>
      </c>
      <c r="L159" s="1">
        <v>35.840000000000003</v>
      </c>
      <c r="M159" s="1">
        <f>Europe_Sales_Records[[#This Row],[Unit Price]]-Europe_Sales_Records[[#This Row],[Unit Cost]]</f>
        <v>73.44</v>
      </c>
      <c r="N159" s="1">
        <v>732176</v>
      </c>
      <c r="O159" s="6">
        <v>240128</v>
      </c>
      <c r="P159" s="1">
        <v>492048</v>
      </c>
    </row>
    <row r="160" spans="1:16" x14ac:dyDescent="0.3">
      <c r="A160" s="1" t="s">
        <v>14</v>
      </c>
      <c r="B160" s="1" t="s">
        <v>25</v>
      </c>
      <c r="C160" s="1" t="s">
        <v>16</v>
      </c>
      <c r="D160" s="1" t="s">
        <v>17</v>
      </c>
      <c r="E160" s="1" t="s">
        <v>18</v>
      </c>
      <c r="F160" s="7">
        <v>41001</v>
      </c>
      <c r="G160" s="1" t="s">
        <v>239</v>
      </c>
      <c r="H160" s="7">
        <v>41030</v>
      </c>
      <c r="I160" s="1">
        <f>Europe_Sales_Records[[#This Row],[Ship Date]]-Europe_Sales_Records[[#This Row],[Order Date]]</f>
        <v>29</v>
      </c>
      <c r="J160" s="1">
        <v>8863</v>
      </c>
      <c r="K160" s="1">
        <v>47.45</v>
      </c>
      <c r="L160" s="1">
        <v>31.79</v>
      </c>
      <c r="M160" s="1">
        <f>Europe_Sales_Records[[#This Row],[Unit Price]]-Europe_Sales_Records[[#This Row],[Unit Cost]]</f>
        <v>15.660000000000004</v>
      </c>
      <c r="N160" s="1">
        <v>420549.35</v>
      </c>
      <c r="O160" s="6">
        <v>281754.77</v>
      </c>
      <c r="P160" s="1">
        <v>138794.57999999999</v>
      </c>
    </row>
    <row r="161" spans="1:16" x14ac:dyDescent="0.3">
      <c r="A161" s="1" t="s">
        <v>14</v>
      </c>
      <c r="B161" s="1" t="s">
        <v>84</v>
      </c>
      <c r="C161" s="1" t="s">
        <v>26</v>
      </c>
      <c r="D161" s="1" t="s">
        <v>22</v>
      </c>
      <c r="E161" s="1" t="s">
        <v>30</v>
      </c>
      <c r="F161" s="7">
        <v>42889</v>
      </c>
      <c r="G161" s="1" t="s">
        <v>240</v>
      </c>
      <c r="H161" s="7">
        <v>42937</v>
      </c>
      <c r="I161" s="1">
        <f>Europe_Sales_Records[[#This Row],[Ship Date]]-Europe_Sales_Records[[#This Row],[Order Date]]</f>
        <v>48</v>
      </c>
      <c r="J161" s="1">
        <v>2197</v>
      </c>
      <c r="K161" s="1">
        <v>205.7</v>
      </c>
      <c r="L161" s="1">
        <v>117.11</v>
      </c>
      <c r="M161" s="1">
        <f>Europe_Sales_Records[[#This Row],[Unit Price]]-Europe_Sales_Records[[#This Row],[Unit Cost]]</f>
        <v>88.589999999999989</v>
      </c>
      <c r="N161" s="1">
        <v>451922.9</v>
      </c>
      <c r="O161" s="6">
        <v>257290.67</v>
      </c>
      <c r="P161" s="1">
        <v>194632.23</v>
      </c>
    </row>
    <row r="162" spans="1:16" x14ac:dyDescent="0.3">
      <c r="A162" s="1" t="s">
        <v>14</v>
      </c>
      <c r="B162" s="1" t="s">
        <v>65</v>
      </c>
      <c r="C162" s="1" t="s">
        <v>16</v>
      </c>
      <c r="D162" s="1" t="s">
        <v>22</v>
      </c>
      <c r="E162" s="1" t="s">
        <v>23</v>
      </c>
      <c r="F162" s="7">
        <v>40897</v>
      </c>
      <c r="G162" s="1" t="s">
        <v>241</v>
      </c>
      <c r="H162" s="7">
        <v>40916</v>
      </c>
      <c r="I162" s="1">
        <f>Europe_Sales_Records[[#This Row],[Ship Date]]-Europe_Sales_Records[[#This Row],[Order Date]]</f>
        <v>19</v>
      </c>
      <c r="J162" s="1">
        <v>8016</v>
      </c>
      <c r="K162" s="1">
        <v>47.45</v>
      </c>
      <c r="L162" s="1">
        <v>31.79</v>
      </c>
      <c r="M162" s="1">
        <f>Europe_Sales_Records[[#This Row],[Unit Price]]-Europe_Sales_Records[[#This Row],[Unit Cost]]</f>
        <v>15.660000000000004</v>
      </c>
      <c r="N162" s="1">
        <v>380359.2</v>
      </c>
      <c r="O162" s="6">
        <v>254828.64</v>
      </c>
      <c r="P162" s="1">
        <v>125530.56</v>
      </c>
    </row>
    <row r="163" spans="1:16" x14ac:dyDescent="0.3">
      <c r="A163" s="1" t="s">
        <v>14</v>
      </c>
      <c r="B163" s="1" t="s">
        <v>180</v>
      </c>
      <c r="C163" s="1" t="s">
        <v>52</v>
      </c>
      <c r="D163" s="1" t="s">
        <v>22</v>
      </c>
      <c r="E163" s="1" t="s">
        <v>45</v>
      </c>
      <c r="F163" s="7">
        <v>42878</v>
      </c>
      <c r="G163" s="1" t="s">
        <v>242</v>
      </c>
      <c r="H163" s="7">
        <v>42885</v>
      </c>
      <c r="I163" s="1">
        <f>Europe_Sales_Records[[#This Row],[Ship Date]]-Europe_Sales_Records[[#This Row],[Order Date]]</f>
        <v>7</v>
      </c>
      <c r="J163" s="1">
        <v>462</v>
      </c>
      <c r="K163" s="1">
        <v>255.28</v>
      </c>
      <c r="L163" s="1">
        <v>159.41999999999999</v>
      </c>
      <c r="M163" s="1">
        <f>Europe_Sales_Records[[#This Row],[Unit Price]]-Europe_Sales_Records[[#This Row],[Unit Cost]]</f>
        <v>95.860000000000014</v>
      </c>
      <c r="N163" s="1">
        <v>117939.36</v>
      </c>
      <c r="O163" s="6">
        <v>73652.039999999994</v>
      </c>
      <c r="P163" s="1">
        <v>44287.32</v>
      </c>
    </row>
    <row r="164" spans="1:16" x14ac:dyDescent="0.3">
      <c r="A164" s="1" t="s">
        <v>14</v>
      </c>
      <c r="B164" s="1" t="s">
        <v>50</v>
      </c>
      <c r="C164" s="1" t="s">
        <v>21</v>
      </c>
      <c r="D164" s="1" t="s">
        <v>17</v>
      </c>
      <c r="E164" s="1" t="s">
        <v>23</v>
      </c>
      <c r="F164" s="7">
        <v>41036</v>
      </c>
      <c r="G164" s="1" t="s">
        <v>243</v>
      </c>
      <c r="H164" s="7">
        <v>41048</v>
      </c>
      <c r="I164" s="1">
        <f>Europe_Sales_Records[[#This Row],[Ship Date]]-Europe_Sales_Records[[#This Row],[Order Date]]</f>
        <v>12</v>
      </c>
      <c r="J164" s="1">
        <v>8503</v>
      </c>
      <c r="K164" s="1">
        <v>109.28</v>
      </c>
      <c r="L164" s="1">
        <v>35.840000000000003</v>
      </c>
      <c r="M164" s="1">
        <f>Europe_Sales_Records[[#This Row],[Unit Price]]-Europe_Sales_Records[[#This Row],[Unit Cost]]</f>
        <v>73.44</v>
      </c>
      <c r="N164" s="1">
        <v>929207.84</v>
      </c>
      <c r="O164" s="6">
        <v>304747.52000000002</v>
      </c>
      <c r="P164" s="1">
        <v>624460.31999999995</v>
      </c>
    </row>
    <row r="165" spans="1:16" x14ac:dyDescent="0.3">
      <c r="A165" s="1" t="s">
        <v>14</v>
      </c>
      <c r="B165" s="1" t="s">
        <v>232</v>
      </c>
      <c r="C165" s="1" t="s">
        <v>52</v>
      </c>
      <c r="D165" s="1" t="s">
        <v>22</v>
      </c>
      <c r="E165" s="1" t="s">
        <v>30</v>
      </c>
      <c r="F165" s="7">
        <v>42179</v>
      </c>
      <c r="G165" s="1" t="s">
        <v>244</v>
      </c>
      <c r="H165" s="7">
        <v>42213</v>
      </c>
      <c r="I165" s="1">
        <f>Europe_Sales_Records[[#This Row],[Ship Date]]-Europe_Sales_Records[[#This Row],[Order Date]]</f>
        <v>34</v>
      </c>
      <c r="J165" s="1">
        <v>1905</v>
      </c>
      <c r="K165" s="1">
        <v>255.28</v>
      </c>
      <c r="L165" s="1">
        <v>159.41999999999999</v>
      </c>
      <c r="M165" s="1">
        <f>Europe_Sales_Records[[#This Row],[Unit Price]]-Europe_Sales_Records[[#This Row],[Unit Cost]]</f>
        <v>95.860000000000014</v>
      </c>
      <c r="N165" s="1">
        <v>486308.4</v>
      </c>
      <c r="O165" s="6">
        <v>303695.09999999998</v>
      </c>
      <c r="P165" s="1">
        <v>182613.3</v>
      </c>
    </row>
    <row r="166" spans="1:16" x14ac:dyDescent="0.3">
      <c r="A166" s="1" t="s">
        <v>14</v>
      </c>
      <c r="B166" s="1" t="s">
        <v>59</v>
      </c>
      <c r="C166" s="1" t="s">
        <v>48</v>
      </c>
      <c r="D166" s="1" t="s">
        <v>17</v>
      </c>
      <c r="E166" s="1" t="s">
        <v>18</v>
      </c>
      <c r="F166" s="7">
        <v>42394</v>
      </c>
      <c r="G166" s="1" t="s">
        <v>245</v>
      </c>
      <c r="H166" s="7">
        <v>42432</v>
      </c>
      <c r="I166" s="1">
        <f>Europe_Sales_Records[[#This Row],[Ship Date]]-Europe_Sales_Records[[#This Row],[Order Date]]</f>
        <v>38</v>
      </c>
      <c r="J166" s="1">
        <v>1443</v>
      </c>
      <c r="K166" s="1">
        <v>152.58000000000001</v>
      </c>
      <c r="L166" s="1">
        <v>97.44</v>
      </c>
      <c r="M166" s="1">
        <f>Europe_Sales_Records[[#This Row],[Unit Price]]-Europe_Sales_Records[[#This Row],[Unit Cost]]</f>
        <v>55.140000000000015</v>
      </c>
      <c r="N166" s="1">
        <v>220172.94</v>
      </c>
      <c r="O166" s="6">
        <v>140605.92000000001</v>
      </c>
      <c r="P166" s="1">
        <v>79567.02</v>
      </c>
    </row>
    <row r="167" spans="1:16" x14ac:dyDescent="0.3">
      <c r="A167" s="1" t="s">
        <v>14</v>
      </c>
      <c r="B167" s="1" t="s">
        <v>50</v>
      </c>
      <c r="C167" s="1" t="s">
        <v>26</v>
      </c>
      <c r="D167" s="1" t="s">
        <v>17</v>
      </c>
      <c r="E167" s="1" t="s">
        <v>18</v>
      </c>
      <c r="F167" s="7">
        <v>41112</v>
      </c>
      <c r="G167" s="1" t="s">
        <v>246</v>
      </c>
      <c r="H167" s="7">
        <v>41127</v>
      </c>
      <c r="I167" s="1">
        <f>Europe_Sales_Records[[#This Row],[Ship Date]]-Europe_Sales_Records[[#This Row],[Order Date]]</f>
        <v>15</v>
      </c>
      <c r="J167" s="1">
        <v>3981</v>
      </c>
      <c r="K167" s="1">
        <v>205.7</v>
      </c>
      <c r="L167" s="1">
        <v>117.11</v>
      </c>
      <c r="M167" s="1">
        <f>Europe_Sales_Records[[#This Row],[Unit Price]]-Europe_Sales_Records[[#This Row],[Unit Cost]]</f>
        <v>88.589999999999989</v>
      </c>
      <c r="N167" s="1">
        <v>818891.7</v>
      </c>
      <c r="O167" s="6">
        <v>466214.91</v>
      </c>
      <c r="P167" s="1">
        <v>352676.79</v>
      </c>
    </row>
    <row r="168" spans="1:16" x14ac:dyDescent="0.3">
      <c r="A168" s="1" t="s">
        <v>14</v>
      </c>
      <c r="B168" s="1" t="s">
        <v>20</v>
      </c>
      <c r="C168" s="1" t="s">
        <v>29</v>
      </c>
      <c r="D168" s="1" t="s">
        <v>17</v>
      </c>
      <c r="E168" s="1" t="s">
        <v>45</v>
      </c>
      <c r="F168" s="7">
        <v>41101</v>
      </c>
      <c r="G168" s="1" t="s">
        <v>247</v>
      </c>
      <c r="H168" s="7">
        <v>41134</v>
      </c>
      <c r="I168" s="1">
        <f>Europe_Sales_Records[[#This Row],[Ship Date]]-Europe_Sales_Records[[#This Row],[Order Date]]</f>
        <v>33</v>
      </c>
      <c r="J168" s="1">
        <v>674</v>
      </c>
      <c r="K168" s="1">
        <v>651.21</v>
      </c>
      <c r="L168" s="1">
        <v>524.96</v>
      </c>
      <c r="M168" s="1">
        <f>Europe_Sales_Records[[#This Row],[Unit Price]]-Europe_Sales_Records[[#This Row],[Unit Cost]]</f>
        <v>126.25</v>
      </c>
      <c r="N168" s="1">
        <v>438915.54</v>
      </c>
      <c r="O168" s="6">
        <v>353823.04</v>
      </c>
      <c r="P168" s="1">
        <v>85092.5</v>
      </c>
    </row>
    <row r="169" spans="1:16" x14ac:dyDescent="0.3">
      <c r="A169" s="1" t="s">
        <v>14</v>
      </c>
      <c r="B169" s="1" t="s">
        <v>137</v>
      </c>
      <c r="C169" s="1" t="s">
        <v>79</v>
      </c>
      <c r="D169" s="1" t="s">
        <v>17</v>
      </c>
      <c r="E169" s="1" t="s">
        <v>45</v>
      </c>
      <c r="F169" s="7">
        <v>41847</v>
      </c>
      <c r="G169" s="1" t="s">
        <v>248</v>
      </c>
      <c r="H169" s="7">
        <v>41849</v>
      </c>
      <c r="I169" s="1">
        <f>Europe_Sales_Records[[#This Row],[Ship Date]]-Europe_Sales_Records[[#This Row],[Order Date]]</f>
        <v>2</v>
      </c>
      <c r="J169" s="1">
        <v>1547</v>
      </c>
      <c r="K169" s="1">
        <v>81.73</v>
      </c>
      <c r="L169" s="1">
        <v>56.67</v>
      </c>
      <c r="M169" s="1">
        <f>Europe_Sales_Records[[#This Row],[Unit Price]]-Europe_Sales_Records[[#This Row],[Unit Cost]]</f>
        <v>25.060000000000002</v>
      </c>
      <c r="N169" s="1">
        <v>126436.31</v>
      </c>
      <c r="O169" s="6">
        <v>87668.49</v>
      </c>
      <c r="P169" s="1">
        <v>38767.82</v>
      </c>
    </row>
    <row r="170" spans="1:16" x14ac:dyDescent="0.3">
      <c r="A170" s="1" t="s">
        <v>14</v>
      </c>
      <c r="B170" s="1" t="s">
        <v>157</v>
      </c>
      <c r="C170" s="1" t="s">
        <v>16</v>
      </c>
      <c r="D170" s="1" t="s">
        <v>22</v>
      </c>
      <c r="E170" s="1" t="s">
        <v>23</v>
      </c>
      <c r="F170" s="7">
        <v>42772</v>
      </c>
      <c r="G170" s="1" t="s">
        <v>249</v>
      </c>
      <c r="H170" s="7">
        <v>42776</v>
      </c>
      <c r="I170" s="1">
        <f>Europe_Sales_Records[[#This Row],[Ship Date]]-Europe_Sales_Records[[#This Row],[Order Date]]</f>
        <v>4</v>
      </c>
      <c r="J170" s="1">
        <v>4674</v>
      </c>
      <c r="K170" s="1">
        <v>47.45</v>
      </c>
      <c r="L170" s="1">
        <v>31.79</v>
      </c>
      <c r="M170" s="1">
        <f>Europe_Sales_Records[[#This Row],[Unit Price]]-Europe_Sales_Records[[#This Row],[Unit Cost]]</f>
        <v>15.660000000000004</v>
      </c>
      <c r="N170" s="1">
        <v>221781.3</v>
      </c>
      <c r="O170" s="6">
        <v>148586.46</v>
      </c>
      <c r="P170" s="1">
        <v>73194.84</v>
      </c>
    </row>
    <row r="171" spans="1:16" x14ac:dyDescent="0.3">
      <c r="A171" s="1" t="s">
        <v>14</v>
      </c>
      <c r="B171" s="1" t="s">
        <v>101</v>
      </c>
      <c r="C171" s="1" t="s">
        <v>16</v>
      </c>
      <c r="D171" s="1" t="s">
        <v>22</v>
      </c>
      <c r="E171" s="1" t="s">
        <v>45</v>
      </c>
      <c r="F171" s="7">
        <v>41648</v>
      </c>
      <c r="G171" s="1" t="s">
        <v>250</v>
      </c>
      <c r="H171" s="7">
        <v>41667</v>
      </c>
      <c r="I171" s="1">
        <f>Europe_Sales_Records[[#This Row],[Ship Date]]-Europe_Sales_Records[[#This Row],[Order Date]]</f>
        <v>19</v>
      </c>
      <c r="J171" s="1">
        <v>2069</v>
      </c>
      <c r="K171" s="1">
        <v>47.45</v>
      </c>
      <c r="L171" s="1">
        <v>31.79</v>
      </c>
      <c r="M171" s="1">
        <f>Europe_Sales_Records[[#This Row],[Unit Price]]-Europe_Sales_Records[[#This Row],[Unit Cost]]</f>
        <v>15.660000000000004</v>
      </c>
      <c r="N171" s="1">
        <v>98174.05</v>
      </c>
      <c r="O171" s="6">
        <v>65773.509999999995</v>
      </c>
      <c r="P171" s="1">
        <v>32400.54</v>
      </c>
    </row>
    <row r="172" spans="1:16" x14ac:dyDescent="0.3">
      <c r="A172" s="1" t="s">
        <v>14</v>
      </c>
      <c r="B172" s="1" t="s">
        <v>75</v>
      </c>
      <c r="C172" s="1" t="s">
        <v>57</v>
      </c>
      <c r="D172" s="1" t="s">
        <v>22</v>
      </c>
      <c r="E172" s="1" t="s">
        <v>18</v>
      </c>
      <c r="F172" s="7">
        <v>41892</v>
      </c>
      <c r="G172" s="1" t="s">
        <v>251</v>
      </c>
      <c r="H172" s="7">
        <v>41899</v>
      </c>
      <c r="I172" s="1">
        <f>Europe_Sales_Records[[#This Row],[Ship Date]]-Europe_Sales_Records[[#This Row],[Order Date]]</f>
        <v>7</v>
      </c>
      <c r="J172" s="1">
        <v>6992</v>
      </c>
      <c r="K172" s="1">
        <v>668.27</v>
      </c>
      <c r="L172" s="1">
        <v>502.54</v>
      </c>
      <c r="M172" s="1">
        <f>Europe_Sales_Records[[#This Row],[Unit Price]]-Europe_Sales_Records[[#This Row],[Unit Cost]]</f>
        <v>165.72999999999996</v>
      </c>
      <c r="N172" s="1">
        <v>4672543.84</v>
      </c>
      <c r="O172" s="6">
        <v>3513759.68</v>
      </c>
      <c r="P172" s="1">
        <v>1158784.1599999999</v>
      </c>
    </row>
    <row r="173" spans="1:16" x14ac:dyDescent="0.3">
      <c r="A173" s="1" t="s">
        <v>14</v>
      </c>
      <c r="B173" s="1" t="s">
        <v>65</v>
      </c>
      <c r="C173" s="1" t="s">
        <v>21</v>
      </c>
      <c r="D173" s="1" t="s">
        <v>22</v>
      </c>
      <c r="E173" s="1" t="s">
        <v>18</v>
      </c>
      <c r="F173" s="7">
        <v>40719</v>
      </c>
      <c r="G173" s="1" t="s">
        <v>252</v>
      </c>
      <c r="H173" s="7">
        <v>40759</v>
      </c>
      <c r="I173" s="1">
        <f>Europe_Sales_Records[[#This Row],[Ship Date]]-Europe_Sales_Records[[#This Row],[Order Date]]</f>
        <v>40</v>
      </c>
      <c r="J173" s="1">
        <v>7915</v>
      </c>
      <c r="K173" s="1">
        <v>109.28</v>
      </c>
      <c r="L173" s="1">
        <v>35.840000000000003</v>
      </c>
      <c r="M173" s="1">
        <f>Europe_Sales_Records[[#This Row],[Unit Price]]-Europe_Sales_Records[[#This Row],[Unit Cost]]</f>
        <v>73.44</v>
      </c>
      <c r="N173" s="1">
        <v>864951.2</v>
      </c>
      <c r="O173" s="6">
        <v>283673.59999999998</v>
      </c>
      <c r="P173" s="1">
        <v>581277.6</v>
      </c>
    </row>
    <row r="174" spans="1:16" x14ac:dyDescent="0.3">
      <c r="A174" s="1" t="s">
        <v>14</v>
      </c>
      <c r="B174" s="1" t="s">
        <v>129</v>
      </c>
      <c r="C174" s="1" t="s">
        <v>79</v>
      </c>
      <c r="D174" s="1" t="s">
        <v>22</v>
      </c>
      <c r="E174" s="1" t="s">
        <v>23</v>
      </c>
      <c r="F174" s="7">
        <v>42841</v>
      </c>
      <c r="G174" s="1" t="s">
        <v>253</v>
      </c>
      <c r="H174" s="7">
        <v>42869</v>
      </c>
      <c r="I174" s="1">
        <f>Europe_Sales_Records[[#This Row],[Ship Date]]-Europe_Sales_Records[[#This Row],[Order Date]]</f>
        <v>28</v>
      </c>
      <c r="J174" s="1">
        <v>161</v>
      </c>
      <c r="K174" s="1">
        <v>81.73</v>
      </c>
      <c r="L174" s="1">
        <v>56.67</v>
      </c>
      <c r="M174" s="1">
        <f>Europe_Sales_Records[[#This Row],[Unit Price]]-Europe_Sales_Records[[#This Row],[Unit Cost]]</f>
        <v>25.060000000000002</v>
      </c>
      <c r="N174" s="1">
        <v>13158.53</v>
      </c>
      <c r="O174" s="6">
        <v>9123.8700000000008</v>
      </c>
      <c r="P174" s="1">
        <v>4034.66</v>
      </c>
    </row>
    <row r="175" spans="1:16" x14ac:dyDescent="0.3">
      <c r="A175" s="1" t="s">
        <v>14</v>
      </c>
      <c r="B175" s="1" t="s">
        <v>77</v>
      </c>
      <c r="C175" s="1" t="s">
        <v>39</v>
      </c>
      <c r="D175" s="1" t="s">
        <v>22</v>
      </c>
      <c r="E175" s="1" t="s">
        <v>23</v>
      </c>
      <c r="F175" s="7">
        <v>42500</v>
      </c>
      <c r="G175" s="1" t="s">
        <v>254</v>
      </c>
      <c r="H175" s="7">
        <v>42501</v>
      </c>
      <c r="I175" s="1">
        <f>Europe_Sales_Records[[#This Row],[Ship Date]]-Europe_Sales_Records[[#This Row],[Order Date]]</f>
        <v>1</v>
      </c>
      <c r="J175" s="1">
        <v>6662</v>
      </c>
      <c r="K175" s="1">
        <v>154.06</v>
      </c>
      <c r="L175" s="1">
        <v>90.93</v>
      </c>
      <c r="M175" s="1">
        <f>Europe_Sales_Records[[#This Row],[Unit Price]]-Europe_Sales_Records[[#This Row],[Unit Cost]]</f>
        <v>63.129999999999995</v>
      </c>
      <c r="N175" s="1">
        <v>1026347.72</v>
      </c>
      <c r="O175" s="6">
        <v>605775.66</v>
      </c>
      <c r="P175" s="1">
        <v>420572.06</v>
      </c>
    </row>
    <row r="176" spans="1:16" x14ac:dyDescent="0.3">
      <c r="A176" s="1" t="s">
        <v>14</v>
      </c>
      <c r="B176" s="1" t="s">
        <v>50</v>
      </c>
      <c r="C176" s="1" t="s">
        <v>48</v>
      </c>
      <c r="D176" s="1" t="s">
        <v>17</v>
      </c>
      <c r="E176" s="1" t="s">
        <v>30</v>
      </c>
      <c r="F176" s="7">
        <v>41283</v>
      </c>
      <c r="G176" s="1" t="s">
        <v>255</v>
      </c>
      <c r="H176" s="7">
        <v>41314</v>
      </c>
      <c r="I176" s="1">
        <f>Europe_Sales_Records[[#This Row],[Ship Date]]-Europe_Sales_Records[[#This Row],[Order Date]]</f>
        <v>31</v>
      </c>
      <c r="J176" s="1">
        <v>6302</v>
      </c>
      <c r="K176" s="1">
        <v>152.58000000000001</v>
      </c>
      <c r="L176" s="1">
        <v>97.44</v>
      </c>
      <c r="M176" s="1">
        <f>Europe_Sales_Records[[#This Row],[Unit Price]]-Europe_Sales_Records[[#This Row],[Unit Cost]]</f>
        <v>55.140000000000015</v>
      </c>
      <c r="N176" s="1">
        <v>961559.16</v>
      </c>
      <c r="O176" s="6">
        <v>614066.88</v>
      </c>
      <c r="P176" s="1">
        <v>347492.28</v>
      </c>
    </row>
    <row r="177" spans="1:16" x14ac:dyDescent="0.3">
      <c r="A177" s="1" t="s">
        <v>14</v>
      </c>
      <c r="B177" s="1" t="s">
        <v>67</v>
      </c>
      <c r="C177" s="1" t="s">
        <v>42</v>
      </c>
      <c r="D177" s="1" t="s">
        <v>22</v>
      </c>
      <c r="E177" s="1" t="s">
        <v>30</v>
      </c>
      <c r="F177" s="7">
        <v>41316</v>
      </c>
      <c r="G177" s="1" t="s">
        <v>256</v>
      </c>
      <c r="H177" s="7">
        <v>41361</v>
      </c>
      <c r="I177" s="1">
        <f>Europe_Sales_Records[[#This Row],[Ship Date]]-Europe_Sales_Records[[#This Row],[Order Date]]</f>
        <v>45</v>
      </c>
      <c r="J177" s="1">
        <v>7932</v>
      </c>
      <c r="K177" s="1">
        <v>421.89</v>
      </c>
      <c r="L177" s="1">
        <v>364.69</v>
      </c>
      <c r="M177" s="1">
        <f>Europe_Sales_Records[[#This Row],[Unit Price]]-Europe_Sales_Records[[#This Row],[Unit Cost]]</f>
        <v>57.199999999999989</v>
      </c>
      <c r="N177" s="1">
        <v>3346431.48</v>
      </c>
      <c r="O177" s="6">
        <v>2892721.08</v>
      </c>
      <c r="P177" s="1">
        <v>453710.4</v>
      </c>
    </row>
    <row r="178" spans="1:16" x14ac:dyDescent="0.3">
      <c r="A178" s="1" t="s">
        <v>14</v>
      </c>
      <c r="B178" s="1" t="s">
        <v>103</v>
      </c>
      <c r="C178" s="1" t="s">
        <v>57</v>
      </c>
      <c r="D178" s="1" t="s">
        <v>22</v>
      </c>
      <c r="E178" s="1" t="s">
        <v>18</v>
      </c>
      <c r="F178" s="7">
        <v>42930</v>
      </c>
      <c r="G178" s="1" t="s">
        <v>257</v>
      </c>
      <c r="H178" s="7">
        <v>42932</v>
      </c>
      <c r="I178" s="1">
        <f>Europe_Sales_Records[[#This Row],[Ship Date]]-Europe_Sales_Records[[#This Row],[Order Date]]</f>
        <v>2</v>
      </c>
      <c r="J178" s="1">
        <v>1749</v>
      </c>
      <c r="K178" s="1">
        <v>668.27</v>
      </c>
      <c r="L178" s="1">
        <v>502.54</v>
      </c>
      <c r="M178" s="1">
        <f>Europe_Sales_Records[[#This Row],[Unit Price]]-Europe_Sales_Records[[#This Row],[Unit Cost]]</f>
        <v>165.72999999999996</v>
      </c>
      <c r="N178" s="1">
        <v>1168804.23</v>
      </c>
      <c r="O178" s="6">
        <v>878942.46</v>
      </c>
      <c r="P178" s="1">
        <v>289861.77</v>
      </c>
    </row>
    <row r="179" spans="1:16" x14ac:dyDescent="0.3">
      <c r="A179" s="1" t="s">
        <v>14</v>
      </c>
      <c r="B179" s="1" t="s">
        <v>54</v>
      </c>
      <c r="C179" s="1" t="s">
        <v>21</v>
      </c>
      <c r="D179" s="1" t="s">
        <v>22</v>
      </c>
      <c r="E179" s="1" t="s">
        <v>45</v>
      </c>
      <c r="F179" s="7">
        <v>42385</v>
      </c>
      <c r="G179" s="1" t="s">
        <v>258</v>
      </c>
      <c r="H179" s="7">
        <v>42423</v>
      </c>
      <c r="I179" s="1">
        <f>Europe_Sales_Records[[#This Row],[Ship Date]]-Europe_Sales_Records[[#This Row],[Order Date]]</f>
        <v>38</v>
      </c>
      <c r="J179" s="1">
        <v>6368</v>
      </c>
      <c r="K179" s="1">
        <v>109.28</v>
      </c>
      <c r="L179" s="1">
        <v>35.840000000000003</v>
      </c>
      <c r="M179" s="1">
        <f>Europe_Sales_Records[[#This Row],[Unit Price]]-Europe_Sales_Records[[#This Row],[Unit Cost]]</f>
        <v>73.44</v>
      </c>
      <c r="N179" s="1">
        <v>695895.04000000004</v>
      </c>
      <c r="O179" s="6">
        <v>228229.12</v>
      </c>
      <c r="P179" s="1">
        <v>467665.91999999998</v>
      </c>
    </row>
    <row r="180" spans="1:16" x14ac:dyDescent="0.3">
      <c r="A180" s="1" t="s">
        <v>14</v>
      </c>
      <c r="B180" s="1" t="s">
        <v>152</v>
      </c>
      <c r="C180" s="1" t="s">
        <v>48</v>
      </c>
      <c r="D180" s="1" t="s">
        <v>17</v>
      </c>
      <c r="E180" s="1" t="s">
        <v>30</v>
      </c>
      <c r="F180" s="7">
        <v>41212</v>
      </c>
      <c r="G180" s="1" t="s">
        <v>259</v>
      </c>
      <c r="H180" s="7">
        <v>41231</v>
      </c>
      <c r="I180" s="1">
        <f>Europe_Sales_Records[[#This Row],[Ship Date]]-Europe_Sales_Records[[#This Row],[Order Date]]</f>
        <v>19</v>
      </c>
      <c r="J180" s="1">
        <v>8441</v>
      </c>
      <c r="K180" s="1">
        <v>152.58000000000001</v>
      </c>
      <c r="L180" s="1">
        <v>97.44</v>
      </c>
      <c r="M180" s="1">
        <f>Europe_Sales_Records[[#This Row],[Unit Price]]-Europe_Sales_Records[[#This Row],[Unit Cost]]</f>
        <v>55.140000000000015</v>
      </c>
      <c r="N180" s="1">
        <v>1287927.78</v>
      </c>
      <c r="O180" s="6">
        <v>822491.04</v>
      </c>
      <c r="P180" s="1">
        <v>465436.74</v>
      </c>
    </row>
    <row r="181" spans="1:16" x14ac:dyDescent="0.3">
      <c r="A181" s="1" t="s">
        <v>14</v>
      </c>
      <c r="B181" s="1" t="s">
        <v>73</v>
      </c>
      <c r="C181" s="1" t="s">
        <v>48</v>
      </c>
      <c r="D181" s="1" t="s">
        <v>22</v>
      </c>
      <c r="E181" s="1" t="s">
        <v>30</v>
      </c>
      <c r="F181" s="7">
        <v>41468</v>
      </c>
      <c r="G181" s="1" t="s">
        <v>260</v>
      </c>
      <c r="H181" s="7">
        <v>41489</v>
      </c>
      <c r="I181" s="1">
        <f>Europe_Sales_Records[[#This Row],[Ship Date]]-Europe_Sales_Records[[#This Row],[Order Date]]</f>
        <v>21</v>
      </c>
      <c r="J181" s="1">
        <v>3529</v>
      </c>
      <c r="K181" s="1">
        <v>152.58000000000001</v>
      </c>
      <c r="L181" s="1">
        <v>97.44</v>
      </c>
      <c r="M181" s="1">
        <f>Europe_Sales_Records[[#This Row],[Unit Price]]-Europe_Sales_Records[[#This Row],[Unit Cost]]</f>
        <v>55.140000000000015</v>
      </c>
      <c r="N181" s="1">
        <v>538454.81999999995</v>
      </c>
      <c r="O181" s="6">
        <v>343865.76</v>
      </c>
      <c r="P181" s="1">
        <v>194589.06</v>
      </c>
    </row>
    <row r="182" spans="1:16" x14ac:dyDescent="0.3">
      <c r="A182" s="1" t="s">
        <v>14</v>
      </c>
      <c r="B182" s="1" t="s">
        <v>150</v>
      </c>
      <c r="C182" s="1" t="s">
        <v>42</v>
      </c>
      <c r="D182" s="1" t="s">
        <v>17</v>
      </c>
      <c r="E182" s="1" t="s">
        <v>45</v>
      </c>
      <c r="F182" s="7">
        <v>42598</v>
      </c>
      <c r="G182" s="1" t="s">
        <v>261</v>
      </c>
      <c r="H182" s="7">
        <v>42622</v>
      </c>
      <c r="I182" s="1">
        <f>Europe_Sales_Records[[#This Row],[Ship Date]]-Europe_Sales_Records[[#This Row],[Order Date]]</f>
        <v>24</v>
      </c>
      <c r="J182" s="1">
        <v>3682</v>
      </c>
      <c r="K182" s="1">
        <v>421.89</v>
      </c>
      <c r="L182" s="1">
        <v>364.69</v>
      </c>
      <c r="M182" s="1">
        <f>Europe_Sales_Records[[#This Row],[Unit Price]]-Europe_Sales_Records[[#This Row],[Unit Cost]]</f>
        <v>57.199999999999989</v>
      </c>
      <c r="N182" s="1">
        <v>1553398.98</v>
      </c>
      <c r="O182" s="6">
        <v>1342788.58</v>
      </c>
      <c r="P182" s="1">
        <v>210610.4</v>
      </c>
    </row>
    <row r="183" spans="1:16" x14ac:dyDescent="0.3">
      <c r="A183" s="1" t="s">
        <v>14</v>
      </c>
      <c r="B183" s="1" t="s">
        <v>71</v>
      </c>
      <c r="C183" s="1" t="s">
        <v>33</v>
      </c>
      <c r="D183" s="1" t="s">
        <v>22</v>
      </c>
      <c r="E183" s="1" t="s">
        <v>30</v>
      </c>
      <c r="F183" s="7">
        <v>41678</v>
      </c>
      <c r="G183" s="1" t="s">
        <v>262</v>
      </c>
      <c r="H183" s="7">
        <v>41689</v>
      </c>
      <c r="I183" s="1">
        <f>Europe_Sales_Records[[#This Row],[Ship Date]]-Europe_Sales_Records[[#This Row],[Order Date]]</f>
        <v>11</v>
      </c>
      <c r="J183" s="1">
        <v>888</v>
      </c>
      <c r="K183" s="1">
        <v>9.33</v>
      </c>
      <c r="L183" s="1">
        <v>6.92</v>
      </c>
      <c r="M183" s="1">
        <f>Europe_Sales_Records[[#This Row],[Unit Price]]-Europe_Sales_Records[[#This Row],[Unit Cost]]</f>
        <v>2.41</v>
      </c>
      <c r="N183" s="1">
        <v>8285.0400000000009</v>
      </c>
      <c r="O183" s="6">
        <v>6144.96</v>
      </c>
      <c r="P183" s="1">
        <v>2140.08</v>
      </c>
    </row>
    <row r="184" spans="1:16" x14ac:dyDescent="0.3">
      <c r="A184" s="1" t="s">
        <v>14</v>
      </c>
      <c r="B184" s="1" t="s">
        <v>47</v>
      </c>
      <c r="C184" s="1" t="s">
        <v>60</v>
      </c>
      <c r="D184" s="1" t="s">
        <v>17</v>
      </c>
      <c r="E184" s="1" t="s">
        <v>18</v>
      </c>
      <c r="F184" s="7">
        <v>41817</v>
      </c>
      <c r="G184" s="1" t="s">
        <v>263</v>
      </c>
      <c r="H184" s="7">
        <v>41848</v>
      </c>
      <c r="I184" s="1">
        <f>Europe_Sales_Records[[#This Row],[Ship Date]]-Europe_Sales_Records[[#This Row],[Order Date]]</f>
        <v>31</v>
      </c>
      <c r="J184" s="1">
        <v>17</v>
      </c>
      <c r="K184" s="1">
        <v>437.2</v>
      </c>
      <c r="L184" s="1">
        <v>263.33</v>
      </c>
      <c r="M184" s="1">
        <f>Europe_Sales_Records[[#This Row],[Unit Price]]-Europe_Sales_Records[[#This Row],[Unit Cost]]</f>
        <v>173.87</v>
      </c>
      <c r="N184" s="1">
        <v>7432.4</v>
      </c>
      <c r="O184" s="6">
        <v>4476.6099999999997</v>
      </c>
      <c r="P184" s="1">
        <v>2955.79</v>
      </c>
    </row>
    <row r="185" spans="1:16" x14ac:dyDescent="0.3">
      <c r="A185" s="1" t="s">
        <v>14</v>
      </c>
      <c r="B185" s="1" t="s">
        <v>38</v>
      </c>
      <c r="C185" s="1" t="s">
        <v>33</v>
      </c>
      <c r="D185" s="1" t="s">
        <v>17</v>
      </c>
      <c r="E185" s="1" t="s">
        <v>30</v>
      </c>
      <c r="F185" s="7">
        <v>40883</v>
      </c>
      <c r="G185" s="1" t="s">
        <v>264</v>
      </c>
      <c r="H185" s="7">
        <v>40915</v>
      </c>
      <c r="I185" s="1">
        <f>Europe_Sales_Records[[#This Row],[Ship Date]]-Europe_Sales_Records[[#This Row],[Order Date]]</f>
        <v>32</v>
      </c>
      <c r="J185" s="1">
        <v>614</v>
      </c>
      <c r="K185" s="1">
        <v>9.33</v>
      </c>
      <c r="L185" s="1">
        <v>6.92</v>
      </c>
      <c r="M185" s="1">
        <f>Europe_Sales_Records[[#This Row],[Unit Price]]-Europe_Sales_Records[[#This Row],[Unit Cost]]</f>
        <v>2.41</v>
      </c>
      <c r="N185" s="1">
        <v>5728.62</v>
      </c>
      <c r="O185" s="6">
        <v>4248.88</v>
      </c>
      <c r="P185" s="1">
        <v>1479.74</v>
      </c>
    </row>
    <row r="186" spans="1:16" x14ac:dyDescent="0.3">
      <c r="A186" s="1" t="s">
        <v>14</v>
      </c>
      <c r="B186" s="1" t="s">
        <v>77</v>
      </c>
      <c r="C186" s="1" t="s">
        <v>60</v>
      </c>
      <c r="D186" s="1" t="s">
        <v>22</v>
      </c>
      <c r="E186" s="1" t="s">
        <v>23</v>
      </c>
      <c r="F186" s="7">
        <v>42016</v>
      </c>
      <c r="G186" s="1" t="s">
        <v>265</v>
      </c>
      <c r="H186" s="7">
        <v>42056</v>
      </c>
      <c r="I186" s="1">
        <f>Europe_Sales_Records[[#This Row],[Ship Date]]-Europe_Sales_Records[[#This Row],[Order Date]]</f>
        <v>40</v>
      </c>
      <c r="J186" s="1">
        <v>8857</v>
      </c>
      <c r="K186" s="1">
        <v>437.2</v>
      </c>
      <c r="L186" s="1">
        <v>263.33</v>
      </c>
      <c r="M186" s="1">
        <f>Europe_Sales_Records[[#This Row],[Unit Price]]-Europe_Sales_Records[[#This Row],[Unit Cost]]</f>
        <v>173.87</v>
      </c>
      <c r="N186" s="1">
        <v>3872280.4</v>
      </c>
      <c r="O186" s="6">
        <v>2332313.81</v>
      </c>
      <c r="P186" s="1">
        <v>1539966.59</v>
      </c>
    </row>
    <row r="187" spans="1:16" x14ac:dyDescent="0.3">
      <c r="A187" s="1" t="s">
        <v>14</v>
      </c>
      <c r="B187" s="1" t="s">
        <v>164</v>
      </c>
      <c r="C187" s="1" t="s">
        <v>48</v>
      </c>
      <c r="D187" s="1" t="s">
        <v>22</v>
      </c>
      <c r="E187" s="1" t="s">
        <v>30</v>
      </c>
      <c r="F187" s="7">
        <v>42211</v>
      </c>
      <c r="G187" s="1" t="s">
        <v>266</v>
      </c>
      <c r="H187" s="7">
        <v>42220</v>
      </c>
      <c r="I187" s="1">
        <f>Europe_Sales_Records[[#This Row],[Ship Date]]-Europe_Sales_Records[[#This Row],[Order Date]]</f>
        <v>9</v>
      </c>
      <c r="J187" s="1">
        <v>3382</v>
      </c>
      <c r="K187" s="1">
        <v>152.58000000000001</v>
      </c>
      <c r="L187" s="1">
        <v>97.44</v>
      </c>
      <c r="M187" s="1">
        <f>Europe_Sales_Records[[#This Row],[Unit Price]]-Europe_Sales_Records[[#This Row],[Unit Cost]]</f>
        <v>55.140000000000015</v>
      </c>
      <c r="N187" s="1">
        <v>516025.56</v>
      </c>
      <c r="O187" s="6">
        <v>329542.08</v>
      </c>
      <c r="P187" s="1">
        <v>186483.48</v>
      </c>
    </row>
    <row r="188" spans="1:16" x14ac:dyDescent="0.3">
      <c r="A188" s="1" t="s">
        <v>14</v>
      </c>
      <c r="B188" s="1" t="s">
        <v>150</v>
      </c>
      <c r="C188" s="1" t="s">
        <v>79</v>
      </c>
      <c r="D188" s="1" t="s">
        <v>17</v>
      </c>
      <c r="E188" s="1" t="s">
        <v>30</v>
      </c>
      <c r="F188" s="7">
        <v>41985</v>
      </c>
      <c r="G188" s="1" t="s">
        <v>267</v>
      </c>
      <c r="H188" s="7">
        <v>41992</v>
      </c>
      <c r="I188" s="1">
        <f>Europe_Sales_Records[[#This Row],[Ship Date]]-Europe_Sales_Records[[#This Row],[Order Date]]</f>
        <v>7</v>
      </c>
      <c r="J188" s="1">
        <v>4390</v>
      </c>
      <c r="K188" s="1">
        <v>81.73</v>
      </c>
      <c r="L188" s="1">
        <v>56.67</v>
      </c>
      <c r="M188" s="1">
        <f>Europe_Sales_Records[[#This Row],[Unit Price]]-Europe_Sales_Records[[#This Row],[Unit Cost]]</f>
        <v>25.060000000000002</v>
      </c>
      <c r="N188" s="1">
        <v>358794.7</v>
      </c>
      <c r="O188" s="6">
        <v>248781.3</v>
      </c>
      <c r="P188" s="1">
        <v>110013.4</v>
      </c>
    </row>
    <row r="189" spans="1:16" x14ac:dyDescent="0.3">
      <c r="A189" s="1" t="s">
        <v>14</v>
      </c>
      <c r="B189" s="1" t="s">
        <v>65</v>
      </c>
      <c r="C189" s="1" t="s">
        <v>39</v>
      </c>
      <c r="D189" s="1" t="s">
        <v>17</v>
      </c>
      <c r="E189" s="1" t="s">
        <v>30</v>
      </c>
      <c r="F189" s="7">
        <v>42079</v>
      </c>
      <c r="G189" s="1" t="s">
        <v>268</v>
      </c>
      <c r="H189" s="7">
        <v>42089</v>
      </c>
      <c r="I189" s="1">
        <f>Europe_Sales_Records[[#This Row],[Ship Date]]-Europe_Sales_Records[[#This Row],[Order Date]]</f>
        <v>10</v>
      </c>
      <c r="J189" s="1">
        <v>5731</v>
      </c>
      <c r="K189" s="1">
        <v>154.06</v>
      </c>
      <c r="L189" s="1">
        <v>90.93</v>
      </c>
      <c r="M189" s="1">
        <f>Europe_Sales_Records[[#This Row],[Unit Price]]-Europe_Sales_Records[[#This Row],[Unit Cost]]</f>
        <v>63.129999999999995</v>
      </c>
      <c r="N189" s="1">
        <v>882917.86</v>
      </c>
      <c r="O189" s="6">
        <v>521119.83</v>
      </c>
      <c r="P189" s="1">
        <v>361798.03</v>
      </c>
    </row>
    <row r="190" spans="1:16" x14ac:dyDescent="0.3">
      <c r="A190" s="1" t="s">
        <v>14</v>
      </c>
      <c r="B190" s="1" t="s">
        <v>15</v>
      </c>
      <c r="C190" s="1" t="s">
        <v>52</v>
      </c>
      <c r="D190" s="1" t="s">
        <v>22</v>
      </c>
      <c r="E190" s="1" t="s">
        <v>18</v>
      </c>
      <c r="F190" s="7">
        <v>42439</v>
      </c>
      <c r="G190" s="1" t="s">
        <v>269</v>
      </c>
      <c r="H190" s="7">
        <v>42468</v>
      </c>
      <c r="I190" s="1">
        <f>Europe_Sales_Records[[#This Row],[Ship Date]]-Europe_Sales_Records[[#This Row],[Order Date]]</f>
        <v>29</v>
      </c>
      <c r="J190" s="1">
        <v>6956</v>
      </c>
      <c r="K190" s="1">
        <v>255.28</v>
      </c>
      <c r="L190" s="1">
        <v>159.41999999999999</v>
      </c>
      <c r="M190" s="1">
        <f>Europe_Sales_Records[[#This Row],[Unit Price]]-Europe_Sales_Records[[#This Row],[Unit Cost]]</f>
        <v>95.860000000000014</v>
      </c>
      <c r="N190" s="1">
        <v>1775727.68</v>
      </c>
      <c r="O190" s="6">
        <v>1108925.52</v>
      </c>
      <c r="P190" s="1">
        <v>666802.16</v>
      </c>
    </row>
    <row r="191" spans="1:16" x14ac:dyDescent="0.3">
      <c r="A191" s="1" t="s">
        <v>14</v>
      </c>
      <c r="B191" s="1" t="s">
        <v>75</v>
      </c>
      <c r="C191" s="1" t="s">
        <v>21</v>
      </c>
      <c r="D191" s="1" t="s">
        <v>22</v>
      </c>
      <c r="E191" s="1" t="s">
        <v>30</v>
      </c>
      <c r="F191" s="7">
        <v>41055</v>
      </c>
      <c r="G191" s="1" t="s">
        <v>270</v>
      </c>
      <c r="H191" s="7">
        <v>41057</v>
      </c>
      <c r="I191" s="1">
        <f>Europe_Sales_Records[[#This Row],[Ship Date]]-Europe_Sales_Records[[#This Row],[Order Date]]</f>
        <v>2</v>
      </c>
      <c r="J191" s="1">
        <v>3231</v>
      </c>
      <c r="K191" s="1">
        <v>109.28</v>
      </c>
      <c r="L191" s="1">
        <v>35.840000000000003</v>
      </c>
      <c r="M191" s="1">
        <f>Europe_Sales_Records[[#This Row],[Unit Price]]-Europe_Sales_Records[[#This Row],[Unit Cost]]</f>
        <v>73.44</v>
      </c>
      <c r="N191" s="1">
        <v>353083.68</v>
      </c>
      <c r="O191" s="6">
        <v>115799.03999999999</v>
      </c>
      <c r="P191" s="1">
        <v>237284.64</v>
      </c>
    </row>
    <row r="192" spans="1:16" x14ac:dyDescent="0.3">
      <c r="A192" s="1" t="s">
        <v>14</v>
      </c>
      <c r="B192" s="1" t="s">
        <v>28</v>
      </c>
      <c r="C192" s="1" t="s">
        <v>42</v>
      </c>
      <c r="D192" s="1" t="s">
        <v>22</v>
      </c>
      <c r="E192" s="1" t="s">
        <v>18</v>
      </c>
      <c r="F192" s="7">
        <v>42578</v>
      </c>
      <c r="G192" s="1" t="s">
        <v>271</v>
      </c>
      <c r="H192" s="7">
        <v>42624</v>
      </c>
      <c r="I192" s="1">
        <f>Europe_Sales_Records[[#This Row],[Ship Date]]-Europe_Sales_Records[[#This Row],[Order Date]]</f>
        <v>46</v>
      </c>
      <c r="J192" s="1">
        <v>8662</v>
      </c>
      <c r="K192" s="1">
        <v>421.89</v>
      </c>
      <c r="L192" s="1">
        <v>364.69</v>
      </c>
      <c r="M192" s="1">
        <f>Europe_Sales_Records[[#This Row],[Unit Price]]-Europe_Sales_Records[[#This Row],[Unit Cost]]</f>
        <v>57.199999999999989</v>
      </c>
      <c r="N192" s="1">
        <v>3654411.18</v>
      </c>
      <c r="O192" s="6">
        <v>3158944.78</v>
      </c>
      <c r="P192" s="1">
        <v>495466.4</v>
      </c>
    </row>
    <row r="193" spans="1:16" x14ac:dyDescent="0.3">
      <c r="A193" s="1" t="s">
        <v>14</v>
      </c>
      <c r="B193" s="1" t="s">
        <v>99</v>
      </c>
      <c r="C193" s="1" t="s">
        <v>60</v>
      </c>
      <c r="D193" s="1" t="s">
        <v>22</v>
      </c>
      <c r="E193" s="1" t="s">
        <v>45</v>
      </c>
      <c r="F193" s="7">
        <v>40457</v>
      </c>
      <c r="G193" s="1" t="s">
        <v>272</v>
      </c>
      <c r="H193" s="7">
        <v>40504</v>
      </c>
      <c r="I193" s="1">
        <f>Europe_Sales_Records[[#This Row],[Ship Date]]-Europe_Sales_Records[[#This Row],[Order Date]]</f>
        <v>47</v>
      </c>
      <c r="J193" s="1">
        <v>9495</v>
      </c>
      <c r="K193" s="1">
        <v>437.2</v>
      </c>
      <c r="L193" s="1">
        <v>263.33</v>
      </c>
      <c r="M193" s="1">
        <f>Europe_Sales_Records[[#This Row],[Unit Price]]-Europe_Sales_Records[[#This Row],[Unit Cost]]</f>
        <v>173.87</v>
      </c>
      <c r="N193" s="1">
        <v>4151214</v>
      </c>
      <c r="O193" s="6">
        <v>2500318.35</v>
      </c>
      <c r="P193" s="1">
        <v>1650895.65</v>
      </c>
    </row>
    <row r="194" spans="1:16" x14ac:dyDescent="0.3">
      <c r="A194" s="1" t="s">
        <v>14</v>
      </c>
      <c r="B194" s="1" t="s">
        <v>164</v>
      </c>
      <c r="C194" s="1" t="s">
        <v>42</v>
      </c>
      <c r="D194" s="1" t="s">
        <v>17</v>
      </c>
      <c r="E194" s="1" t="s">
        <v>45</v>
      </c>
      <c r="F194" s="7">
        <v>41494</v>
      </c>
      <c r="G194" s="1" t="s">
        <v>273</v>
      </c>
      <c r="H194" s="7">
        <v>41515</v>
      </c>
      <c r="I194" s="1">
        <f>Europe_Sales_Records[[#This Row],[Ship Date]]-Europe_Sales_Records[[#This Row],[Order Date]]</f>
        <v>21</v>
      </c>
      <c r="J194" s="1">
        <v>166</v>
      </c>
      <c r="K194" s="1">
        <v>421.89</v>
      </c>
      <c r="L194" s="1">
        <v>364.69</v>
      </c>
      <c r="M194" s="1">
        <f>Europe_Sales_Records[[#This Row],[Unit Price]]-Europe_Sales_Records[[#This Row],[Unit Cost]]</f>
        <v>57.199999999999989</v>
      </c>
      <c r="N194" s="1">
        <v>70033.740000000005</v>
      </c>
      <c r="O194" s="6">
        <v>60538.54</v>
      </c>
      <c r="P194" s="1">
        <v>9495.2000000000007</v>
      </c>
    </row>
    <row r="195" spans="1:16" x14ac:dyDescent="0.3">
      <c r="A195" s="1" t="s">
        <v>14</v>
      </c>
      <c r="B195" s="1" t="s">
        <v>28</v>
      </c>
      <c r="C195" s="1" t="s">
        <v>16</v>
      </c>
      <c r="D195" s="1" t="s">
        <v>17</v>
      </c>
      <c r="E195" s="1" t="s">
        <v>18</v>
      </c>
      <c r="F195" s="7">
        <v>41566</v>
      </c>
      <c r="G195" s="1" t="s">
        <v>274</v>
      </c>
      <c r="H195" s="7">
        <v>41614</v>
      </c>
      <c r="I195" s="1">
        <f>Europe_Sales_Records[[#This Row],[Ship Date]]-Europe_Sales_Records[[#This Row],[Order Date]]</f>
        <v>48</v>
      </c>
      <c r="J195" s="1">
        <v>5185</v>
      </c>
      <c r="K195" s="1">
        <v>47.45</v>
      </c>
      <c r="L195" s="1">
        <v>31.79</v>
      </c>
      <c r="M195" s="1">
        <f>Europe_Sales_Records[[#This Row],[Unit Price]]-Europe_Sales_Records[[#This Row],[Unit Cost]]</f>
        <v>15.660000000000004</v>
      </c>
      <c r="N195" s="1">
        <v>246028.25</v>
      </c>
      <c r="O195" s="6">
        <v>164831.15</v>
      </c>
      <c r="P195" s="1">
        <v>81197.100000000006</v>
      </c>
    </row>
    <row r="196" spans="1:16" x14ac:dyDescent="0.3">
      <c r="A196" s="1" t="s">
        <v>14</v>
      </c>
      <c r="B196" s="1" t="s">
        <v>97</v>
      </c>
      <c r="C196" s="1" t="s">
        <v>79</v>
      </c>
      <c r="D196" s="1" t="s">
        <v>22</v>
      </c>
      <c r="E196" s="1" t="s">
        <v>30</v>
      </c>
      <c r="F196" s="7">
        <v>42417</v>
      </c>
      <c r="G196" s="1" t="s">
        <v>275</v>
      </c>
      <c r="H196" s="7">
        <v>42451</v>
      </c>
      <c r="I196" s="1">
        <f>Europe_Sales_Records[[#This Row],[Ship Date]]-Europe_Sales_Records[[#This Row],[Order Date]]</f>
        <v>34</v>
      </c>
      <c r="J196" s="1">
        <v>920</v>
      </c>
      <c r="K196" s="1">
        <v>81.73</v>
      </c>
      <c r="L196" s="1">
        <v>56.67</v>
      </c>
      <c r="M196" s="1">
        <f>Europe_Sales_Records[[#This Row],[Unit Price]]-Europe_Sales_Records[[#This Row],[Unit Cost]]</f>
        <v>25.060000000000002</v>
      </c>
      <c r="N196" s="1">
        <v>75191.600000000006</v>
      </c>
      <c r="O196" s="6">
        <v>52136.4</v>
      </c>
      <c r="P196" s="1">
        <v>23055.200000000001</v>
      </c>
    </row>
    <row r="197" spans="1:16" x14ac:dyDescent="0.3">
      <c r="A197" s="1" t="s">
        <v>14</v>
      </c>
      <c r="B197" s="1" t="s">
        <v>118</v>
      </c>
      <c r="C197" s="1" t="s">
        <v>60</v>
      </c>
      <c r="D197" s="1" t="s">
        <v>17</v>
      </c>
      <c r="E197" s="1" t="s">
        <v>18</v>
      </c>
      <c r="F197" s="7">
        <v>42738</v>
      </c>
      <c r="G197" s="1" t="s">
        <v>276</v>
      </c>
      <c r="H197" s="7">
        <v>42743</v>
      </c>
      <c r="I197" s="1">
        <f>Europe_Sales_Records[[#This Row],[Ship Date]]-Europe_Sales_Records[[#This Row],[Order Date]]</f>
        <v>5</v>
      </c>
      <c r="J197" s="1">
        <v>2394</v>
      </c>
      <c r="K197" s="1">
        <v>437.2</v>
      </c>
      <c r="L197" s="1">
        <v>263.33</v>
      </c>
      <c r="M197" s="1">
        <f>Europe_Sales_Records[[#This Row],[Unit Price]]-Europe_Sales_Records[[#This Row],[Unit Cost]]</f>
        <v>173.87</v>
      </c>
      <c r="N197" s="1">
        <v>1046656.8</v>
      </c>
      <c r="O197" s="6">
        <v>630412.02</v>
      </c>
      <c r="P197" s="1">
        <v>416244.78</v>
      </c>
    </row>
    <row r="198" spans="1:16" x14ac:dyDescent="0.3">
      <c r="A198" s="1" t="s">
        <v>14</v>
      </c>
      <c r="B198" s="1" t="s">
        <v>137</v>
      </c>
      <c r="C198" s="1" t="s">
        <v>39</v>
      </c>
      <c r="D198" s="1" t="s">
        <v>17</v>
      </c>
      <c r="E198" s="1" t="s">
        <v>18</v>
      </c>
      <c r="F198" s="7">
        <v>42223</v>
      </c>
      <c r="G198" s="1" t="s">
        <v>277</v>
      </c>
      <c r="H198" s="7">
        <v>42250</v>
      </c>
      <c r="I198" s="1">
        <f>Europe_Sales_Records[[#This Row],[Ship Date]]-Europe_Sales_Records[[#This Row],[Order Date]]</f>
        <v>27</v>
      </c>
      <c r="J198" s="1">
        <v>833</v>
      </c>
      <c r="K198" s="1">
        <v>154.06</v>
      </c>
      <c r="L198" s="1">
        <v>90.93</v>
      </c>
      <c r="M198" s="1">
        <f>Europe_Sales_Records[[#This Row],[Unit Price]]-Europe_Sales_Records[[#This Row],[Unit Cost]]</f>
        <v>63.129999999999995</v>
      </c>
      <c r="N198" s="1">
        <v>128331.98</v>
      </c>
      <c r="O198" s="6">
        <v>75744.69</v>
      </c>
      <c r="P198" s="1">
        <v>52587.29</v>
      </c>
    </row>
    <row r="199" spans="1:16" x14ac:dyDescent="0.3">
      <c r="A199" s="1" t="s">
        <v>14</v>
      </c>
      <c r="B199" s="1" t="s">
        <v>219</v>
      </c>
      <c r="C199" s="1" t="s">
        <v>42</v>
      </c>
      <c r="D199" s="1" t="s">
        <v>17</v>
      </c>
      <c r="E199" s="1" t="s">
        <v>30</v>
      </c>
      <c r="F199" s="7">
        <v>41265</v>
      </c>
      <c r="G199" s="1" t="s">
        <v>278</v>
      </c>
      <c r="H199" s="7">
        <v>41291</v>
      </c>
      <c r="I199" s="1">
        <f>Europe_Sales_Records[[#This Row],[Ship Date]]-Europe_Sales_Records[[#This Row],[Order Date]]</f>
        <v>26</v>
      </c>
      <c r="J199" s="1">
        <v>17</v>
      </c>
      <c r="K199" s="1">
        <v>421.89</v>
      </c>
      <c r="L199" s="1">
        <v>364.69</v>
      </c>
      <c r="M199" s="1">
        <f>Europe_Sales_Records[[#This Row],[Unit Price]]-Europe_Sales_Records[[#This Row],[Unit Cost]]</f>
        <v>57.199999999999989</v>
      </c>
      <c r="N199" s="1">
        <v>7172.13</v>
      </c>
      <c r="O199" s="6">
        <v>6199.73</v>
      </c>
      <c r="P199" s="1">
        <v>972.4</v>
      </c>
    </row>
    <row r="200" spans="1:16" x14ac:dyDescent="0.3">
      <c r="A200" s="1" t="s">
        <v>14</v>
      </c>
      <c r="B200" s="1" t="s">
        <v>63</v>
      </c>
      <c r="C200" s="1" t="s">
        <v>16</v>
      </c>
      <c r="D200" s="1" t="s">
        <v>22</v>
      </c>
      <c r="E200" s="1" t="s">
        <v>18</v>
      </c>
      <c r="F200" s="7">
        <v>41605</v>
      </c>
      <c r="G200" s="1" t="s">
        <v>279</v>
      </c>
      <c r="H200" s="7">
        <v>41619</v>
      </c>
      <c r="I200" s="1">
        <f>Europe_Sales_Records[[#This Row],[Ship Date]]-Europe_Sales_Records[[#This Row],[Order Date]]</f>
        <v>14</v>
      </c>
      <c r="J200" s="1">
        <v>4723</v>
      </c>
      <c r="K200" s="1">
        <v>47.45</v>
      </c>
      <c r="L200" s="1">
        <v>31.79</v>
      </c>
      <c r="M200" s="1">
        <f>Europe_Sales_Records[[#This Row],[Unit Price]]-Europe_Sales_Records[[#This Row],[Unit Cost]]</f>
        <v>15.660000000000004</v>
      </c>
      <c r="N200" s="1">
        <v>224106.35</v>
      </c>
      <c r="O200" s="6">
        <v>150144.17000000001</v>
      </c>
      <c r="P200" s="1">
        <v>73962.179999999993</v>
      </c>
    </row>
    <row r="201" spans="1:16" x14ac:dyDescent="0.3">
      <c r="A201" s="1" t="s">
        <v>14</v>
      </c>
      <c r="B201" s="1" t="s">
        <v>120</v>
      </c>
      <c r="C201" s="1" t="s">
        <v>57</v>
      </c>
      <c r="D201" s="1" t="s">
        <v>17</v>
      </c>
      <c r="E201" s="1" t="s">
        <v>45</v>
      </c>
      <c r="F201" s="7">
        <v>40352</v>
      </c>
      <c r="G201" s="1" t="s">
        <v>280</v>
      </c>
      <c r="H201" s="7">
        <v>40397</v>
      </c>
      <c r="I201" s="1">
        <f>Europe_Sales_Records[[#This Row],[Ship Date]]-Europe_Sales_Records[[#This Row],[Order Date]]</f>
        <v>45</v>
      </c>
      <c r="J201" s="1">
        <v>5926</v>
      </c>
      <c r="K201" s="1">
        <v>668.27</v>
      </c>
      <c r="L201" s="1">
        <v>502.54</v>
      </c>
      <c r="M201" s="1">
        <f>Europe_Sales_Records[[#This Row],[Unit Price]]-Europe_Sales_Records[[#This Row],[Unit Cost]]</f>
        <v>165.72999999999996</v>
      </c>
      <c r="N201" s="1">
        <v>3960168.02</v>
      </c>
      <c r="O201" s="6">
        <v>2978052.04</v>
      </c>
      <c r="P201" s="1">
        <v>982115.98</v>
      </c>
    </row>
    <row r="202" spans="1:16" x14ac:dyDescent="0.3">
      <c r="A202" s="1" t="s">
        <v>14</v>
      </c>
      <c r="B202" s="1" t="s">
        <v>127</v>
      </c>
      <c r="C202" s="1" t="s">
        <v>29</v>
      </c>
      <c r="D202" s="1" t="s">
        <v>22</v>
      </c>
      <c r="E202" s="1" t="s">
        <v>23</v>
      </c>
      <c r="F202" s="7">
        <v>42538</v>
      </c>
      <c r="G202" s="1" t="s">
        <v>281</v>
      </c>
      <c r="H202" s="7">
        <v>42583</v>
      </c>
      <c r="I202" s="1">
        <f>Europe_Sales_Records[[#This Row],[Ship Date]]-Europe_Sales_Records[[#This Row],[Order Date]]</f>
        <v>45</v>
      </c>
      <c r="J202" s="1">
        <v>2900</v>
      </c>
      <c r="K202" s="1">
        <v>651.21</v>
      </c>
      <c r="L202" s="1">
        <v>524.96</v>
      </c>
      <c r="M202" s="1">
        <f>Europe_Sales_Records[[#This Row],[Unit Price]]-Europe_Sales_Records[[#This Row],[Unit Cost]]</f>
        <v>126.25</v>
      </c>
      <c r="N202" s="1">
        <v>1888509</v>
      </c>
      <c r="O202" s="6">
        <v>1522384</v>
      </c>
      <c r="P202" s="1">
        <v>366125</v>
      </c>
    </row>
    <row r="203" spans="1:16" x14ac:dyDescent="0.3">
      <c r="A203" s="1" t="s">
        <v>14</v>
      </c>
      <c r="B203" s="1" t="s">
        <v>91</v>
      </c>
      <c r="C203" s="1" t="s">
        <v>33</v>
      </c>
      <c r="D203" s="1" t="s">
        <v>17</v>
      </c>
      <c r="E203" s="1" t="s">
        <v>30</v>
      </c>
      <c r="F203" s="7">
        <v>42080</v>
      </c>
      <c r="G203" s="1" t="s">
        <v>282</v>
      </c>
      <c r="H203" s="7">
        <v>42101</v>
      </c>
      <c r="I203" s="1">
        <f>Europe_Sales_Records[[#This Row],[Ship Date]]-Europe_Sales_Records[[#This Row],[Order Date]]</f>
        <v>21</v>
      </c>
      <c r="J203" s="1">
        <v>3524</v>
      </c>
      <c r="K203" s="1">
        <v>9.33</v>
      </c>
      <c r="L203" s="1">
        <v>6.92</v>
      </c>
      <c r="M203" s="1">
        <f>Europe_Sales_Records[[#This Row],[Unit Price]]-Europe_Sales_Records[[#This Row],[Unit Cost]]</f>
        <v>2.41</v>
      </c>
      <c r="N203" s="1">
        <v>32878.92</v>
      </c>
      <c r="O203" s="6">
        <v>24386.080000000002</v>
      </c>
      <c r="P203" s="1">
        <v>8492.84</v>
      </c>
    </row>
    <row r="204" spans="1:16" x14ac:dyDescent="0.3">
      <c r="A204" s="1" t="s">
        <v>14</v>
      </c>
      <c r="B204" s="1" t="s">
        <v>81</v>
      </c>
      <c r="C204" s="1" t="s">
        <v>48</v>
      </c>
      <c r="D204" s="1" t="s">
        <v>22</v>
      </c>
      <c r="E204" s="1" t="s">
        <v>45</v>
      </c>
      <c r="F204" s="7">
        <v>41183</v>
      </c>
      <c r="G204" s="1" t="s">
        <v>283</v>
      </c>
      <c r="H204" s="7">
        <v>41212</v>
      </c>
      <c r="I204" s="1">
        <f>Europe_Sales_Records[[#This Row],[Ship Date]]-Europe_Sales_Records[[#This Row],[Order Date]]</f>
        <v>29</v>
      </c>
      <c r="J204" s="1">
        <v>3064</v>
      </c>
      <c r="K204" s="1">
        <v>152.58000000000001</v>
      </c>
      <c r="L204" s="1">
        <v>97.44</v>
      </c>
      <c r="M204" s="1">
        <f>Europe_Sales_Records[[#This Row],[Unit Price]]-Europe_Sales_Records[[#This Row],[Unit Cost]]</f>
        <v>55.140000000000015</v>
      </c>
      <c r="N204" s="1">
        <v>467505.12</v>
      </c>
      <c r="O204" s="6">
        <v>298556.15999999997</v>
      </c>
      <c r="P204" s="1">
        <v>168948.96</v>
      </c>
    </row>
    <row r="205" spans="1:16" x14ac:dyDescent="0.3">
      <c r="A205" s="1" t="s">
        <v>14</v>
      </c>
      <c r="B205" s="1" t="s">
        <v>77</v>
      </c>
      <c r="C205" s="1" t="s">
        <v>42</v>
      </c>
      <c r="D205" s="1" t="s">
        <v>17</v>
      </c>
      <c r="E205" s="1" t="s">
        <v>18</v>
      </c>
      <c r="F205" s="7">
        <v>41816</v>
      </c>
      <c r="G205" s="1" t="s">
        <v>284</v>
      </c>
      <c r="H205" s="7">
        <v>41831</v>
      </c>
      <c r="I205" s="1">
        <f>Europe_Sales_Records[[#This Row],[Ship Date]]-Europe_Sales_Records[[#This Row],[Order Date]]</f>
        <v>15</v>
      </c>
      <c r="J205" s="1">
        <v>3870</v>
      </c>
      <c r="K205" s="1">
        <v>421.89</v>
      </c>
      <c r="L205" s="1">
        <v>364.69</v>
      </c>
      <c r="M205" s="1">
        <f>Europe_Sales_Records[[#This Row],[Unit Price]]-Europe_Sales_Records[[#This Row],[Unit Cost]]</f>
        <v>57.199999999999989</v>
      </c>
      <c r="N205" s="1">
        <v>1632714.3</v>
      </c>
      <c r="O205" s="6">
        <v>1411350.3</v>
      </c>
      <c r="P205" s="1">
        <v>221364</v>
      </c>
    </row>
    <row r="206" spans="1:16" x14ac:dyDescent="0.3">
      <c r="A206" s="1" t="s">
        <v>14</v>
      </c>
      <c r="B206" s="1" t="s">
        <v>50</v>
      </c>
      <c r="C206" s="1" t="s">
        <v>39</v>
      </c>
      <c r="D206" s="1" t="s">
        <v>17</v>
      </c>
      <c r="E206" s="1" t="s">
        <v>23</v>
      </c>
      <c r="F206" s="7">
        <v>42391</v>
      </c>
      <c r="G206" s="1" t="s">
        <v>285</v>
      </c>
      <c r="H206" s="7">
        <v>42422</v>
      </c>
      <c r="I206" s="1">
        <f>Europe_Sales_Records[[#This Row],[Ship Date]]-Europe_Sales_Records[[#This Row],[Order Date]]</f>
        <v>31</v>
      </c>
      <c r="J206" s="1">
        <v>492</v>
      </c>
      <c r="K206" s="1">
        <v>154.06</v>
      </c>
      <c r="L206" s="1">
        <v>90.93</v>
      </c>
      <c r="M206" s="1">
        <f>Europe_Sales_Records[[#This Row],[Unit Price]]-Europe_Sales_Records[[#This Row],[Unit Cost]]</f>
        <v>63.129999999999995</v>
      </c>
      <c r="N206" s="1">
        <v>75797.52</v>
      </c>
      <c r="O206" s="6">
        <v>44737.56</v>
      </c>
      <c r="P206" s="1">
        <v>31059.96</v>
      </c>
    </row>
    <row r="207" spans="1:16" x14ac:dyDescent="0.3">
      <c r="A207" s="1" t="s">
        <v>14</v>
      </c>
      <c r="B207" s="1" t="s">
        <v>116</v>
      </c>
      <c r="C207" s="1" t="s">
        <v>29</v>
      </c>
      <c r="D207" s="1" t="s">
        <v>17</v>
      </c>
      <c r="E207" s="1" t="s">
        <v>18</v>
      </c>
      <c r="F207" s="7">
        <v>40736</v>
      </c>
      <c r="G207" s="1" t="s">
        <v>286</v>
      </c>
      <c r="H207" s="7">
        <v>40759</v>
      </c>
      <c r="I207" s="1">
        <f>Europe_Sales_Records[[#This Row],[Ship Date]]-Europe_Sales_Records[[#This Row],[Order Date]]</f>
        <v>23</v>
      </c>
      <c r="J207" s="1">
        <v>4341</v>
      </c>
      <c r="K207" s="1">
        <v>651.21</v>
      </c>
      <c r="L207" s="1">
        <v>524.96</v>
      </c>
      <c r="M207" s="1">
        <f>Europe_Sales_Records[[#This Row],[Unit Price]]-Europe_Sales_Records[[#This Row],[Unit Cost]]</f>
        <v>126.25</v>
      </c>
      <c r="N207" s="1">
        <v>2826902.61</v>
      </c>
      <c r="O207" s="6">
        <v>2278851.36</v>
      </c>
      <c r="P207" s="1">
        <v>548051.25</v>
      </c>
    </row>
    <row r="208" spans="1:16" x14ac:dyDescent="0.3">
      <c r="A208" s="1" t="s">
        <v>14</v>
      </c>
      <c r="B208" s="1" t="s">
        <v>35</v>
      </c>
      <c r="C208" s="1" t="s">
        <v>57</v>
      </c>
      <c r="D208" s="1" t="s">
        <v>22</v>
      </c>
      <c r="E208" s="1" t="s">
        <v>45</v>
      </c>
      <c r="F208" s="7">
        <v>41998</v>
      </c>
      <c r="G208" s="1" t="s">
        <v>287</v>
      </c>
      <c r="H208" s="7">
        <v>42004</v>
      </c>
      <c r="I208" s="1">
        <f>Europe_Sales_Records[[#This Row],[Ship Date]]-Europe_Sales_Records[[#This Row],[Order Date]]</f>
        <v>6</v>
      </c>
      <c r="J208" s="1">
        <v>3138</v>
      </c>
      <c r="K208" s="1">
        <v>668.27</v>
      </c>
      <c r="L208" s="1">
        <v>502.54</v>
      </c>
      <c r="M208" s="1">
        <f>Europe_Sales_Records[[#This Row],[Unit Price]]-Europe_Sales_Records[[#This Row],[Unit Cost]]</f>
        <v>165.72999999999996</v>
      </c>
      <c r="N208" s="1">
        <v>2097031.26</v>
      </c>
      <c r="O208" s="6">
        <v>1576970.52</v>
      </c>
      <c r="P208" s="1">
        <v>520060.74</v>
      </c>
    </row>
    <row r="209" spans="1:16" x14ac:dyDescent="0.3">
      <c r="A209" s="1" t="s">
        <v>14</v>
      </c>
      <c r="B209" s="1" t="s">
        <v>81</v>
      </c>
      <c r="C209" s="1" t="s">
        <v>21</v>
      </c>
      <c r="D209" s="1" t="s">
        <v>22</v>
      </c>
      <c r="E209" s="1" t="s">
        <v>45</v>
      </c>
      <c r="F209" s="7">
        <v>41800</v>
      </c>
      <c r="G209" s="1" t="s">
        <v>288</v>
      </c>
      <c r="H209" s="7">
        <v>41848</v>
      </c>
      <c r="I209" s="1">
        <f>Europe_Sales_Records[[#This Row],[Ship Date]]-Europe_Sales_Records[[#This Row],[Order Date]]</f>
        <v>48</v>
      </c>
      <c r="J209" s="1">
        <v>6240</v>
      </c>
      <c r="K209" s="1">
        <v>109.28</v>
      </c>
      <c r="L209" s="1">
        <v>35.840000000000003</v>
      </c>
      <c r="M209" s="1">
        <f>Europe_Sales_Records[[#This Row],[Unit Price]]-Europe_Sales_Records[[#This Row],[Unit Cost]]</f>
        <v>73.44</v>
      </c>
      <c r="N209" s="1">
        <v>681907.19999999995</v>
      </c>
      <c r="O209" s="6">
        <v>223641.60000000001</v>
      </c>
      <c r="P209" s="1">
        <v>458265.59999999998</v>
      </c>
    </row>
    <row r="210" spans="1:16" x14ac:dyDescent="0.3">
      <c r="A210" s="1" t="s">
        <v>14</v>
      </c>
      <c r="B210" s="1" t="s">
        <v>172</v>
      </c>
      <c r="C210" s="1" t="s">
        <v>79</v>
      </c>
      <c r="D210" s="1" t="s">
        <v>17</v>
      </c>
      <c r="E210" s="1" t="s">
        <v>23</v>
      </c>
      <c r="F210" s="7">
        <v>42475</v>
      </c>
      <c r="G210" s="1" t="s">
        <v>289</v>
      </c>
      <c r="H210" s="7">
        <v>42495</v>
      </c>
      <c r="I210" s="1">
        <f>Europe_Sales_Records[[#This Row],[Ship Date]]-Europe_Sales_Records[[#This Row],[Order Date]]</f>
        <v>20</v>
      </c>
      <c r="J210" s="1">
        <v>1529</v>
      </c>
      <c r="K210" s="1">
        <v>81.73</v>
      </c>
      <c r="L210" s="1">
        <v>56.67</v>
      </c>
      <c r="M210" s="1">
        <f>Europe_Sales_Records[[#This Row],[Unit Price]]-Europe_Sales_Records[[#This Row],[Unit Cost]]</f>
        <v>25.060000000000002</v>
      </c>
      <c r="N210" s="1">
        <v>124965.17</v>
      </c>
      <c r="O210" s="6">
        <v>86648.43</v>
      </c>
      <c r="P210" s="1">
        <v>38316.74</v>
      </c>
    </row>
    <row r="211" spans="1:16" x14ac:dyDescent="0.3">
      <c r="A211" s="1" t="s">
        <v>14</v>
      </c>
      <c r="B211" s="1" t="s">
        <v>54</v>
      </c>
      <c r="C211" s="1" t="s">
        <v>52</v>
      </c>
      <c r="D211" s="1" t="s">
        <v>17</v>
      </c>
      <c r="E211" s="1" t="s">
        <v>18</v>
      </c>
      <c r="F211" s="7">
        <v>40564</v>
      </c>
      <c r="G211" s="1" t="s">
        <v>290</v>
      </c>
      <c r="H211" s="7">
        <v>40600</v>
      </c>
      <c r="I211" s="1">
        <f>Europe_Sales_Records[[#This Row],[Ship Date]]-Europe_Sales_Records[[#This Row],[Order Date]]</f>
        <v>36</v>
      </c>
      <c r="J211" s="1">
        <v>4077</v>
      </c>
      <c r="K211" s="1">
        <v>255.28</v>
      </c>
      <c r="L211" s="1">
        <v>159.41999999999999</v>
      </c>
      <c r="M211" s="1">
        <f>Europe_Sales_Records[[#This Row],[Unit Price]]-Europe_Sales_Records[[#This Row],[Unit Cost]]</f>
        <v>95.860000000000014</v>
      </c>
      <c r="N211" s="1">
        <v>1040776.56</v>
      </c>
      <c r="O211" s="6">
        <v>649955.34</v>
      </c>
      <c r="P211" s="1">
        <v>390821.22</v>
      </c>
    </row>
    <row r="212" spans="1:16" x14ac:dyDescent="0.3">
      <c r="A212" s="1" t="s">
        <v>14</v>
      </c>
      <c r="B212" s="1" t="s">
        <v>35</v>
      </c>
      <c r="C212" s="1" t="s">
        <v>52</v>
      </c>
      <c r="D212" s="1" t="s">
        <v>17</v>
      </c>
      <c r="E212" s="1" t="s">
        <v>45</v>
      </c>
      <c r="F212" s="7">
        <v>41336</v>
      </c>
      <c r="G212" s="1" t="s">
        <v>291</v>
      </c>
      <c r="H212" s="7">
        <v>41365</v>
      </c>
      <c r="I212" s="1">
        <f>Europe_Sales_Records[[#This Row],[Ship Date]]-Europe_Sales_Records[[#This Row],[Order Date]]</f>
        <v>29</v>
      </c>
      <c r="J212" s="1">
        <v>5593</v>
      </c>
      <c r="K212" s="1">
        <v>255.28</v>
      </c>
      <c r="L212" s="1">
        <v>159.41999999999999</v>
      </c>
      <c r="M212" s="1">
        <f>Europe_Sales_Records[[#This Row],[Unit Price]]-Europe_Sales_Records[[#This Row],[Unit Cost]]</f>
        <v>95.860000000000014</v>
      </c>
      <c r="N212" s="1">
        <v>1427781.04</v>
      </c>
      <c r="O212" s="6">
        <v>891636.06</v>
      </c>
      <c r="P212" s="1">
        <v>536144.98</v>
      </c>
    </row>
    <row r="213" spans="1:16" x14ac:dyDescent="0.3">
      <c r="A213" s="1" t="s">
        <v>14</v>
      </c>
      <c r="B213" s="1" t="s">
        <v>50</v>
      </c>
      <c r="C213" s="1" t="s">
        <v>29</v>
      </c>
      <c r="D213" s="1" t="s">
        <v>17</v>
      </c>
      <c r="E213" s="1" t="s">
        <v>30</v>
      </c>
      <c r="F213" s="7">
        <v>42798</v>
      </c>
      <c r="G213" s="1" t="s">
        <v>292</v>
      </c>
      <c r="H213" s="7">
        <v>42845</v>
      </c>
      <c r="I213" s="1">
        <f>Europe_Sales_Records[[#This Row],[Ship Date]]-Europe_Sales_Records[[#This Row],[Order Date]]</f>
        <v>47</v>
      </c>
      <c r="J213" s="1">
        <v>8597</v>
      </c>
      <c r="K213" s="1">
        <v>651.21</v>
      </c>
      <c r="L213" s="1">
        <v>524.96</v>
      </c>
      <c r="M213" s="1">
        <f>Europe_Sales_Records[[#This Row],[Unit Price]]-Europe_Sales_Records[[#This Row],[Unit Cost]]</f>
        <v>126.25</v>
      </c>
      <c r="N213" s="1">
        <v>5598452.3700000001</v>
      </c>
      <c r="O213" s="6">
        <v>4513081.12</v>
      </c>
      <c r="P213" s="1">
        <v>1085371.25</v>
      </c>
    </row>
    <row r="214" spans="1:16" x14ac:dyDescent="0.3">
      <c r="A214" s="1" t="s">
        <v>14</v>
      </c>
      <c r="B214" s="1" t="s">
        <v>137</v>
      </c>
      <c r="C214" s="1" t="s">
        <v>57</v>
      </c>
      <c r="D214" s="1" t="s">
        <v>17</v>
      </c>
      <c r="E214" s="1" t="s">
        <v>23</v>
      </c>
      <c r="F214" s="7">
        <v>42603</v>
      </c>
      <c r="G214" s="1" t="s">
        <v>293</v>
      </c>
      <c r="H214" s="7">
        <v>42645</v>
      </c>
      <c r="I214" s="1">
        <f>Europe_Sales_Records[[#This Row],[Ship Date]]-Europe_Sales_Records[[#This Row],[Order Date]]</f>
        <v>42</v>
      </c>
      <c r="J214" s="1">
        <v>5933</v>
      </c>
      <c r="K214" s="1">
        <v>668.27</v>
      </c>
      <c r="L214" s="1">
        <v>502.54</v>
      </c>
      <c r="M214" s="1">
        <f>Europe_Sales_Records[[#This Row],[Unit Price]]-Europe_Sales_Records[[#This Row],[Unit Cost]]</f>
        <v>165.72999999999996</v>
      </c>
      <c r="N214" s="1">
        <v>3964845.91</v>
      </c>
      <c r="O214" s="6">
        <v>2981569.82</v>
      </c>
      <c r="P214" s="1">
        <v>983276.09</v>
      </c>
    </row>
    <row r="215" spans="1:16" x14ac:dyDescent="0.3">
      <c r="A215" s="1" t="s">
        <v>14</v>
      </c>
      <c r="B215" s="1" t="s">
        <v>152</v>
      </c>
      <c r="C215" s="1" t="s">
        <v>79</v>
      </c>
      <c r="D215" s="1" t="s">
        <v>17</v>
      </c>
      <c r="E215" s="1" t="s">
        <v>18</v>
      </c>
      <c r="F215" s="7">
        <v>40440</v>
      </c>
      <c r="G215" s="1" t="s">
        <v>294</v>
      </c>
      <c r="H215" s="7">
        <v>40485</v>
      </c>
      <c r="I215" s="1">
        <f>Europe_Sales_Records[[#This Row],[Ship Date]]-Europe_Sales_Records[[#This Row],[Order Date]]</f>
        <v>45</v>
      </c>
      <c r="J215" s="1">
        <v>2715</v>
      </c>
      <c r="K215" s="1">
        <v>81.73</v>
      </c>
      <c r="L215" s="1">
        <v>56.67</v>
      </c>
      <c r="M215" s="1">
        <f>Europe_Sales_Records[[#This Row],[Unit Price]]-Europe_Sales_Records[[#This Row],[Unit Cost]]</f>
        <v>25.060000000000002</v>
      </c>
      <c r="N215" s="1">
        <v>221896.95</v>
      </c>
      <c r="O215" s="6">
        <v>153859.04999999999</v>
      </c>
      <c r="P215" s="1">
        <v>68037.899999999994</v>
      </c>
    </row>
    <row r="216" spans="1:16" x14ac:dyDescent="0.3">
      <c r="A216" s="1" t="s">
        <v>14</v>
      </c>
      <c r="B216" s="1" t="s">
        <v>99</v>
      </c>
      <c r="C216" s="1" t="s">
        <v>60</v>
      </c>
      <c r="D216" s="1" t="s">
        <v>22</v>
      </c>
      <c r="E216" s="1" t="s">
        <v>23</v>
      </c>
      <c r="F216" s="7">
        <v>41172</v>
      </c>
      <c r="G216" s="1" t="s">
        <v>295</v>
      </c>
      <c r="H216" s="7">
        <v>41219</v>
      </c>
      <c r="I216" s="1">
        <f>Europe_Sales_Records[[#This Row],[Ship Date]]-Europe_Sales_Records[[#This Row],[Order Date]]</f>
        <v>47</v>
      </c>
      <c r="J216" s="1">
        <v>9188</v>
      </c>
      <c r="K216" s="1">
        <v>437.2</v>
      </c>
      <c r="L216" s="1">
        <v>263.33</v>
      </c>
      <c r="M216" s="1">
        <f>Europe_Sales_Records[[#This Row],[Unit Price]]-Europe_Sales_Records[[#This Row],[Unit Cost]]</f>
        <v>173.87</v>
      </c>
      <c r="N216" s="1">
        <v>4016993.6</v>
      </c>
      <c r="O216" s="6">
        <v>2419476.04</v>
      </c>
      <c r="P216" s="1">
        <v>1597517.56</v>
      </c>
    </row>
    <row r="217" spans="1:16" x14ac:dyDescent="0.3">
      <c r="A217" s="1" t="s">
        <v>14</v>
      </c>
      <c r="B217" s="1" t="s">
        <v>15</v>
      </c>
      <c r="C217" s="1" t="s">
        <v>42</v>
      </c>
      <c r="D217" s="1" t="s">
        <v>17</v>
      </c>
      <c r="E217" s="1" t="s">
        <v>30</v>
      </c>
      <c r="F217" s="7">
        <v>40761</v>
      </c>
      <c r="G217" s="1" t="s">
        <v>296</v>
      </c>
      <c r="H217" s="7">
        <v>40810</v>
      </c>
      <c r="I217" s="1">
        <f>Europe_Sales_Records[[#This Row],[Ship Date]]-Europe_Sales_Records[[#This Row],[Order Date]]</f>
        <v>49</v>
      </c>
      <c r="J217" s="1">
        <v>9759</v>
      </c>
      <c r="K217" s="1">
        <v>421.89</v>
      </c>
      <c r="L217" s="1">
        <v>364.69</v>
      </c>
      <c r="M217" s="1">
        <f>Europe_Sales_Records[[#This Row],[Unit Price]]-Europe_Sales_Records[[#This Row],[Unit Cost]]</f>
        <v>57.199999999999989</v>
      </c>
      <c r="N217" s="1">
        <v>4117224.51</v>
      </c>
      <c r="O217" s="6">
        <v>3559009.71</v>
      </c>
      <c r="P217" s="1">
        <v>558214.80000000005</v>
      </c>
    </row>
    <row r="218" spans="1:16" x14ac:dyDescent="0.3">
      <c r="A218" s="1" t="s">
        <v>14</v>
      </c>
      <c r="B218" s="1" t="s">
        <v>127</v>
      </c>
      <c r="C218" s="1" t="s">
        <v>48</v>
      </c>
      <c r="D218" s="1" t="s">
        <v>17</v>
      </c>
      <c r="E218" s="1" t="s">
        <v>23</v>
      </c>
      <c r="F218" s="7">
        <v>42451</v>
      </c>
      <c r="G218" s="1" t="s">
        <v>297</v>
      </c>
      <c r="H218" s="7">
        <v>42479</v>
      </c>
      <c r="I218" s="1">
        <f>Europe_Sales_Records[[#This Row],[Ship Date]]-Europe_Sales_Records[[#This Row],[Order Date]]</f>
        <v>28</v>
      </c>
      <c r="J218" s="1">
        <v>8048</v>
      </c>
      <c r="K218" s="1">
        <v>152.58000000000001</v>
      </c>
      <c r="L218" s="1">
        <v>97.44</v>
      </c>
      <c r="M218" s="1">
        <f>Europe_Sales_Records[[#This Row],[Unit Price]]-Europe_Sales_Records[[#This Row],[Unit Cost]]</f>
        <v>55.140000000000015</v>
      </c>
      <c r="N218" s="1">
        <v>1227963.8400000001</v>
      </c>
      <c r="O218" s="6">
        <v>784197.12</v>
      </c>
      <c r="P218" s="1">
        <v>443766.72</v>
      </c>
    </row>
    <row r="219" spans="1:16" x14ac:dyDescent="0.3">
      <c r="A219" s="1" t="s">
        <v>14</v>
      </c>
      <c r="B219" s="1" t="s">
        <v>150</v>
      </c>
      <c r="C219" s="1" t="s">
        <v>52</v>
      </c>
      <c r="D219" s="1" t="s">
        <v>17</v>
      </c>
      <c r="E219" s="1" t="s">
        <v>23</v>
      </c>
      <c r="F219" s="7">
        <v>40918</v>
      </c>
      <c r="G219" s="1" t="s">
        <v>298</v>
      </c>
      <c r="H219" s="7">
        <v>40962</v>
      </c>
      <c r="I219" s="1">
        <f>Europe_Sales_Records[[#This Row],[Ship Date]]-Europe_Sales_Records[[#This Row],[Order Date]]</f>
        <v>44</v>
      </c>
      <c r="J219" s="1">
        <v>4543</v>
      </c>
      <c r="K219" s="1">
        <v>255.28</v>
      </c>
      <c r="L219" s="1">
        <v>159.41999999999999</v>
      </c>
      <c r="M219" s="1">
        <f>Europe_Sales_Records[[#This Row],[Unit Price]]-Europe_Sales_Records[[#This Row],[Unit Cost]]</f>
        <v>95.860000000000014</v>
      </c>
      <c r="N219" s="1">
        <v>1159737.04</v>
      </c>
      <c r="O219" s="6">
        <v>724245.06</v>
      </c>
      <c r="P219" s="1">
        <v>435491.98</v>
      </c>
    </row>
    <row r="220" spans="1:16" x14ac:dyDescent="0.3">
      <c r="A220" s="1" t="s">
        <v>14</v>
      </c>
      <c r="B220" s="1" t="s">
        <v>99</v>
      </c>
      <c r="C220" s="1" t="s">
        <v>52</v>
      </c>
      <c r="D220" s="1" t="s">
        <v>17</v>
      </c>
      <c r="E220" s="1" t="s">
        <v>45</v>
      </c>
      <c r="F220" s="7">
        <v>41776</v>
      </c>
      <c r="G220" s="1" t="s">
        <v>299</v>
      </c>
      <c r="H220" s="7">
        <v>41785</v>
      </c>
      <c r="I220" s="1">
        <f>Europe_Sales_Records[[#This Row],[Ship Date]]-Europe_Sales_Records[[#This Row],[Order Date]]</f>
        <v>9</v>
      </c>
      <c r="J220" s="1">
        <v>6828</v>
      </c>
      <c r="K220" s="1">
        <v>255.28</v>
      </c>
      <c r="L220" s="1">
        <v>159.41999999999999</v>
      </c>
      <c r="M220" s="1">
        <f>Europe_Sales_Records[[#This Row],[Unit Price]]-Europe_Sales_Records[[#This Row],[Unit Cost]]</f>
        <v>95.860000000000014</v>
      </c>
      <c r="N220" s="1">
        <v>1743051.84</v>
      </c>
      <c r="O220" s="6">
        <v>1088519.76</v>
      </c>
      <c r="P220" s="1">
        <v>654532.07999999996</v>
      </c>
    </row>
    <row r="221" spans="1:16" x14ac:dyDescent="0.3">
      <c r="A221" s="1" t="s">
        <v>14</v>
      </c>
      <c r="B221" s="1" t="s">
        <v>63</v>
      </c>
      <c r="C221" s="1" t="s">
        <v>79</v>
      </c>
      <c r="D221" s="1" t="s">
        <v>17</v>
      </c>
      <c r="E221" s="1" t="s">
        <v>45</v>
      </c>
      <c r="F221" s="7">
        <v>41580</v>
      </c>
      <c r="G221" s="1" t="s">
        <v>300</v>
      </c>
      <c r="H221" s="7">
        <v>41625</v>
      </c>
      <c r="I221" s="1">
        <f>Europe_Sales_Records[[#This Row],[Ship Date]]-Europe_Sales_Records[[#This Row],[Order Date]]</f>
        <v>45</v>
      </c>
      <c r="J221" s="1">
        <v>7870</v>
      </c>
      <c r="K221" s="1">
        <v>81.73</v>
      </c>
      <c r="L221" s="1">
        <v>56.67</v>
      </c>
      <c r="M221" s="1">
        <f>Europe_Sales_Records[[#This Row],[Unit Price]]-Europe_Sales_Records[[#This Row],[Unit Cost]]</f>
        <v>25.060000000000002</v>
      </c>
      <c r="N221" s="1">
        <v>643215.1</v>
      </c>
      <c r="O221" s="6">
        <v>445992.9</v>
      </c>
      <c r="P221" s="1">
        <v>197222.2</v>
      </c>
    </row>
    <row r="222" spans="1:16" x14ac:dyDescent="0.3">
      <c r="A222" s="1" t="s">
        <v>14</v>
      </c>
      <c r="B222" s="1" t="s">
        <v>150</v>
      </c>
      <c r="C222" s="1" t="s">
        <v>33</v>
      </c>
      <c r="D222" s="1" t="s">
        <v>17</v>
      </c>
      <c r="E222" s="1" t="s">
        <v>45</v>
      </c>
      <c r="F222" s="7">
        <v>41786</v>
      </c>
      <c r="G222" s="1" t="s">
        <v>301</v>
      </c>
      <c r="H222" s="7">
        <v>41805</v>
      </c>
      <c r="I222" s="1">
        <f>Europe_Sales_Records[[#This Row],[Ship Date]]-Europe_Sales_Records[[#This Row],[Order Date]]</f>
        <v>19</v>
      </c>
      <c r="J222" s="1">
        <v>983</v>
      </c>
      <c r="K222" s="1">
        <v>9.33</v>
      </c>
      <c r="L222" s="1">
        <v>6.92</v>
      </c>
      <c r="M222" s="1">
        <f>Europe_Sales_Records[[#This Row],[Unit Price]]-Europe_Sales_Records[[#This Row],[Unit Cost]]</f>
        <v>2.41</v>
      </c>
      <c r="N222" s="1">
        <v>9171.39</v>
      </c>
      <c r="O222" s="6">
        <v>6802.36</v>
      </c>
      <c r="P222" s="1">
        <v>2369.0300000000002</v>
      </c>
    </row>
    <row r="223" spans="1:16" x14ac:dyDescent="0.3">
      <c r="A223" s="1" t="s">
        <v>14</v>
      </c>
      <c r="B223" s="1" t="s">
        <v>25</v>
      </c>
      <c r="C223" s="1" t="s">
        <v>33</v>
      </c>
      <c r="D223" s="1" t="s">
        <v>17</v>
      </c>
      <c r="E223" s="1" t="s">
        <v>45</v>
      </c>
      <c r="F223" s="7">
        <v>40761</v>
      </c>
      <c r="G223" s="1" t="s">
        <v>302</v>
      </c>
      <c r="H223" s="7">
        <v>40806</v>
      </c>
      <c r="I223" s="1">
        <f>Europe_Sales_Records[[#This Row],[Ship Date]]-Europe_Sales_Records[[#This Row],[Order Date]]</f>
        <v>45</v>
      </c>
      <c r="J223" s="1">
        <v>3042</v>
      </c>
      <c r="K223" s="1">
        <v>9.33</v>
      </c>
      <c r="L223" s="1">
        <v>6.92</v>
      </c>
      <c r="M223" s="1">
        <f>Europe_Sales_Records[[#This Row],[Unit Price]]-Europe_Sales_Records[[#This Row],[Unit Cost]]</f>
        <v>2.41</v>
      </c>
      <c r="N223" s="1">
        <v>28381.86</v>
      </c>
      <c r="O223" s="6">
        <v>21050.639999999999</v>
      </c>
      <c r="P223" s="1">
        <v>7331.22</v>
      </c>
    </row>
    <row r="224" spans="1:16" x14ac:dyDescent="0.3">
      <c r="A224" s="1" t="s">
        <v>14</v>
      </c>
      <c r="B224" s="1" t="s">
        <v>71</v>
      </c>
      <c r="C224" s="1" t="s">
        <v>42</v>
      </c>
      <c r="D224" s="1" t="s">
        <v>22</v>
      </c>
      <c r="E224" s="1" t="s">
        <v>45</v>
      </c>
      <c r="F224" s="7">
        <v>40371</v>
      </c>
      <c r="G224" s="1" t="s">
        <v>303</v>
      </c>
      <c r="H224" s="7">
        <v>40373</v>
      </c>
      <c r="I224" s="1">
        <f>Europe_Sales_Records[[#This Row],[Ship Date]]-Europe_Sales_Records[[#This Row],[Order Date]]</f>
        <v>2</v>
      </c>
      <c r="J224" s="1">
        <v>7151</v>
      </c>
      <c r="K224" s="1">
        <v>421.89</v>
      </c>
      <c r="L224" s="1">
        <v>364.69</v>
      </c>
      <c r="M224" s="1">
        <f>Europe_Sales_Records[[#This Row],[Unit Price]]-Europe_Sales_Records[[#This Row],[Unit Cost]]</f>
        <v>57.199999999999989</v>
      </c>
      <c r="N224" s="1">
        <v>3016935.39</v>
      </c>
      <c r="O224" s="6">
        <v>2607898.19</v>
      </c>
      <c r="P224" s="1">
        <v>409037.2</v>
      </c>
    </row>
    <row r="225" spans="1:16" x14ac:dyDescent="0.3">
      <c r="A225" s="1" t="s">
        <v>14</v>
      </c>
      <c r="B225" s="1" t="s">
        <v>69</v>
      </c>
      <c r="C225" s="1" t="s">
        <v>26</v>
      </c>
      <c r="D225" s="1" t="s">
        <v>22</v>
      </c>
      <c r="E225" s="1" t="s">
        <v>30</v>
      </c>
      <c r="F225" s="7">
        <v>42675</v>
      </c>
      <c r="G225" s="1" t="s">
        <v>304</v>
      </c>
      <c r="H225" s="7">
        <v>42694</v>
      </c>
      <c r="I225" s="1">
        <f>Europe_Sales_Records[[#This Row],[Ship Date]]-Europe_Sales_Records[[#This Row],[Order Date]]</f>
        <v>19</v>
      </c>
      <c r="J225" s="1">
        <v>9234</v>
      </c>
      <c r="K225" s="1">
        <v>205.7</v>
      </c>
      <c r="L225" s="1">
        <v>117.11</v>
      </c>
      <c r="M225" s="1">
        <f>Europe_Sales_Records[[#This Row],[Unit Price]]-Europe_Sales_Records[[#This Row],[Unit Cost]]</f>
        <v>88.589999999999989</v>
      </c>
      <c r="N225" s="1">
        <v>1899433.8</v>
      </c>
      <c r="O225" s="6">
        <v>1081393.74</v>
      </c>
      <c r="P225" s="1">
        <v>818040.06</v>
      </c>
    </row>
    <row r="226" spans="1:16" x14ac:dyDescent="0.3">
      <c r="A226" s="1" t="s">
        <v>14</v>
      </c>
      <c r="B226" s="1" t="s">
        <v>35</v>
      </c>
      <c r="C226" s="1" t="s">
        <v>21</v>
      </c>
      <c r="D226" s="1" t="s">
        <v>22</v>
      </c>
      <c r="E226" s="1" t="s">
        <v>18</v>
      </c>
      <c r="F226" s="7">
        <v>40972</v>
      </c>
      <c r="G226" s="1" t="s">
        <v>305</v>
      </c>
      <c r="H226" s="7">
        <v>40993</v>
      </c>
      <c r="I226" s="1">
        <f>Europe_Sales_Records[[#This Row],[Ship Date]]-Europe_Sales_Records[[#This Row],[Order Date]]</f>
        <v>21</v>
      </c>
      <c r="J226" s="1">
        <v>9914</v>
      </c>
      <c r="K226" s="1">
        <v>109.28</v>
      </c>
      <c r="L226" s="1">
        <v>35.840000000000003</v>
      </c>
      <c r="M226" s="1">
        <f>Europe_Sales_Records[[#This Row],[Unit Price]]-Europe_Sales_Records[[#This Row],[Unit Cost]]</f>
        <v>73.44</v>
      </c>
      <c r="N226" s="1">
        <v>1083401.92</v>
      </c>
      <c r="O226" s="6">
        <v>355317.76000000001</v>
      </c>
      <c r="P226" s="1">
        <v>728084.16</v>
      </c>
    </row>
    <row r="227" spans="1:16" x14ac:dyDescent="0.3">
      <c r="A227" s="1" t="s">
        <v>14</v>
      </c>
      <c r="B227" s="1" t="s">
        <v>176</v>
      </c>
      <c r="C227" s="1" t="s">
        <v>60</v>
      </c>
      <c r="D227" s="1" t="s">
        <v>17</v>
      </c>
      <c r="E227" s="1" t="s">
        <v>23</v>
      </c>
      <c r="F227" s="7">
        <v>40788</v>
      </c>
      <c r="G227" s="1" t="s">
        <v>306</v>
      </c>
      <c r="H227" s="7">
        <v>40837</v>
      </c>
      <c r="I227" s="1">
        <f>Europe_Sales_Records[[#This Row],[Ship Date]]-Europe_Sales_Records[[#This Row],[Order Date]]</f>
        <v>49</v>
      </c>
      <c r="J227" s="1">
        <v>8338</v>
      </c>
      <c r="K227" s="1">
        <v>437.2</v>
      </c>
      <c r="L227" s="1">
        <v>263.33</v>
      </c>
      <c r="M227" s="1">
        <f>Europe_Sales_Records[[#This Row],[Unit Price]]-Europe_Sales_Records[[#This Row],[Unit Cost]]</f>
        <v>173.87</v>
      </c>
      <c r="N227" s="1">
        <v>3645373.6</v>
      </c>
      <c r="O227" s="6">
        <v>2195645.54</v>
      </c>
      <c r="P227" s="1">
        <v>1449728.06</v>
      </c>
    </row>
    <row r="228" spans="1:16" x14ac:dyDescent="0.3">
      <c r="A228" s="1" t="s">
        <v>14</v>
      </c>
      <c r="B228" s="1" t="s">
        <v>59</v>
      </c>
      <c r="C228" s="1" t="s">
        <v>29</v>
      </c>
      <c r="D228" s="1" t="s">
        <v>17</v>
      </c>
      <c r="E228" s="1" t="s">
        <v>23</v>
      </c>
      <c r="F228" s="7">
        <v>42858</v>
      </c>
      <c r="G228" s="1" t="s">
        <v>307</v>
      </c>
      <c r="H228" s="7">
        <v>42889</v>
      </c>
      <c r="I228" s="1">
        <f>Europe_Sales_Records[[#This Row],[Ship Date]]-Europe_Sales_Records[[#This Row],[Order Date]]</f>
        <v>31</v>
      </c>
      <c r="J228" s="1">
        <v>7872</v>
      </c>
      <c r="K228" s="1">
        <v>651.21</v>
      </c>
      <c r="L228" s="1">
        <v>524.96</v>
      </c>
      <c r="M228" s="1">
        <f>Europe_Sales_Records[[#This Row],[Unit Price]]-Europe_Sales_Records[[#This Row],[Unit Cost]]</f>
        <v>126.25</v>
      </c>
      <c r="N228" s="1">
        <v>5126325.12</v>
      </c>
      <c r="O228" s="6">
        <v>4132485.1200000001</v>
      </c>
      <c r="P228" s="1">
        <v>993840</v>
      </c>
    </row>
    <row r="229" spans="1:16" x14ac:dyDescent="0.3">
      <c r="A229" s="1" t="s">
        <v>14</v>
      </c>
      <c r="B229" s="1" t="s">
        <v>232</v>
      </c>
      <c r="C229" s="1" t="s">
        <v>48</v>
      </c>
      <c r="D229" s="1" t="s">
        <v>22</v>
      </c>
      <c r="E229" s="1" t="s">
        <v>18</v>
      </c>
      <c r="F229" s="7">
        <v>41518</v>
      </c>
      <c r="G229" s="1" t="s">
        <v>308</v>
      </c>
      <c r="H229" s="7">
        <v>41565</v>
      </c>
      <c r="I229" s="1">
        <f>Europe_Sales_Records[[#This Row],[Ship Date]]-Europe_Sales_Records[[#This Row],[Order Date]]</f>
        <v>47</v>
      </c>
      <c r="J229" s="1">
        <v>6291</v>
      </c>
      <c r="K229" s="1">
        <v>152.58000000000001</v>
      </c>
      <c r="L229" s="1">
        <v>97.44</v>
      </c>
      <c r="M229" s="1">
        <f>Europe_Sales_Records[[#This Row],[Unit Price]]-Europe_Sales_Records[[#This Row],[Unit Cost]]</f>
        <v>55.140000000000015</v>
      </c>
      <c r="N229" s="1">
        <v>959880.78</v>
      </c>
      <c r="O229" s="6">
        <v>612995.04</v>
      </c>
      <c r="P229" s="1">
        <v>346885.74</v>
      </c>
    </row>
    <row r="230" spans="1:16" x14ac:dyDescent="0.3">
      <c r="A230" s="1" t="s">
        <v>14</v>
      </c>
      <c r="B230" s="1" t="s">
        <v>77</v>
      </c>
      <c r="C230" s="1" t="s">
        <v>33</v>
      </c>
      <c r="D230" s="1" t="s">
        <v>22</v>
      </c>
      <c r="E230" s="1" t="s">
        <v>30</v>
      </c>
      <c r="F230" s="7">
        <v>40390</v>
      </c>
      <c r="G230" s="1" t="s">
        <v>309</v>
      </c>
      <c r="H230" s="7">
        <v>40425</v>
      </c>
      <c r="I230" s="1">
        <f>Europe_Sales_Records[[#This Row],[Ship Date]]-Europe_Sales_Records[[#This Row],[Order Date]]</f>
        <v>35</v>
      </c>
      <c r="J230" s="1">
        <v>4159</v>
      </c>
      <c r="K230" s="1">
        <v>9.33</v>
      </c>
      <c r="L230" s="1">
        <v>6.92</v>
      </c>
      <c r="M230" s="1">
        <f>Europe_Sales_Records[[#This Row],[Unit Price]]-Europe_Sales_Records[[#This Row],[Unit Cost]]</f>
        <v>2.41</v>
      </c>
      <c r="N230" s="1">
        <v>38803.47</v>
      </c>
      <c r="O230" s="6">
        <v>28780.28</v>
      </c>
      <c r="P230" s="1">
        <v>10023.19</v>
      </c>
    </row>
    <row r="231" spans="1:16" x14ac:dyDescent="0.3">
      <c r="A231" s="1" t="s">
        <v>14</v>
      </c>
      <c r="B231" s="1" t="s">
        <v>91</v>
      </c>
      <c r="C231" s="1" t="s">
        <v>52</v>
      </c>
      <c r="D231" s="1" t="s">
        <v>17</v>
      </c>
      <c r="E231" s="1" t="s">
        <v>45</v>
      </c>
      <c r="F231" s="7">
        <v>40931</v>
      </c>
      <c r="G231" s="1" t="s">
        <v>310</v>
      </c>
      <c r="H231" s="7">
        <v>40946</v>
      </c>
      <c r="I231" s="1">
        <f>Europe_Sales_Records[[#This Row],[Ship Date]]-Europe_Sales_Records[[#This Row],[Order Date]]</f>
        <v>15</v>
      </c>
      <c r="J231" s="1">
        <v>791</v>
      </c>
      <c r="K231" s="1">
        <v>255.28</v>
      </c>
      <c r="L231" s="1">
        <v>159.41999999999999</v>
      </c>
      <c r="M231" s="1">
        <f>Europe_Sales_Records[[#This Row],[Unit Price]]-Europe_Sales_Records[[#This Row],[Unit Cost]]</f>
        <v>95.860000000000014</v>
      </c>
      <c r="N231" s="1">
        <v>201926.48</v>
      </c>
      <c r="O231" s="6">
        <v>126101.22</v>
      </c>
      <c r="P231" s="1">
        <v>75825.259999999995</v>
      </c>
    </row>
    <row r="232" spans="1:16" x14ac:dyDescent="0.3">
      <c r="A232" s="1" t="s">
        <v>14</v>
      </c>
      <c r="B232" s="1" t="s">
        <v>116</v>
      </c>
      <c r="C232" s="1" t="s">
        <v>48</v>
      </c>
      <c r="D232" s="1" t="s">
        <v>17</v>
      </c>
      <c r="E232" s="1" t="s">
        <v>23</v>
      </c>
      <c r="F232" s="7">
        <v>42554</v>
      </c>
      <c r="G232" s="1" t="s">
        <v>311</v>
      </c>
      <c r="H232" s="7">
        <v>42596</v>
      </c>
      <c r="I232" s="1">
        <f>Europe_Sales_Records[[#This Row],[Ship Date]]-Europe_Sales_Records[[#This Row],[Order Date]]</f>
        <v>42</v>
      </c>
      <c r="J232" s="1">
        <v>8538</v>
      </c>
      <c r="K232" s="1">
        <v>152.58000000000001</v>
      </c>
      <c r="L232" s="1">
        <v>97.44</v>
      </c>
      <c r="M232" s="1">
        <f>Europe_Sales_Records[[#This Row],[Unit Price]]-Europe_Sales_Records[[#This Row],[Unit Cost]]</f>
        <v>55.140000000000015</v>
      </c>
      <c r="N232" s="1">
        <v>1302728.04</v>
      </c>
      <c r="O232" s="6">
        <v>831942.72</v>
      </c>
      <c r="P232" s="1">
        <v>470785.32</v>
      </c>
    </row>
    <row r="233" spans="1:16" x14ac:dyDescent="0.3">
      <c r="A233" s="1" t="s">
        <v>14</v>
      </c>
      <c r="B233" s="1" t="s">
        <v>71</v>
      </c>
      <c r="C233" s="1" t="s">
        <v>79</v>
      </c>
      <c r="D233" s="1" t="s">
        <v>22</v>
      </c>
      <c r="E233" s="1" t="s">
        <v>45</v>
      </c>
      <c r="F233" s="7">
        <v>40912</v>
      </c>
      <c r="G233" s="1" t="s">
        <v>312</v>
      </c>
      <c r="H233" s="7">
        <v>40919</v>
      </c>
      <c r="I233" s="1">
        <f>Europe_Sales_Records[[#This Row],[Ship Date]]-Europe_Sales_Records[[#This Row],[Order Date]]</f>
        <v>7</v>
      </c>
      <c r="J233" s="1">
        <v>6779</v>
      </c>
      <c r="K233" s="1">
        <v>81.73</v>
      </c>
      <c r="L233" s="1">
        <v>56.67</v>
      </c>
      <c r="M233" s="1">
        <f>Europe_Sales_Records[[#This Row],[Unit Price]]-Europe_Sales_Records[[#This Row],[Unit Cost]]</f>
        <v>25.060000000000002</v>
      </c>
      <c r="N233" s="1">
        <v>554047.67000000004</v>
      </c>
      <c r="O233" s="6">
        <v>384165.93</v>
      </c>
      <c r="P233" s="1">
        <v>169881.74</v>
      </c>
    </row>
    <row r="234" spans="1:16" x14ac:dyDescent="0.3">
      <c r="A234" s="1" t="s">
        <v>14</v>
      </c>
      <c r="B234" s="1" t="s">
        <v>99</v>
      </c>
      <c r="C234" s="1" t="s">
        <v>52</v>
      </c>
      <c r="D234" s="1" t="s">
        <v>22</v>
      </c>
      <c r="E234" s="1" t="s">
        <v>23</v>
      </c>
      <c r="F234" s="7">
        <v>41861</v>
      </c>
      <c r="G234" s="1" t="s">
        <v>313</v>
      </c>
      <c r="H234" s="7">
        <v>41897</v>
      </c>
      <c r="I234" s="1">
        <f>Europe_Sales_Records[[#This Row],[Ship Date]]-Europe_Sales_Records[[#This Row],[Order Date]]</f>
        <v>36</v>
      </c>
      <c r="J234" s="1">
        <v>7807</v>
      </c>
      <c r="K234" s="1">
        <v>255.28</v>
      </c>
      <c r="L234" s="1">
        <v>159.41999999999999</v>
      </c>
      <c r="M234" s="1">
        <f>Europe_Sales_Records[[#This Row],[Unit Price]]-Europe_Sales_Records[[#This Row],[Unit Cost]]</f>
        <v>95.860000000000014</v>
      </c>
      <c r="N234" s="1">
        <v>1992970.96</v>
      </c>
      <c r="O234" s="6">
        <v>1244591.94</v>
      </c>
      <c r="P234" s="1">
        <v>748379.02</v>
      </c>
    </row>
    <row r="235" spans="1:16" x14ac:dyDescent="0.3">
      <c r="A235" s="1" t="s">
        <v>14</v>
      </c>
      <c r="B235" s="1" t="s">
        <v>67</v>
      </c>
      <c r="C235" s="1" t="s">
        <v>48</v>
      </c>
      <c r="D235" s="1" t="s">
        <v>17</v>
      </c>
      <c r="E235" s="1" t="s">
        <v>45</v>
      </c>
      <c r="F235" s="7">
        <v>41707</v>
      </c>
      <c r="G235" s="1" t="s">
        <v>314</v>
      </c>
      <c r="H235" s="7">
        <v>41743</v>
      </c>
      <c r="I235" s="1">
        <f>Europe_Sales_Records[[#This Row],[Ship Date]]-Europe_Sales_Records[[#This Row],[Order Date]]</f>
        <v>36</v>
      </c>
      <c r="J235" s="1">
        <v>2767</v>
      </c>
      <c r="K235" s="1">
        <v>152.58000000000001</v>
      </c>
      <c r="L235" s="1">
        <v>97.44</v>
      </c>
      <c r="M235" s="1">
        <f>Europe_Sales_Records[[#This Row],[Unit Price]]-Europe_Sales_Records[[#This Row],[Unit Cost]]</f>
        <v>55.140000000000015</v>
      </c>
      <c r="N235" s="1">
        <v>422188.86</v>
      </c>
      <c r="O235" s="6">
        <v>269616.48</v>
      </c>
      <c r="P235" s="1">
        <v>152572.38</v>
      </c>
    </row>
    <row r="236" spans="1:16" x14ac:dyDescent="0.3">
      <c r="A236" s="1" t="s">
        <v>14</v>
      </c>
      <c r="B236" s="1" t="s">
        <v>81</v>
      </c>
      <c r="C236" s="1" t="s">
        <v>48</v>
      </c>
      <c r="D236" s="1" t="s">
        <v>22</v>
      </c>
      <c r="E236" s="1" t="s">
        <v>23</v>
      </c>
      <c r="F236" s="7">
        <v>41218</v>
      </c>
      <c r="G236" s="1" t="s">
        <v>315</v>
      </c>
      <c r="H236" s="7">
        <v>41254</v>
      </c>
      <c r="I236" s="1">
        <f>Europe_Sales_Records[[#This Row],[Ship Date]]-Europe_Sales_Records[[#This Row],[Order Date]]</f>
        <v>36</v>
      </c>
      <c r="J236" s="1">
        <v>6128</v>
      </c>
      <c r="K236" s="1">
        <v>152.58000000000001</v>
      </c>
      <c r="L236" s="1">
        <v>97.44</v>
      </c>
      <c r="M236" s="1">
        <f>Europe_Sales_Records[[#This Row],[Unit Price]]-Europe_Sales_Records[[#This Row],[Unit Cost]]</f>
        <v>55.140000000000015</v>
      </c>
      <c r="N236" s="1">
        <v>935010.24</v>
      </c>
      <c r="O236" s="6">
        <v>597112.31999999995</v>
      </c>
      <c r="P236" s="1">
        <v>337897.92</v>
      </c>
    </row>
    <row r="237" spans="1:16" x14ac:dyDescent="0.3">
      <c r="A237" s="1" t="s">
        <v>14</v>
      </c>
      <c r="B237" s="1" t="s">
        <v>127</v>
      </c>
      <c r="C237" s="1" t="s">
        <v>52</v>
      </c>
      <c r="D237" s="1" t="s">
        <v>22</v>
      </c>
      <c r="E237" s="1" t="s">
        <v>45</v>
      </c>
      <c r="F237" s="7">
        <v>42629</v>
      </c>
      <c r="G237" s="1" t="s">
        <v>316</v>
      </c>
      <c r="H237" s="7">
        <v>42641</v>
      </c>
      <c r="I237" s="1">
        <f>Europe_Sales_Records[[#This Row],[Ship Date]]-Europe_Sales_Records[[#This Row],[Order Date]]</f>
        <v>12</v>
      </c>
      <c r="J237" s="1">
        <v>3578</v>
      </c>
      <c r="K237" s="1">
        <v>255.28</v>
      </c>
      <c r="L237" s="1">
        <v>159.41999999999999</v>
      </c>
      <c r="M237" s="1">
        <f>Europe_Sales_Records[[#This Row],[Unit Price]]-Europe_Sales_Records[[#This Row],[Unit Cost]]</f>
        <v>95.860000000000014</v>
      </c>
      <c r="N237" s="1">
        <v>913391.84</v>
      </c>
      <c r="O237" s="6">
        <v>570404.76</v>
      </c>
      <c r="P237" s="1">
        <v>342987.08</v>
      </c>
    </row>
    <row r="238" spans="1:16" x14ac:dyDescent="0.3">
      <c r="A238" s="1" t="s">
        <v>14</v>
      </c>
      <c r="B238" s="1" t="s">
        <v>63</v>
      </c>
      <c r="C238" s="1" t="s">
        <v>57</v>
      </c>
      <c r="D238" s="1" t="s">
        <v>17</v>
      </c>
      <c r="E238" s="1" t="s">
        <v>18</v>
      </c>
      <c r="F238" s="7">
        <v>40530</v>
      </c>
      <c r="G238" s="1" t="s">
        <v>317</v>
      </c>
      <c r="H238" s="7">
        <v>40537</v>
      </c>
      <c r="I238" s="1">
        <f>Europe_Sales_Records[[#This Row],[Ship Date]]-Europe_Sales_Records[[#This Row],[Order Date]]</f>
        <v>7</v>
      </c>
      <c r="J238" s="1">
        <v>3235</v>
      </c>
      <c r="K238" s="1">
        <v>668.27</v>
      </c>
      <c r="L238" s="1">
        <v>502.54</v>
      </c>
      <c r="M238" s="1">
        <f>Europe_Sales_Records[[#This Row],[Unit Price]]-Europe_Sales_Records[[#This Row],[Unit Cost]]</f>
        <v>165.72999999999996</v>
      </c>
      <c r="N238" s="1">
        <v>2161853.4500000002</v>
      </c>
      <c r="O238" s="6">
        <v>1625716.9</v>
      </c>
      <c r="P238" s="1">
        <v>536136.55000000005</v>
      </c>
    </row>
    <row r="239" spans="1:16" x14ac:dyDescent="0.3">
      <c r="A239" s="1" t="s">
        <v>14</v>
      </c>
      <c r="B239" s="1" t="s">
        <v>91</v>
      </c>
      <c r="C239" s="1" t="s">
        <v>79</v>
      </c>
      <c r="D239" s="1" t="s">
        <v>22</v>
      </c>
      <c r="E239" s="1" t="s">
        <v>18</v>
      </c>
      <c r="F239" s="7">
        <v>40194</v>
      </c>
      <c r="G239" s="1" t="s">
        <v>318</v>
      </c>
      <c r="H239" s="7">
        <v>40196</v>
      </c>
      <c r="I239" s="1">
        <f>Europe_Sales_Records[[#This Row],[Ship Date]]-Europe_Sales_Records[[#This Row],[Order Date]]</f>
        <v>2</v>
      </c>
      <c r="J239" s="1">
        <v>3559</v>
      </c>
      <c r="K239" s="1">
        <v>81.73</v>
      </c>
      <c r="L239" s="1">
        <v>56.67</v>
      </c>
      <c r="M239" s="1">
        <f>Europe_Sales_Records[[#This Row],[Unit Price]]-Europe_Sales_Records[[#This Row],[Unit Cost]]</f>
        <v>25.060000000000002</v>
      </c>
      <c r="N239" s="1">
        <v>290877.07</v>
      </c>
      <c r="O239" s="6">
        <v>201688.53</v>
      </c>
      <c r="P239" s="1">
        <v>89188.54</v>
      </c>
    </row>
    <row r="240" spans="1:16" x14ac:dyDescent="0.3">
      <c r="A240" s="1" t="s">
        <v>14</v>
      </c>
      <c r="B240" s="1" t="s">
        <v>35</v>
      </c>
      <c r="C240" s="1" t="s">
        <v>39</v>
      </c>
      <c r="D240" s="1" t="s">
        <v>17</v>
      </c>
      <c r="E240" s="1" t="s">
        <v>45</v>
      </c>
      <c r="F240" s="7">
        <v>40643</v>
      </c>
      <c r="G240" s="1" t="s">
        <v>319</v>
      </c>
      <c r="H240" s="7">
        <v>40689</v>
      </c>
      <c r="I240" s="1">
        <f>Europe_Sales_Records[[#This Row],[Ship Date]]-Europe_Sales_Records[[#This Row],[Order Date]]</f>
        <v>46</v>
      </c>
      <c r="J240" s="1">
        <v>8869</v>
      </c>
      <c r="K240" s="1">
        <v>154.06</v>
      </c>
      <c r="L240" s="1">
        <v>90.93</v>
      </c>
      <c r="M240" s="1">
        <f>Europe_Sales_Records[[#This Row],[Unit Price]]-Europe_Sales_Records[[#This Row],[Unit Cost]]</f>
        <v>63.129999999999995</v>
      </c>
      <c r="N240" s="1">
        <v>1366358.14</v>
      </c>
      <c r="O240" s="6">
        <v>806458.17</v>
      </c>
      <c r="P240" s="1">
        <v>559899.97</v>
      </c>
    </row>
    <row r="241" spans="1:16" x14ac:dyDescent="0.3">
      <c r="A241" s="1" t="s">
        <v>14</v>
      </c>
      <c r="B241" s="1" t="s">
        <v>50</v>
      </c>
      <c r="C241" s="1" t="s">
        <v>16</v>
      </c>
      <c r="D241" s="1" t="s">
        <v>17</v>
      </c>
      <c r="E241" s="1" t="s">
        <v>30</v>
      </c>
      <c r="F241" s="7">
        <v>40910</v>
      </c>
      <c r="G241" s="1" t="s">
        <v>320</v>
      </c>
      <c r="H241" s="7">
        <v>40910</v>
      </c>
      <c r="I241" s="1">
        <f>Europe_Sales_Records[[#This Row],[Ship Date]]-Europe_Sales_Records[[#This Row],[Order Date]]</f>
        <v>0</v>
      </c>
      <c r="J241" s="1">
        <v>5122</v>
      </c>
      <c r="K241" s="1">
        <v>47.45</v>
      </c>
      <c r="L241" s="1">
        <v>31.79</v>
      </c>
      <c r="M241" s="1">
        <f>Europe_Sales_Records[[#This Row],[Unit Price]]-Europe_Sales_Records[[#This Row],[Unit Cost]]</f>
        <v>15.660000000000004</v>
      </c>
      <c r="N241" s="1">
        <v>243038.9</v>
      </c>
      <c r="O241" s="6">
        <v>162828.38</v>
      </c>
      <c r="P241" s="1">
        <v>80210.52</v>
      </c>
    </row>
    <row r="242" spans="1:16" x14ac:dyDescent="0.3">
      <c r="A242" s="1" t="s">
        <v>14</v>
      </c>
      <c r="B242" s="1" t="s">
        <v>15</v>
      </c>
      <c r="C242" s="1" t="s">
        <v>48</v>
      </c>
      <c r="D242" s="1" t="s">
        <v>22</v>
      </c>
      <c r="E242" s="1" t="s">
        <v>23</v>
      </c>
      <c r="F242" s="7">
        <v>40729</v>
      </c>
      <c r="G242" s="1" t="s">
        <v>321</v>
      </c>
      <c r="H242" s="7">
        <v>40754</v>
      </c>
      <c r="I242" s="1">
        <f>Europe_Sales_Records[[#This Row],[Ship Date]]-Europe_Sales_Records[[#This Row],[Order Date]]</f>
        <v>25</v>
      </c>
      <c r="J242" s="1">
        <v>4789</v>
      </c>
      <c r="K242" s="1">
        <v>152.58000000000001</v>
      </c>
      <c r="L242" s="1">
        <v>97.44</v>
      </c>
      <c r="M242" s="1">
        <f>Europe_Sales_Records[[#This Row],[Unit Price]]-Europe_Sales_Records[[#This Row],[Unit Cost]]</f>
        <v>55.140000000000015</v>
      </c>
      <c r="N242" s="1">
        <v>730705.62</v>
      </c>
      <c r="O242" s="6">
        <v>466640.16</v>
      </c>
      <c r="P242" s="1">
        <v>264065.46000000002</v>
      </c>
    </row>
    <row r="243" spans="1:16" x14ac:dyDescent="0.3">
      <c r="A243" s="1" t="s">
        <v>14</v>
      </c>
      <c r="B243" s="1" t="s">
        <v>172</v>
      </c>
      <c r="C243" s="1" t="s">
        <v>79</v>
      </c>
      <c r="D243" s="1" t="s">
        <v>17</v>
      </c>
      <c r="E243" s="1" t="s">
        <v>23</v>
      </c>
      <c r="F243" s="7">
        <v>41053</v>
      </c>
      <c r="G243" s="1" t="s">
        <v>322</v>
      </c>
      <c r="H243" s="7">
        <v>41076</v>
      </c>
      <c r="I243" s="1">
        <f>Europe_Sales_Records[[#This Row],[Ship Date]]-Europe_Sales_Records[[#This Row],[Order Date]]</f>
        <v>23</v>
      </c>
      <c r="J243" s="1">
        <v>1854</v>
      </c>
      <c r="K243" s="1">
        <v>81.73</v>
      </c>
      <c r="L243" s="1">
        <v>56.67</v>
      </c>
      <c r="M243" s="1">
        <f>Europe_Sales_Records[[#This Row],[Unit Price]]-Europe_Sales_Records[[#This Row],[Unit Cost]]</f>
        <v>25.060000000000002</v>
      </c>
      <c r="N243" s="1">
        <v>151527.42000000001</v>
      </c>
      <c r="O243" s="6">
        <v>105066.18</v>
      </c>
      <c r="P243" s="1">
        <v>46461.24</v>
      </c>
    </row>
    <row r="244" spans="1:16" x14ac:dyDescent="0.3">
      <c r="A244" s="1" t="s">
        <v>14</v>
      </c>
      <c r="B244" s="1" t="s">
        <v>50</v>
      </c>
      <c r="C244" s="1" t="s">
        <v>57</v>
      </c>
      <c r="D244" s="1" t="s">
        <v>17</v>
      </c>
      <c r="E244" s="1" t="s">
        <v>45</v>
      </c>
      <c r="F244" s="7">
        <v>42347</v>
      </c>
      <c r="G244" s="1" t="s">
        <v>323</v>
      </c>
      <c r="H244" s="7">
        <v>42347</v>
      </c>
      <c r="I244" s="1">
        <f>Europe_Sales_Records[[#This Row],[Ship Date]]-Europe_Sales_Records[[#This Row],[Order Date]]</f>
        <v>0</v>
      </c>
      <c r="J244" s="1">
        <v>9985</v>
      </c>
      <c r="K244" s="1">
        <v>668.27</v>
      </c>
      <c r="L244" s="1">
        <v>502.54</v>
      </c>
      <c r="M244" s="1">
        <f>Europe_Sales_Records[[#This Row],[Unit Price]]-Europe_Sales_Records[[#This Row],[Unit Cost]]</f>
        <v>165.72999999999996</v>
      </c>
      <c r="N244" s="1">
        <v>6672675.9500000002</v>
      </c>
      <c r="O244" s="6">
        <v>5017861.9000000004</v>
      </c>
      <c r="P244" s="1">
        <v>1654814.05</v>
      </c>
    </row>
    <row r="245" spans="1:16" x14ac:dyDescent="0.3">
      <c r="A245" s="1" t="s">
        <v>14</v>
      </c>
      <c r="B245" s="1" t="s">
        <v>71</v>
      </c>
      <c r="C245" s="1" t="s">
        <v>57</v>
      </c>
      <c r="D245" s="1" t="s">
        <v>22</v>
      </c>
      <c r="E245" s="1" t="s">
        <v>23</v>
      </c>
      <c r="F245" s="7">
        <v>41756</v>
      </c>
      <c r="G245" s="1" t="s">
        <v>324</v>
      </c>
      <c r="H245" s="7">
        <v>41801</v>
      </c>
      <c r="I245" s="1">
        <f>Europe_Sales_Records[[#This Row],[Ship Date]]-Europe_Sales_Records[[#This Row],[Order Date]]</f>
        <v>45</v>
      </c>
      <c r="J245" s="1">
        <v>2169</v>
      </c>
      <c r="K245" s="1">
        <v>668.27</v>
      </c>
      <c r="L245" s="1">
        <v>502.54</v>
      </c>
      <c r="M245" s="1">
        <f>Europe_Sales_Records[[#This Row],[Unit Price]]-Europe_Sales_Records[[#This Row],[Unit Cost]]</f>
        <v>165.72999999999996</v>
      </c>
      <c r="N245" s="1">
        <v>1449477.63</v>
      </c>
      <c r="O245" s="6">
        <v>1090009.26</v>
      </c>
      <c r="P245" s="1">
        <v>359468.37</v>
      </c>
    </row>
    <row r="246" spans="1:16" x14ac:dyDescent="0.3">
      <c r="A246" s="1" t="s">
        <v>14</v>
      </c>
      <c r="B246" s="1" t="s">
        <v>101</v>
      </c>
      <c r="C246" s="1" t="s">
        <v>79</v>
      </c>
      <c r="D246" s="1" t="s">
        <v>17</v>
      </c>
      <c r="E246" s="1" t="s">
        <v>30</v>
      </c>
      <c r="F246" s="7">
        <v>40652</v>
      </c>
      <c r="G246" s="1" t="s">
        <v>325</v>
      </c>
      <c r="H246" s="7">
        <v>40659</v>
      </c>
      <c r="I246" s="1">
        <f>Europe_Sales_Records[[#This Row],[Ship Date]]-Europe_Sales_Records[[#This Row],[Order Date]]</f>
        <v>7</v>
      </c>
      <c r="J246" s="1">
        <v>1875</v>
      </c>
      <c r="K246" s="1">
        <v>81.73</v>
      </c>
      <c r="L246" s="1">
        <v>56.67</v>
      </c>
      <c r="M246" s="1">
        <f>Europe_Sales_Records[[#This Row],[Unit Price]]-Europe_Sales_Records[[#This Row],[Unit Cost]]</f>
        <v>25.060000000000002</v>
      </c>
      <c r="N246" s="1">
        <v>153243.75</v>
      </c>
      <c r="O246" s="6">
        <v>106256.25</v>
      </c>
      <c r="P246" s="1">
        <v>46987.5</v>
      </c>
    </row>
    <row r="247" spans="1:16" x14ac:dyDescent="0.3">
      <c r="A247" s="1" t="s">
        <v>14</v>
      </c>
      <c r="B247" s="1" t="s">
        <v>180</v>
      </c>
      <c r="C247" s="1" t="s">
        <v>33</v>
      </c>
      <c r="D247" s="1" t="s">
        <v>17</v>
      </c>
      <c r="E247" s="1" t="s">
        <v>45</v>
      </c>
      <c r="F247" s="7">
        <v>42075</v>
      </c>
      <c r="G247" s="1" t="s">
        <v>326</v>
      </c>
      <c r="H247" s="7">
        <v>42092</v>
      </c>
      <c r="I247" s="1">
        <f>Europe_Sales_Records[[#This Row],[Ship Date]]-Europe_Sales_Records[[#This Row],[Order Date]]</f>
        <v>17</v>
      </c>
      <c r="J247" s="1">
        <v>7486</v>
      </c>
      <c r="K247" s="1">
        <v>9.33</v>
      </c>
      <c r="L247" s="1">
        <v>6.92</v>
      </c>
      <c r="M247" s="1">
        <f>Europe_Sales_Records[[#This Row],[Unit Price]]-Europe_Sales_Records[[#This Row],[Unit Cost]]</f>
        <v>2.41</v>
      </c>
      <c r="N247" s="1">
        <v>69844.38</v>
      </c>
      <c r="O247" s="6">
        <v>51803.12</v>
      </c>
      <c r="P247" s="1">
        <v>18041.259999999998</v>
      </c>
    </row>
    <row r="248" spans="1:16" x14ac:dyDescent="0.3">
      <c r="A248" s="1" t="s">
        <v>14</v>
      </c>
      <c r="B248" s="1" t="s">
        <v>118</v>
      </c>
      <c r="C248" s="1" t="s">
        <v>33</v>
      </c>
      <c r="D248" s="1" t="s">
        <v>22</v>
      </c>
      <c r="E248" s="1" t="s">
        <v>45</v>
      </c>
      <c r="F248" s="7">
        <v>40825</v>
      </c>
      <c r="G248" s="1" t="s">
        <v>327</v>
      </c>
      <c r="H248" s="7">
        <v>40872</v>
      </c>
      <c r="I248" s="1">
        <f>Europe_Sales_Records[[#This Row],[Ship Date]]-Europe_Sales_Records[[#This Row],[Order Date]]</f>
        <v>47</v>
      </c>
      <c r="J248" s="1">
        <v>7495</v>
      </c>
      <c r="K248" s="1">
        <v>9.33</v>
      </c>
      <c r="L248" s="1">
        <v>6.92</v>
      </c>
      <c r="M248" s="1">
        <f>Europe_Sales_Records[[#This Row],[Unit Price]]-Europe_Sales_Records[[#This Row],[Unit Cost]]</f>
        <v>2.41</v>
      </c>
      <c r="N248" s="1">
        <v>69928.350000000006</v>
      </c>
      <c r="O248" s="6">
        <v>51865.4</v>
      </c>
      <c r="P248" s="1">
        <v>18062.95</v>
      </c>
    </row>
    <row r="249" spans="1:16" x14ac:dyDescent="0.3">
      <c r="A249" s="1" t="s">
        <v>14</v>
      </c>
      <c r="B249" s="1" t="s">
        <v>150</v>
      </c>
      <c r="C249" s="1" t="s">
        <v>26</v>
      </c>
      <c r="D249" s="1" t="s">
        <v>17</v>
      </c>
      <c r="E249" s="1" t="s">
        <v>23</v>
      </c>
      <c r="F249" s="7">
        <v>42083</v>
      </c>
      <c r="G249" s="1" t="s">
        <v>328</v>
      </c>
      <c r="H249" s="7">
        <v>42103</v>
      </c>
      <c r="I249" s="1">
        <f>Europe_Sales_Records[[#This Row],[Ship Date]]-Europe_Sales_Records[[#This Row],[Order Date]]</f>
        <v>20</v>
      </c>
      <c r="J249" s="1">
        <v>5116</v>
      </c>
      <c r="K249" s="1">
        <v>205.7</v>
      </c>
      <c r="L249" s="1">
        <v>117.11</v>
      </c>
      <c r="M249" s="1">
        <f>Europe_Sales_Records[[#This Row],[Unit Price]]-Europe_Sales_Records[[#This Row],[Unit Cost]]</f>
        <v>88.589999999999989</v>
      </c>
      <c r="N249" s="1">
        <v>1052361.2</v>
      </c>
      <c r="O249" s="6">
        <v>599134.76</v>
      </c>
      <c r="P249" s="1">
        <v>453226.44</v>
      </c>
    </row>
    <row r="250" spans="1:16" x14ac:dyDescent="0.3">
      <c r="A250" s="1" t="s">
        <v>14</v>
      </c>
      <c r="B250" s="1" t="s">
        <v>152</v>
      </c>
      <c r="C250" s="1" t="s">
        <v>29</v>
      </c>
      <c r="D250" s="1" t="s">
        <v>22</v>
      </c>
      <c r="E250" s="1" t="s">
        <v>18</v>
      </c>
      <c r="F250" s="7">
        <v>41444</v>
      </c>
      <c r="G250" s="1" t="s">
        <v>329</v>
      </c>
      <c r="H250" s="7">
        <v>41465</v>
      </c>
      <c r="I250" s="1">
        <f>Europe_Sales_Records[[#This Row],[Ship Date]]-Europe_Sales_Records[[#This Row],[Order Date]]</f>
        <v>21</v>
      </c>
      <c r="J250" s="1">
        <v>691</v>
      </c>
      <c r="K250" s="1">
        <v>651.21</v>
      </c>
      <c r="L250" s="1">
        <v>524.96</v>
      </c>
      <c r="M250" s="1">
        <f>Europe_Sales_Records[[#This Row],[Unit Price]]-Europe_Sales_Records[[#This Row],[Unit Cost]]</f>
        <v>126.25</v>
      </c>
      <c r="N250" s="1">
        <v>449986.11</v>
      </c>
      <c r="O250" s="6">
        <v>362747.36</v>
      </c>
      <c r="P250" s="1">
        <v>87238.75</v>
      </c>
    </row>
    <row r="251" spans="1:16" x14ac:dyDescent="0.3">
      <c r="A251" s="1" t="s">
        <v>14</v>
      </c>
      <c r="B251" s="1" t="s">
        <v>180</v>
      </c>
      <c r="C251" s="1" t="s">
        <v>16</v>
      </c>
      <c r="D251" s="1" t="s">
        <v>17</v>
      </c>
      <c r="E251" s="1" t="s">
        <v>45</v>
      </c>
      <c r="F251" s="7">
        <v>42633</v>
      </c>
      <c r="G251" s="1" t="s">
        <v>330</v>
      </c>
      <c r="H251" s="7">
        <v>42672</v>
      </c>
      <c r="I251" s="1">
        <f>Europe_Sales_Records[[#This Row],[Ship Date]]-Europe_Sales_Records[[#This Row],[Order Date]]</f>
        <v>39</v>
      </c>
      <c r="J251" s="1">
        <v>4606</v>
      </c>
      <c r="K251" s="1">
        <v>47.45</v>
      </c>
      <c r="L251" s="1">
        <v>31.79</v>
      </c>
      <c r="M251" s="1">
        <f>Europe_Sales_Records[[#This Row],[Unit Price]]-Europe_Sales_Records[[#This Row],[Unit Cost]]</f>
        <v>15.660000000000004</v>
      </c>
      <c r="N251" s="1">
        <v>218554.7</v>
      </c>
      <c r="O251" s="6">
        <v>146424.74</v>
      </c>
      <c r="P251" s="1">
        <v>72129.960000000006</v>
      </c>
    </row>
    <row r="252" spans="1:16" x14ac:dyDescent="0.3">
      <c r="A252" s="1" t="s">
        <v>14</v>
      </c>
      <c r="B252" s="1" t="s">
        <v>20</v>
      </c>
      <c r="C252" s="1" t="s">
        <v>26</v>
      </c>
      <c r="D252" s="1" t="s">
        <v>22</v>
      </c>
      <c r="E252" s="1" t="s">
        <v>18</v>
      </c>
      <c r="F252" s="7">
        <v>40632</v>
      </c>
      <c r="G252" s="1" t="s">
        <v>331</v>
      </c>
      <c r="H252" s="7">
        <v>40673</v>
      </c>
      <c r="I252" s="1">
        <f>Europe_Sales_Records[[#This Row],[Ship Date]]-Europe_Sales_Records[[#This Row],[Order Date]]</f>
        <v>41</v>
      </c>
      <c r="J252" s="1">
        <v>710</v>
      </c>
      <c r="K252" s="1">
        <v>205.7</v>
      </c>
      <c r="L252" s="1">
        <v>117.11</v>
      </c>
      <c r="M252" s="1">
        <f>Europe_Sales_Records[[#This Row],[Unit Price]]-Europe_Sales_Records[[#This Row],[Unit Cost]]</f>
        <v>88.589999999999989</v>
      </c>
      <c r="N252" s="1">
        <v>146047</v>
      </c>
      <c r="O252" s="6">
        <v>83148.100000000006</v>
      </c>
      <c r="P252" s="1">
        <v>62898.9</v>
      </c>
    </row>
    <row r="253" spans="1:16" x14ac:dyDescent="0.3">
      <c r="A253" s="1" t="s">
        <v>14</v>
      </c>
      <c r="B253" s="1" t="s">
        <v>176</v>
      </c>
      <c r="C253" s="1" t="s">
        <v>16</v>
      </c>
      <c r="D253" s="1" t="s">
        <v>22</v>
      </c>
      <c r="E253" s="1" t="s">
        <v>30</v>
      </c>
      <c r="F253" s="7">
        <v>41793</v>
      </c>
      <c r="G253" s="1" t="s">
        <v>332</v>
      </c>
      <c r="H253" s="7">
        <v>41840</v>
      </c>
      <c r="I253" s="1">
        <f>Europe_Sales_Records[[#This Row],[Ship Date]]-Europe_Sales_Records[[#This Row],[Order Date]]</f>
        <v>47</v>
      </c>
      <c r="J253" s="1">
        <v>4396</v>
      </c>
      <c r="K253" s="1">
        <v>47.45</v>
      </c>
      <c r="L253" s="1">
        <v>31.79</v>
      </c>
      <c r="M253" s="1">
        <f>Europe_Sales_Records[[#This Row],[Unit Price]]-Europe_Sales_Records[[#This Row],[Unit Cost]]</f>
        <v>15.660000000000004</v>
      </c>
      <c r="N253" s="1">
        <v>208590.2</v>
      </c>
      <c r="O253" s="6">
        <v>139748.84</v>
      </c>
      <c r="P253" s="1">
        <v>68841.36</v>
      </c>
    </row>
    <row r="254" spans="1:16" x14ac:dyDescent="0.3">
      <c r="A254" s="1" t="s">
        <v>14</v>
      </c>
      <c r="B254" s="1" t="s">
        <v>75</v>
      </c>
      <c r="C254" s="1" t="s">
        <v>16</v>
      </c>
      <c r="D254" s="1" t="s">
        <v>17</v>
      </c>
      <c r="E254" s="1" t="s">
        <v>45</v>
      </c>
      <c r="F254" s="7">
        <v>40254</v>
      </c>
      <c r="G254" s="1" t="s">
        <v>333</v>
      </c>
      <c r="H254" s="7">
        <v>40288</v>
      </c>
      <c r="I254" s="1">
        <f>Europe_Sales_Records[[#This Row],[Ship Date]]-Europe_Sales_Records[[#This Row],[Order Date]]</f>
        <v>34</v>
      </c>
      <c r="J254" s="1">
        <v>8337</v>
      </c>
      <c r="K254" s="1">
        <v>47.45</v>
      </c>
      <c r="L254" s="1">
        <v>31.79</v>
      </c>
      <c r="M254" s="1">
        <f>Europe_Sales_Records[[#This Row],[Unit Price]]-Europe_Sales_Records[[#This Row],[Unit Cost]]</f>
        <v>15.660000000000004</v>
      </c>
      <c r="N254" s="1">
        <v>395590.65</v>
      </c>
      <c r="O254" s="6">
        <v>265033.23</v>
      </c>
      <c r="P254" s="1">
        <v>130557.42</v>
      </c>
    </row>
    <row r="255" spans="1:16" x14ac:dyDescent="0.3">
      <c r="A255" s="1" t="s">
        <v>14</v>
      </c>
      <c r="B255" s="1" t="s">
        <v>54</v>
      </c>
      <c r="C255" s="1" t="s">
        <v>33</v>
      </c>
      <c r="D255" s="1" t="s">
        <v>17</v>
      </c>
      <c r="E255" s="1" t="s">
        <v>18</v>
      </c>
      <c r="F255" s="7">
        <v>41537</v>
      </c>
      <c r="G255" s="1" t="s">
        <v>334</v>
      </c>
      <c r="H255" s="7">
        <v>41576</v>
      </c>
      <c r="I255" s="1">
        <f>Europe_Sales_Records[[#This Row],[Ship Date]]-Europe_Sales_Records[[#This Row],[Order Date]]</f>
        <v>39</v>
      </c>
      <c r="J255" s="1">
        <v>9024</v>
      </c>
      <c r="K255" s="1">
        <v>9.33</v>
      </c>
      <c r="L255" s="1">
        <v>6.92</v>
      </c>
      <c r="M255" s="1">
        <f>Europe_Sales_Records[[#This Row],[Unit Price]]-Europe_Sales_Records[[#This Row],[Unit Cost]]</f>
        <v>2.41</v>
      </c>
      <c r="N255" s="1">
        <v>84193.919999999998</v>
      </c>
      <c r="O255" s="6">
        <v>62446.080000000002</v>
      </c>
      <c r="P255" s="1">
        <v>21747.84</v>
      </c>
    </row>
    <row r="256" spans="1:16" x14ac:dyDescent="0.3">
      <c r="A256" s="1" t="s">
        <v>14</v>
      </c>
      <c r="B256" s="1" t="s">
        <v>47</v>
      </c>
      <c r="C256" s="1" t="s">
        <v>48</v>
      </c>
      <c r="D256" s="1" t="s">
        <v>22</v>
      </c>
      <c r="E256" s="1" t="s">
        <v>23</v>
      </c>
      <c r="F256" s="7">
        <v>40504</v>
      </c>
      <c r="G256" s="1" t="s">
        <v>335</v>
      </c>
      <c r="H256" s="7">
        <v>40535</v>
      </c>
      <c r="I256" s="1">
        <f>Europe_Sales_Records[[#This Row],[Ship Date]]-Europe_Sales_Records[[#This Row],[Order Date]]</f>
        <v>31</v>
      </c>
      <c r="J256" s="1">
        <v>8524</v>
      </c>
      <c r="K256" s="1">
        <v>152.58000000000001</v>
      </c>
      <c r="L256" s="1">
        <v>97.44</v>
      </c>
      <c r="M256" s="1">
        <f>Europe_Sales_Records[[#This Row],[Unit Price]]-Europe_Sales_Records[[#This Row],[Unit Cost]]</f>
        <v>55.140000000000015</v>
      </c>
      <c r="N256" s="1">
        <v>1300591.92</v>
      </c>
      <c r="O256" s="6">
        <v>830578.56</v>
      </c>
      <c r="P256" s="1">
        <v>470013.36</v>
      </c>
    </row>
    <row r="257" spans="1:16" x14ac:dyDescent="0.3">
      <c r="A257" s="1" t="s">
        <v>14</v>
      </c>
      <c r="B257" s="1" t="s">
        <v>127</v>
      </c>
      <c r="C257" s="1" t="s">
        <v>57</v>
      </c>
      <c r="D257" s="1" t="s">
        <v>17</v>
      </c>
      <c r="E257" s="1" t="s">
        <v>30</v>
      </c>
      <c r="F257" s="7">
        <v>42290</v>
      </c>
      <c r="G257" s="1" t="s">
        <v>336</v>
      </c>
      <c r="H257" s="7">
        <v>42297</v>
      </c>
      <c r="I257" s="1">
        <f>Europe_Sales_Records[[#This Row],[Ship Date]]-Europe_Sales_Records[[#This Row],[Order Date]]</f>
        <v>7</v>
      </c>
      <c r="J257" s="1">
        <v>9311</v>
      </c>
      <c r="K257" s="1">
        <v>668.27</v>
      </c>
      <c r="L257" s="1">
        <v>502.54</v>
      </c>
      <c r="M257" s="1">
        <f>Europe_Sales_Records[[#This Row],[Unit Price]]-Europe_Sales_Records[[#This Row],[Unit Cost]]</f>
        <v>165.72999999999996</v>
      </c>
      <c r="N257" s="1">
        <v>6222261.9699999997</v>
      </c>
      <c r="O257" s="6">
        <v>4679149.9400000004</v>
      </c>
      <c r="P257" s="1">
        <v>1543112.03</v>
      </c>
    </row>
    <row r="258" spans="1:16" x14ac:dyDescent="0.3">
      <c r="A258" s="1" t="s">
        <v>14</v>
      </c>
      <c r="B258" s="1" t="s">
        <v>71</v>
      </c>
      <c r="C258" s="1" t="s">
        <v>52</v>
      </c>
      <c r="D258" s="1" t="s">
        <v>22</v>
      </c>
      <c r="E258" s="1" t="s">
        <v>45</v>
      </c>
      <c r="F258" s="7">
        <v>41082</v>
      </c>
      <c r="G258" s="1" t="s">
        <v>337</v>
      </c>
      <c r="H258" s="7">
        <v>41122</v>
      </c>
      <c r="I258" s="1">
        <f>Europe_Sales_Records[[#This Row],[Ship Date]]-Europe_Sales_Records[[#This Row],[Order Date]]</f>
        <v>40</v>
      </c>
      <c r="J258" s="1">
        <v>2948</v>
      </c>
      <c r="K258" s="1">
        <v>255.28</v>
      </c>
      <c r="L258" s="1">
        <v>159.41999999999999</v>
      </c>
      <c r="M258" s="1">
        <f>Europe_Sales_Records[[#This Row],[Unit Price]]-Europe_Sales_Records[[#This Row],[Unit Cost]]</f>
        <v>95.860000000000014</v>
      </c>
      <c r="N258" s="1">
        <v>752565.44</v>
      </c>
      <c r="O258" s="6">
        <v>469970.16</v>
      </c>
      <c r="P258" s="1">
        <v>282595.28000000003</v>
      </c>
    </row>
    <row r="259" spans="1:16" x14ac:dyDescent="0.3">
      <c r="A259" s="1" t="s">
        <v>14</v>
      </c>
      <c r="B259" s="1" t="s">
        <v>131</v>
      </c>
      <c r="C259" s="1" t="s">
        <v>79</v>
      </c>
      <c r="D259" s="1" t="s">
        <v>17</v>
      </c>
      <c r="E259" s="1" t="s">
        <v>30</v>
      </c>
      <c r="F259" s="7">
        <v>41227</v>
      </c>
      <c r="G259" s="1" t="s">
        <v>338</v>
      </c>
      <c r="H259" s="7">
        <v>41231</v>
      </c>
      <c r="I259" s="1">
        <f>Europe_Sales_Records[[#This Row],[Ship Date]]-Europe_Sales_Records[[#This Row],[Order Date]]</f>
        <v>4</v>
      </c>
      <c r="J259" s="1">
        <v>6993</v>
      </c>
      <c r="K259" s="1">
        <v>81.73</v>
      </c>
      <c r="L259" s="1">
        <v>56.67</v>
      </c>
      <c r="M259" s="1">
        <f>Europe_Sales_Records[[#This Row],[Unit Price]]-Europe_Sales_Records[[#This Row],[Unit Cost]]</f>
        <v>25.060000000000002</v>
      </c>
      <c r="N259" s="1">
        <v>571537.89</v>
      </c>
      <c r="O259" s="6">
        <v>396293.31</v>
      </c>
      <c r="P259" s="1">
        <v>175244.58</v>
      </c>
    </row>
    <row r="260" spans="1:16" x14ac:dyDescent="0.3">
      <c r="A260" s="1" t="s">
        <v>14</v>
      </c>
      <c r="B260" s="1" t="s">
        <v>118</v>
      </c>
      <c r="C260" s="1" t="s">
        <v>26</v>
      </c>
      <c r="D260" s="1" t="s">
        <v>17</v>
      </c>
      <c r="E260" s="1" t="s">
        <v>23</v>
      </c>
      <c r="F260" s="7">
        <v>42008</v>
      </c>
      <c r="G260" s="1" t="s">
        <v>339</v>
      </c>
      <c r="H260" s="7">
        <v>42057</v>
      </c>
      <c r="I260" s="1">
        <f>Europe_Sales_Records[[#This Row],[Ship Date]]-Europe_Sales_Records[[#This Row],[Order Date]]</f>
        <v>49</v>
      </c>
      <c r="J260" s="1">
        <v>5222</v>
      </c>
      <c r="K260" s="1">
        <v>205.7</v>
      </c>
      <c r="L260" s="1">
        <v>117.11</v>
      </c>
      <c r="M260" s="1">
        <f>Europe_Sales_Records[[#This Row],[Unit Price]]-Europe_Sales_Records[[#This Row],[Unit Cost]]</f>
        <v>88.589999999999989</v>
      </c>
      <c r="N260" s="1">
        <v>1074165.3999999999</v>
      </c>
      <c r="O260" s="6">
        <v>611548.42000000004</v>
      </c>
      <c r="P260" s="1">
        <v>462616.98</v>
      </c>
    </row>
    <row r="261" spans="1:16" x14ac:dyDescent="0.3">
      <c r="A261" s="1" t="s">
        <v>14</v>
      </c>
      <c r="B261" s="1" t="s">
        <v>87</v>
      </c>
      <c r="C261" s="1" t="s">
        <v>60</v>
      </c>
      <c r="D261" s="1" t="s">
        <v>17</v>
      </c>
      <c r="E261" s="1" t="s">
        <v>18</v>
      </c>
      <c r="F261" s="7">
        <v>41712</v>
      </c>
      <c r="G261" s="1" t="s">
        <v>340</v>
      </c>
      <c r="H261" s="7">
        <v>41741</v>
      </c>
      <c r="I261" s="1">
        <f>Europe_Sales_Records[[#This Row],[Ship Date]]-Europe_Sales_Records[[#This Row],[Order Date]]</f>
        <v>29</v>
      </c>
      <c r="J261" s="1">
        <v>3661</v>
      </c>
      <c r="K261" s="1">
        <v>437.2</v>
      </c>
      <c r="L261" s="1">
        <v>263.33</v>
      </c>
      <c r="M261" s="1">
        <f>Europe_Sales_Records[[#This Row],[Unit Price]]-Europe_Sales_Records[[#This Row],[Unit Cost]]</f>
        <v>173.87</v>
      </c>
      <c r="N261" s="1">
        <v>1600589.2</v>
      </c>
      <c r="O261" s="6">
        <v>964051.13</v>
      </c>
      <c r="P261" s="1">
        <v>636538.06999999995</v>
      </c>
    </row>
    <row r="262" spans="1:16" x14ac:dyDescent="0.3">
      <c r="A262" s="1" t="s">
        <v>14</v>
      </c>
      <c r="B262" s="1" t="s">
        <v>28</v>
      </c>
      <c r="C262" s="1" t="s">
        <v>57</v>
      </c>
      <c r="D262" s="1" t="s">
        <v>22</v>
      </c>
      <c r="E262" s="1" t="s">
        <v>18</v>
      </c>
      <c r="F262" s="7">
        <v>41719</v>
      </c>
      <c r="G262" s="1" t="s">
        <v>341</v>
      </c>
      <c r="H262" s="7">
        <v>41753</v>
      </c>
      <c r="I262" s="1">
        <f>Europe_Sales_Records[[#This Row],[Ship Date]]-Europe_Sales_Records[[#This Row],[Order Date]]</f>
        <v>34</v>
      </c>
      <c r="J262" s="1">
        <v>2</v>
      </c>
      <c r="K262" s="1">
        <v>668.27</v>
      </c>
      <c r="L262" s="1">
        <v>502.54</v>
      </c>
      <c r="M262" s="1">
        <f>Europe_Sales_Records[[#This Row],[Unit Price]]-Europe_Sales_Records[[#This Row],[Unit Cost]]</f>
        <v>165.72999999999996</v>
      </c>
      <c r="N262" s="1">
        <v>1336.54</v>
      </c>
      <c r="O262" s="6">
        <v>1005.08</v>
      </c>
      <c r="P262" s="1">
        <v>331.46</v>
      </c>
    </row>
    <row r="263" spans="1:16" x14ac:dyDescent="0.3">
      <c r="A263" s="1" t="s">
        <v>14</v>
      </c>
      <c r="B263" s="1" t="s">
        <v>50</v>
      </c>
      <c r="C263" s="1" t="s">
        <v>16</v>
      </c>
      <c r="D263" s="1" t="s">
        <v>17</v>
      </c>
      <c r="E263" s="1" t="s">
        <v>23</v>
      </c>
      <c r="F263" s="7">
        <v>41769</v>
      </c>
      <c r="G263" s="1" t="s">
        <v>342</v>
      </c>
      <c r="H263" s="7">
        <v>41789</v>
      </c>
      <c r="I263" s="1">
        <f>Europe_Sales_Records[[#This Row],[Ship Date]]-Europe_Sales_Records[[#This Row],[Order Date]]</f>
        <v>20</v>
      </c>
      <c r="J263" s="1">
        <v>9559</v>
      </c>
      <c r="K263" s="1">
        <v>47.45</v>
      </c>
      <c r="L263" s="1">
        <v>31.79</v>
      </c>
      <c r="M263" s="1">
        <f>Europe_Sales_Records[[#This Row],[Unit Price]]-Europe_Sales_Records[[#This Row],[Unit Cost]]</f>
        <v>15.660000000000004</v>
      </c>
      <c r="N263" s="1">
        <v>453574.55</v>
      </c>
      <c r="O263" s="6">
        <v>303880.61</v>
      </c>
      <c r="P263" s="1">
        <v>149693.94</v>
      </c>
    </row>
    <row r="264" spans="1:16" x14ac:dyDescent="0.3">
      <c r="A264" s="1" t="s">
        <v>14</v>
      </c>
      <c r="B264" s="1" t="s">
        <v>94</v>
      </c>
      <c r="C264" s="1" t="s">
        <v>33</v>
      </c>
      <c r="D264" s="1" t="s">
        <v>22</v>
      </c>
      <c r="E264" s="1" t="s">
        <v>30</v>
      </c>
      <c r="F264" s="7">
        <v>40606</v>
      </c>
      <c r="G264" s="1" t="s">
        <v>343</v>
      </c>
      <c r="H264" s="7">
        <v>40623</v>
      </c>
      <c r="I264" s="1">
        <f>Europe_Sales_Records[[#This Row],[Ship Date]]-Europe_Sales_Records[[#This Row],[Order Date]]</f>
        <v>17</v>
      </c>
      <c r="J264" s="1">
        <v>5641</v>
      </c>
      <c r="K264" s="1">
        <v>9.33</v>
      </c>
      <c r="L264" s="1">
        <v>6.92</v>
      </c>
      <c r="M264" s="1">
        <f>Europe_Sales_Records[[#This Row],[Unit Price]]-Europe_Sales_Records[[#This Row],[Unit Cost]]</f>
        <v>2.41</v>
      </c>
      <c r="N264" s="1">
        <v>52630.53</v>
      </c>
      <c r="O264" s="6">
        <v>39035.72</v>
      </c>
      <c r="P264" s="1">
        <v>13594.81</v>
      </c>
    </row>
    <row r="265" spans="1:16" x14ac:dyDescent="0.3">
      <c r="A265" s="1" t="s">
        <v>14</v>
      </c>
      <c r="B265" s="1" t="s">
        <v>137</v>
      </c>
      <c r="C265" s="1" t="s">
        <v>52</v>
      </c>
      <c r="D265" s="1" t="s">
        <v>17</v>
      </c>
      <c r="E265" s="1" t="s">
        <v>45</v>
      </c>
      <c r="F265" s="7">
        <v>41605</v>
      </c>
      <c r="G265" s="1" t="s">
        <v>344</v>
      </c>
      <c r="H265" s="7">
        <v>41652</v>
      </c>
      <c r="I265" s="1">
        <f>Europe_Sales_Records[[#This Row],[Ship Date]]-Europe_Sales_Records[[#This Row],[Order Date]]</f>
        <v>47</v>
      </c>
      <c r="J265" s="1">
        <v>7644</v>
      </c>
      <c r="K265" s="1">
        <v>255.28</v>
      </c>
      <c r="L265" s="1">
        <v>159.41999999999999</v>
      </c>
      <c r="M265" s="1">
        <f>Europe_Sales_Records[[#This Row],[Unit Price]]-Europe_Sales_Records[[#This Row],[Unit Cost]]</f>
        <v>95.860000000000014</v>
      </c>
      <c r="N265" s="1">
        <v>1951360.32</v>
      </c>
      <c r="O265" s="6">
        <v>1218606.48</v>
      </c>
      <c r="P265" s="1">
        <v>732753.84</v>
      </c>
    </row>
    <row r="266" spans="1:16" x14ac:dyDescent="0.3">
      <c r="A266" s="1" t="s">
        <v>14</v>
      </c>
      <c r="B266" s="1" t="s">
        <v>54</v>
      </c>
      <c r="C266" s="1" t="s">
        <v>16</v>
      </c>
      <c r="D266" s="1" t="s">
        <v>17</v>
      </c>
      <c r="E266" s="1" t="s">
        <v>18</v>
      </c>
      <c r="F266" s="7">
        <v>41200</v>
      </c>
      <c r="G266" s="1" t="s">
        <v>345</v>
      </c>
      <c r="H266" s="7">
        <v>41234</v>
      </c>
      <c r="I266" s="1">
        <f>Europe_Sales_Records[[#This Row],[Ship Date]]-Europe_Sales_Records[[#This Row],[Order Date]]</f>
        <v>34</v>
      </c>
      <c r="J266" s="1">
        <v>6699</v>
      </c>
      <c r="K266" s="1">
        <v>47.45</v>
      </c>
      <c r="L266" s="1">
        <v>31.79</v>
      </c>
      <c r="M266" s="1">
        <f>Europe_Sales_Records[[#This Row],[Unit Price]]-Europe_Sales_Records[[#This Row],[Unit Cost]]</f>
        <v>15.660000000000004</v>
      </c>
      <c r="N266" s="1">
        <v>317867.55</v>
      </c>
      <c r="O266" s="6">
        <v>212961.21</v>
      </c>
      <c r="P266" s="1">
        <v>104906.34</v>
      </c>
    </row>
    <row r="267" spans="1:16" x14ac:dyDescent="0.3">
      <c r="A267" s="1" t="s">
        <v>14</v>
      </c>
      <c r="B267" s="1" t="s">
        <v>137</v>
      </c>
      <c r="C267" s="1" t="s">
        <v>60</v>
      </c>
      <c r="D267" s="1" t="s">
        <v>17</v>
      </c>
      <c r="E267" s="1" t="s">
        <v>23</v>
      </c>
      <c r="F267" s="7">
        <v>40965</v>
      </c>
      <c r="G267" s="1" t="s">
        <v>346</v>
      </c>
      <c r="H267" s="7">
        <v>40986</v>
      </c>
      <c r="I267" s="1">
        <f>Europe_Sales_Records[[#This Row],[Ship Date]]-Europe_Sales_Records[[#This Row],[Order Date]]</f>
        <v>21</v>
      </c>
      <c r="J267" s="1">
        <v>9569</v>
      </c>
      <c r="K267" s="1">
        <v>437.2</v>
      </c>
      <c r="L267" s="1">
        <v>263.33</v>
      </c>
      <c r="M267" s="1">
        <f>Europe_Sales_Records[[#This Row],[Unit Price]]-Europe_Sales_Records[[#This Row],[Unit Cost]]</f>
        <v>173.87</v>
      </c>
      <c r="N267" s="1">
        <v>4183566.8</v>
      </c>
      <c r="O267" s="6">
        <v>2519804.77</v>
      </c>
      <c r="P267" s="1">
        <v>1663762.03</v>
      </c>
    </row>
    <row r="268" spans="1:16" x14ac:dyDescent="0.3">
      <c r="A268" s="1" t="s">
        <v>14</v>
      </c>
      <c r="B268" s="1" t="s">
        <v>120</v>
      </c>
      <c r="C268" s="1" t="s">
        <v>60</v>
      </c>
      <c r="D268" s="1" t="s">
        <v>17</v>
      </c>
      <c r="E268" s="1" t="s">
        <v>45</v>
      </c>
      <c r="F268" s="7">
        <v>41063</v>
      </c>
      <c r="G268" s="1" t="s">
        <v>347</v>
      </c>
      <c r="H268" s="7">
        <v>41095</v>
      </c>
      <c r="I268" s="1">
        <f>Europe_Sales_Records[[#This Row],[Ship Date]]-Europe_Sales_Records[[#This Row],[Order Date]]</f>
        <v>32</v>
      </c>
      <c r="J268" s="1">
        <v>1723</v>
      </c>
      <c r="K268" s="1">
        <v>437.2</v>
      </c>
      <c r="L268" s="1">
        <v>263.33</v>
      </c>
      <c r="M268" s="1">
        <f>Europe_Sales_Records[[#This Row],[Unit Price]]-Europe_Sales_Records[[#This Row],[Unit Cost]]</f>
        <v>173.87</v>
      </c>
      <c r="N268" s="1">
        <v>753295.6</v>
      </c>
      <c r="O268" s="6">
        <v>453717.59</v>
      </c>
      <c r="P268" s="1">
        <v>299578.01</v>
      </c>
    </row>
    <row r="269" spans="1:16" x14ac:dyDescent="0.3">
      <c r="A269" s="1" t="s">
        <v>14</v>
      </c>
      <c r="B269" s="1" t="s">
        <v>50</v>
      </c>
      <c r="C269" s="1" t="s">
        <v>52</v>
      </c>
      <c r="D269" s="1" t="s">
        <v>17</v>
      </c>
      <c r="E269" s="1" t="s">
        <v>30</v>
      </c>
      <c r="F269" s="7">
        <v>40589</v>
      </c>
      <c r="G269" s="1" t="s">
        <v>348</v>
      </c>
      <c r="H269" s="7">
        <v>40629</v>
      </c>
      <c r="I269" s="1">
        <f>Europe_Sales_Records[[#This Row],[Ship Date]]-Europe_Sales_Records[[#This Row],[Order Date]]</f>
        <v>40</v>
      </c>
      <c r="J269" s="1">
        <v>1856</v>
      </c>
      <c r="K269" s="1">
        <v>255.28</v>
      </c>
      <c r="L269" s="1">
        <v>159.41999999999999</v>
      </c>
      <c r="M269" s="1">
        <f>Europe_Sales_Records[[#This Row],[Unit Price]]-Europe_Sales_Records[[#This Row],[Unit Cost]]</f>
        <v>95.860000000000014</v>
      </c>
      <c r="N269" s="1">
        <v>473799.67999999999</v>
      </c>
      <c r="O269" s="6">
        <v>295883.52000000002</v>
      </c>
      <c r="P269" s="1">
        <v>177916.16</v>
      </c>
    </row>
    <row r="270" spans="1:16" x14ac:dyDescent="0.3">
      <c r="A270" s="1" t="s">
        <v>14</v>
      </c>
      <c r="B270" s="1" t="s">
        <v>232</v>
      </c>
      <c r="C270" s="1" t="s">
        <v>48</v>
      </c>
      <c r="D270" s="1" t="s">
        <v>17</v>
      </c>
      <c r="E270" s="1" t="s">
        <v>30</v>
      </c>
      <c r="F270" s="7">
        <v>42757</v>
      </c>
      <c r="G270" s="1" t="s">
        <v>349</v>
      </c>
      <c r="H270" s="7">
        <v>42801</v>
      </c>
      <c r="I270" s="1">
        <f>Europe_Sales_Records[[#This Row],[Ship Date]]-Europe_Sales_Records[[#This Row],[Order Date]]</f>
        <v>44</v>
      </c>
      <c r="J270" s="1">
        <v>6191</v>
      </c>
      <c r="K270" s="1">
        <v>152.58000000000001</v>
      </c>
      <c r="L270" s="1">
        <v>97.44</v>
      </c>
      <c r="M270" s="1">
        <f>Europe_Sales_Records[[#This Row],[Unit Price]]-Europe_Sales_Records[[#This Row],[Unit Cost]]</f>
        <v>55.140000000000015</v>
      </c>
      <c r="N270" s="1">
        <v>944622.78</v>
      </c>
      <c r="O270" s="6">
        <v>603251.04</v>
      </c>
      <c r="P270" s="1">
        <v>341371.74</v>
      </c>
    </row>
    <row r="271" spans="1:16" x14ac:dyDescent="0.3">
      <c r="A271" s="1" t="s">
        <v>14</v>
      </c>
      <c r="B271" s="1" t="s">
        <v>129</v>
      </c>
      <c r="C271" s="1" t="s">
        <v>33</v>
      </c>
      <c r="D271" s="1" t="s">
        <v>17</v>
      </c>
      <c r="E271" s="1" t="s">
        <v>45</v>
      </c>
      <c r="F271" s="7">
        <v>42169</v>
      </c>
      <c r="G271" s="1" t="s">
        <v>350</v>
      </c>
      <c r="H271" s="7">
        <v>42175</v>
      </c>
      <c r="I271" s="1">
        <f>Europe_Sales_Records[[#This Row],[Ship Date]]-Europe_Sales_Records[[#This Row],[Order Date]]</f>
        <v>6</v>
      </c>
      <c r="J271" s="1">
        <v>9034</v>
      </c>
      <c r="K271" s="1">
        <v>9.33</v>
      </c>
      <c r="L271" s="1">
        <v>6.92</v>
      </c>
      <c r="M271" s="1">
        <f>Europe_Sales_Records[[#This Row],[Unit Price]]-Europe_Sales_Records[[#This Row],[Unit Cost]]</f>
        <v>2.41</v>
      </c>
      <c r="N271" s="1">
        <v>84287.22</v>
      </c>
      <c r="O271" s="6">
        <v>62515.28</v>
      </c>
      <c r="P271" s="1">
        <v>21771.94</v>
      </c>
    </row>
    <row r="272" spans="1:16" x14ac:dyDescent="0.3">
      <c r="A272" s="1" t="s">
        <v>14</v>
      </c>
      <c r="B272" s="1" t="s">
        <v>75</v>
      </c>
      <c r="C272" s="1" t="s">
        <v>29</v>
      </c>
      <c r="D272" s="1" t="s">
        <v>22</v>
      </c>
      <c r="E272" s="1" t="s">
        <v>45</v>
      </c>
      <c r="F272" s="7">
        <v>40277</v>
      </c>
      <c r="G272" s="1" t="s">
        <v>351</v>
      </c>
      <c r="H272" s="7">
        <v>40302</v>
      </c>
      <c r="I272" s="1">
        <f>Europe_Sales_Records[[#This Row],[Ship Date]]-Europe_Sales_Records[[#This Row],[Order Date]]</f>
        <v>25</v>
      </c>
      <c r="J272" s="1">
        <v>9736</v>
      </c>
      <c r="K272" s="1">
        <v>651.21</v>
      </c>
      <c r="L272" s="1">
        <v>524.96</v>
      </c>
      <c r="M272" s="1">
        <f>Europe_Sales_Records[[#This Row],[Unit Price]]-Europe_Sales_Records[[#This Row],[Unit Cost]]</f>
        <v>126.25</v>
      </c>
      <c r="N272" s="1">
        <v>6340180.5599999996</v>
      </c>
      <c r="O272" s="6">
        <v>5111010.5599999996</v>
      </c>
      <c r="P272" s="1">
        <v>1229170</v>
      </c>
    </row>
    <row r="273" spans="1:16" x14ac:dyDescent="0.3">
      <c r="A273" s="1" t="s">
        <v>14</v>
      </c>
      <c r="B273" s="1" t="s">
        <v>164</v>
      </c>
      <c r="C273" s="1" t="s">
        <v>60</v>
      </c>
      <c r="D273" s="1" t="s">
        <v>22</v>
      </c>
      <c r="E273" s="1" t="s">
        <v>45</v>
      </c>
      <c r="F273" s="7">
        <v>42154</v>
      </c>
      <c r="G273" s="1" t="s">
        <v>352</v>
      </c>
      <c r="H273" s="7">
        <v>42202</v>
      </c>
      <c r="I273" s="1">
        <f>Europe_Sales_Records[[#This Row],[Ship Date]]-Europe_Sales_Records[[#This Row],[Order Date]]</f>
        <v>48</v>
      </c>
      <c r="J273" s="1">
        <v>5769</v>
      </c>
      <c r="K273" s="1">
        <v>437.2</v>
      </c>
      <c r="L273" s="1">
        <v>263.33</v>
      </c>
      <c r="M273" s="1">
        <f>Europe_Sales_Records[[#This Row],[Unit Price]]-Europe_Sales_Records[[#This Row],[Unit Cost]]</f>
        <v>173.87</v>
      </c>
      <c r="N273" s="1">
        <v>2522206.7999999998</v>
      </c>
      <c r="O273" s="6">
        <v>1519150.77</v>
      </c>
      <c r="P273" s="1">
        <v>1003056.03</v>
      </c>
    </row>
    <row r="274" spans="1:16" x14ac:dyDescent="0.3">
      <c r="A274" s="1" t="s">
        <v>14</v>
      </c>
      <c r="B274" s="1" t="s">
        <v>127</v>
      </c>
      <c r="C274" s="1" t="s">
        <v>21</v>
      </c>
      <c r="D274" s="1" t="s">
        <v>22</v>
      </c>
      <c r="E274" s="1" t="s">
        <v>23</v>
      </c>
      <c r="F274" s="7">
        <v>42116</v>
      </c>
      <c r="G274" s="1" t="s">
        <v>353</v>
      </c>
      <c r="H274" s="7">
        <v>42149</v>
      </c>
      <c r="I274" s="1">
        <f>Europe_Sales_Records[[#This Row],[Ship Date]]-Europe_Sales_Records[[#This Row],[Order Date]]</f>
        <v>33</v>
      </c>
      <c r="J274" s="1">
        <v>5386</v>
      </c>
      <c r="K274" s="1">
        <v>109.28</v>
      </c>
      <c r="L274" s="1">
        <v>35.840000000000003</v>
      </c>
      <c r="M274" s="1">
        <f>Europe_Sales_Records[[#This Row],[Unit Price]]-Europe_Sales_Records[[#This Row],[Unit Cost]]</f>
        <v>73.44</v>
      </c>
      <c r="N274" s="1">
        <v>588582.07999999996</v>
      </c>
      <c r="O274" s="6">
        <v>193034.23999999999</v>
      </c>
      <c r="P274" s="1">
        <v>395547.84</v>
      </c>
    </row>
    <row r="275" spans="1:16" x14ac:dyDescent="0.3">
      <c r="A275" s="1" t="s">
        <v>14</v>
      </c>
      <c r="B275" s="1" t="s">
        <v>101</v>
      </c>
      <c r="C275" s="1" t="s">
        <v>57</v>
      </c>
      <c r="D275" s="1" t="s">
        <v>22</v>
      </c>
      <c r="E275" s="1" t="s">
        <v>45</v>
      </c>
      <c r="F275" s="7">
        <v>40933</v>
      </c>
      <c r="G275" s="1" t="s">
        <v>354</v>
      </c>
      <c r="H275" s="7">
        <v>40965</v>
      </c>
      <c r="I275" s="1">
        <f>Europe_Sales_Records[[#This Row],[Ship Date]]-Europe_Sales_Records[[#This Row],[Order Date]]</f>
        <v>32</v>
      </c>
      <c r="J275" s="1">
        <v>2738</v>
      </c>
      <c r="K275" s="1">
        <v>668.27</v>
      </c>
      <c r="L275" s="1">
        <v>502.54</v>
      </c>
      <c r="M275" s="1">
        <f>Europe_Sales_Records[[#This Row],[Unit Price]]-Europe_Sales_Records[[#This Row],[Unit Cost]]</f>
        <v>165.72999999999996</v>
      </c>
      <c r="N275" s="1">
        <v>1829723.26</v>
      </c>
      <c r="O275" s="6">
        <v>1375954.52</v>
      </c>
      <c r="P275" s="1">
        <v>453768.74</v>
      </c>
    </row>
    <row r="276" spans="1:16" x14ac:dyDescent="0.3">
      <c r="A276" s="1" t="s">
        <v>14</v>
      </c>
      <c r="B276" s="1" t="s">
        <v>176</v>
      </c>
      <c r="C276" s="1" t="s">
        <v>21</v>
      </c>
      <c r="D276" s="1" t="s">
        <v>17</v>
      </c>
      <c r="E276" s="1" t="s">
        <v>23</v>
      </c>
      <c r="F276" s="7">
        <v>42163</v>
      </c>
      <c r="G276" s="1" t="s">
        <v>355</v>
      </c>
      <c r="H276" s="7">
        <v>42210</v>
      </c>
      <c r="I276" s="1">
        <f>Europe_Sales_Records[[#This Row],[Ship Date]]-Europe_Sales_Records[[#This Row],[Order Date]]</f>
        <v>47</v>
      </c>
      <c r="J276" s="1">
        <v>9773</v>
      </c>
      <c r="K276" s="1">
        <v>109.28</v>
      </c>
      <c r="L276" s="1">
        <v>35.840000000000003</v>
      </c>
      <c r="M276" s="1">
        <f>Europe_Sales_Records[[#This Row],[Unit Price]]-Europe_Sales_Records[[#This Row],[Unit Cost]]</f>
        <v>73.44</v>
      </c>
      <c r="N276" s="1">
        <v>1067993.44</v>
      </c>
      <c r="O276" s="6">
        <v>350264.32000000001</v>
      </c>
      <c r="P276" s="1">
        <v>717729.12</v>
      </c>
    </row>
    <row r="277" spans="1:16" x14ac:dyDescent="0.3">
      <c r="A277" s="1" t="s">
        <v>14</v>
      </c>
      <c r="B277" s="1" t="s">
        <v>180</v>
      </c>
      <c r="C277" s="1" t="s">
        <v>16</v>
      </c>
      <c r="D277" s="1" t="s">
        <v>22</v>
      </c>
      <c r="E277" s="1" t="s">
        <v>18</v>
      </c>
      <c r="F277" s="7">
        <v>41834</v>
      </c>
      <c r="G277" s="1" t="s">
        <v>356</v>
      </c>
      <c r="H277" s="7">
        <v>41848</v>
      </c>
      <c r="I277" s="1">
        <f>Europe_Sales_Records[[#This Row],[Ship Date]]-Europe_Sales_Records[[#This Row],[Order Date]]</f>
        <v>14</v>
      </c>
      <c r="J277" s="1">
        <v>5875</v>
      </c>
      <c r="K277" s="1">
        <v>47.45</v>
      </c>
      <c r="L277" s="1">
        <v>31.79</v>
      </c>
      <c r="M277" s="1">
        <f>Europe_Sales_Records[[#This Row],[Unit Price]]-Europe_Sales_Records[[#This Row],[Unit Cost]]</f>
        <v>15.660000000000004</v>
      </c>
      <c r="N277" s="1">
        <v>278768.75</v>
      </c>
      <c r="O277" s="6">
        <v>186766.25</v>
      </c>
      <c r="P277" s="1">
        <v>92002.5</v>
      </c>
    </row>
    <row r="278" spans="1:16" x14ac:dyDescent="0.3">
      <c r="A278" s="1" t="s">
        <v>14</v>
      </c>
      <c r="B278" s="1" t="s">
        <v>75</v>
      </c>
      <c r="C278" s="1" t="s">
        <v>33</v>
      </c>
      <c r="D278" s="1" t="s">
        <v>22</v>
      </c>
      <c r="E278" s="1" t="s">
        <v>30</v>
      </c>
      <c r="F278" s="7">
        <v>40196</v>
      </c>
      <c r="G278" s="1" t="s">
        <v>357</v>
      </c>
      <c r="H278" s="7">
        <v>40218</v>
      </c>
      <c r="I278" s="1">
        <f>Europe_Sales_Records[[#This Row],[Ship Date]]-Europe_Sales_Records[[#This Row],[Order Date]]</f>
        <v>22</v>
      </c>
      <c r="J278" s="1">
        <v>723</v>
      </c>
      <c r="K278" s="1">
        <v>9.33</v>
      </c>
      <c r="L278" s="1">
        <v>6.92</v>
      </c>
      <c r="M278" s="1">
        <f>Europe_Sales_Records[[#This Row],[Unit Price]]-Europe_Sales_Records[[#This Row],[Unit Cost]]</f>
        <v>2.41</v>
      </c>
      <c r="N278" s="1">
        <v>6745.59</v>
      </c>
      <c r="O278" s="6">
        <v>5003.16</v>
      </c>
      <c r="P278" s="1">
        <v>1742.43</v>
      </c>
    </row>
    <row r="279" spans="1:16" x14ac:dyDescent="0.3">
      <c r="A279" s="1" t="s">
        <v>14</v>
      </c>
      <c r="B279" s="1" t="s">
        <v>84</v>
      </c>
      <c r="C279" s="1" t="s">
        <v>21</v>
      </c>
      <c r="D279" s="1" t="s">
        <v>17</v>
      </c>
      <c r="E279" s="1" t="s">
        <v>45</v>
      </c>
      <c r="F279" s="7">
        <v>42690</v>
      </c>
      <c r="G279" s="1" t="s">
        <v>358</v>
      </c>
      <c r="H279" s="7">
        <v>42699</v>
      </c>
      <c r="I279" s="1">
        <f>Europe_Sales_Records[[#This Row],[Ship Date]]-Europe_Sales_Records[[#This Row],[Order Date]]</f>
        <v>9</v>
      </c>
      <c r="J279" s="1">
        <v>8790</v>
      </c>
      <c r="K279" s="1">
        <v>109.28</v>
      </c>
      <c r="L279" s="1">
        <v>35.840000000000003</v>
      </c>
      <c r="M279" s="1">
        <f>Europe_Sales_Records[[#This Row],[Unit Price]]-Europe_Sales_Records[[#This Row],[Unit Cost]]</f>
        <v>73.44</v>
      </c>
      <c r="N279" s="1">
        <v>960571.2</v>
      </c>
      <c r="O279" s="6">
        <v>315033.59999999998</v>
      </c>
      <c r="P279" s="1">
        <v>645537.6</v>
      </c>
    </row>
    <row r="280" spans="1:16" x14ac:dyDescent="0.3">
      <c r="A280" s="1" t="s">
        <v>14</v>
      </c>
      <c r="B280" s="1" t="s">
        <v>157</v>
      </c>
      <c r="C280" s="1" t="s">
        <v>57</v>
      </c>
      <c r="D280" s="1" t="s">
        <v>22</v>
      </c>
      <c r="E280" s="1" t="s">
        <v>23</v>
      </c>
      <c r="F280" s="7">
        <v>41575</v>
      </c>
      <c r="G280" s="1" t="s">
        <v>359</v>
      </c>
      <c r="H280" s="7">
        <v>41589</v>
      </c>
      <c r="I280" s="1">
        <f>Europe_Sales_Records[[#This Row],[Ship Date]]-Europe_Sales_Records[[#This Row],[Order Date]]</f>
        <v>14</v>
      </c>
      <c r="J280" s="1">
        <v>5258</v>
      </c>
      <c r="K280" s="1">
        <v>668.27</v>
      </c>
      <c r="L280" s="1">
        <v>502.54</v>
      </c>
      <c r="M280" s="1">
        <f>Europe_Sales_Records[[#This Row],[Unit Price]]-Europe_Sales_Records[[#This Row],[Unit Cost]]</f>
        <v>165.72999999999996</v>
      </c>
      <c r="N280" s="1">
        <v>3513763.66</v>
      </c>
      <c r="O280" s="6">
        <v>2642355.3199999998</v>
      </c>
      <c r="P280" s="1">
        <v>871408.34</v>
      </c>
    </row>
    <row r="281" spans="1:16" x14ac:dyDescent="0.3">
      <c r="A281" s="1" t="s">
        <v>14</v>
      </c>
      <c r="B281" s="1" t="s">
        <v>150</v>
      </c>
      <c r="C281" s="1" t="s">
        <v>16</v>
      </c>
      <c r="D281" s="1" t="s">
        <v>22</v>
      </c>
      <c r="E281" s="1" t="s">
        <v>45</v>
      </c>
      <c r="F281" s="7">
        <v>40409</v>
      </c>
      <c r="G281" s="1" t="s">
        <v>360</v>
      </c>
      <c r="H281" s="7">
        <v>40432</v>
      </c>
      <c r="I281" s="1">
        <f>Europe_Sales_Records[[#This Row],[Ship Date]]-Europe_Sales_Records[[#This Row],[Order Date]]</f>
        <v>23</v>
      </c>
      <c r="J281" s="1">
        <v>7955</v>
      </c>
      <c r="K281" s="1">
        <v>47.45</v>
      </c>
      <c r="L281" s="1">
        <v>31.79</v>
      </c>
      <c r="M281" s="1">
        <f>Europe_Sales_Records[[#This Row],[Unit Price]]-Europe_Sales_Records[[#This Row],[Unit Cost]]</f>
        <v>15.660000000000004</v>
      </c>
      <c r="N281" s="1">
        <v>377464.75</v>
      </c>
      <c r="O281" s="6">
        <v>252889.45</v>
      </c>
      <c r="P281" s="1">
        <v>124575.3</v>
      </c>
    </row>
    <row r="282" spans="1:16" x14ac:dyDescent="0.3">
      <c r="A282" s="1" t="s">
        <v>14</v>
      </c>
      <c r="B282" s="1" t="s">
        <v>32</v>
      </c>
      <c r="C282" s="1" t="s">
        <v>21</v>
      </c>
      <c r="D282" s="1" t="s">
        <v>17</v>
      </c>
      <c r="E282" s="1" t="s">
        <v>30</v>
      </c>
      <c r="F282" s="7">
        <v>42393</v>
      </c>
      <c r="G282" s="1" t="s">
        <v>361</v>
      </c>
      <c r="H282" s="7">
        <v>42396</v>
      </c>
      <c r="I282" s="1">
        <f>Europe_Sales_Records[[#This Row],[Ship Date]]-Europe_Sales_Records[[#This Row],[Order Date]]</f>
        <v>3</v>
      </c>
      <c r="J282" s="1">
        <v>7147</v>
      </c>
      <c r="K282" s="1">
        <v>109.28</v>
      </c>
      <c r="L282" s="1">
        <v>35.840000000000003</v>
      </c>
      <c r="M282" s="1">
        <f>Europe_Sales_Records[[#This Row],[Unit Price]]-Europe_Sales_Records[[#This Row],[Unit Cost]]</f>
        <v>73.44</v>
      </c>
      <c r="N282" s="1">
        <v>781024.16</v>
      </c>
      <c r="O282" s="6">
        <v>256148.48000000001</v>
      </c>
      <c r="P282" s="1">
        <v>524875.68000000005</v>
      </c>
    </row>
    <row r="283" spans="1:16" x14ac:dyDescent="0.3">
      <c r="A283" s="1" t="s">
        <v>14</v>
      </c>
      <c r="B283" s="1" t="s">
        <v>150</v>
      </c>
      <c r="C283" s="1" t="s">
        <v>16</v>
      </c>
      <c r="D283" s="1" t="s">
        <v>17</v>
      </c>
      <c r="E283" s="1" t="s">
        <v>30</v>
      </c>
      <c r="F283" s="7">
        <v>40191</v>
      </c>
      <c r="G283" s="1" t="s">
        <v>362</v>
      </c>
      <c r="H283" s="7">
        <v>40229</v>
      </c>
      <c r="I283" s="1">
        <f>Europe_Sales_Records[[#This Row],[Ship Date]]-Europe_Sales_Records[[#This Row],[Order Date]]</f>
        <v>38</v>
      </c>
      <c r="J283" s="1">
        <v>1255</v>
      </c>
      <c r="K283" s="1">
        <v>47.45</v>
      </c>
      <c r="L283" s="1">
        <v>31.79</v>
      </c>
      <c r="M283" s="1">
        <f>Europe_Sales_Records[[#This Row],[Unit Price]]-Europe_Sales_Records[[#This Row],[Unit Cost]]</f>
        <v>15.660000000000004</v>
      </c>
      <c r="N283" s="1">
        <v>59549.75</v>
      </c>
      <c r="O283" s="6">
        <v>39896.449999999997</v>
      </c>
      <c r="P283" s="1">
        <v>19653.3</v>
      </c>
    </row>
    <row r="284" spans="1:16" x14ac:dyDescent="0.3">
      <c r="A284" s="1" t="s">
        <v>14</v>
      </c>
      <c r="B284" s="1" t="s">
        <v>180</v>
      </c>
      <c r="C284" s="1" t="s">
        <v>16</v>
      </c>
      <c r="D284" s="1" t="s">
        <v>17</v>
      </c>
      <c r="E284" s="1" t="s">
        <v>23</v>
      </c>
      <c r="F284" s="7">
        <v>40704</v>
      </c>
      <c r="G284" s="1" t="s">
        <v>363</v>
      </c>
      <c r="H284" s="7">
        <v>40727</v>
      </c>
      <c r="I284" s="1">
        <f>Europe_Sales_Records[[#This Row],[Ship Date]]-Europe_Sales_Records[[#This Row],[Order Date]]</f>
        <v>23</v>
      </c>
      <c r="J284" s="1">
        <v>2227</v>
      </c>
      <c r="K284" s="1">
        <v>47.45</v>
      </c>
      <c r="L284" s="1">
        <v>31.79</v>
      </c>
      <c r="M284" s="1">
        <f>Europe_Sales_Records[[#This Row],[Unit Price]]-Europe_Sales_Records[[#This Row],[Unit Cost]]</f>
        <v>15.660000000000004</v>
      </c>
      <c r="N284" s="1">
        <v>105671.15</v>
      </c>
      <c r="O284" s="6">
        <v>70796.33</v>
      </c>
      <c r="P284" s="1">
        <v>34874.82</v>
      </c>
    </row>
    <row r="285" spans="1:16" x14ac:dyDescent="0.3">
      <c r="A285" s="1" t="s">
        <v>14</v>
      </c>
      <c r="B285" s="1" t="s">
        <v>65</v>
      </c>
      <c r="C285" s="1" t="s">
        <v>39</v>
      </c>
      <c r="D285" s="1" t="s">
        <v>17</v>
      </c>
      <c r="E285" s="1" t="s">
        <v>23</v>
      </c>
      <c r="F285" s="7">
        <v>41330</v>
      </c>
      <c r="G285" s="1" t="s">
        <v>364</v>
      </c>
      <c r="H285" s="7">
        <v>41333</v>
      </c>
      <c r="I285" s="1">
        <f>Europe_Sales_Records[[#This Row],[Ship Date]]-Europe_Sales_Records[[#This Row],[Order Date]]</f>
        <v>3</v>
      </c>
      <c r="J285" s="1">
        <v>2973</v>
      </c>
      <c r="K285" s="1">
        <v>154.06</v>
      </c>
      <c r="L285" s="1">
        <v>90.93</v>
      </c>
      <c r="M285" s="1">
        <f>Europe_Sales_Records[[#This Row],[Unit Price]]-Europe_Sales_Records[[#This Row],[Unit Cost]]</f>
        <v>63.129999999999995</v>
      </c>
      <c r="N285" s="1">
        <v>458020.38</v>
      </c>
      <c r="O285" s="6">
        <v>270334.89</v>
      </c>
      <c r="P285" s="1">
        <v>187685.49</v>
      </c>
    </row>
    <row r="286" spans="1:16" x14ac:dyDescent="0.3">
      <c r="A286" s="1" t="s">
        <v>14</v>
      </c>
      <c r="B286" s="1" t="s">
        <v>71</v>
      </c>
      <c r="C286" s="1" t="s">
        <v>57</v>
      </c>
      <c r="D286" s="1" t="s">
        <v>22</v>
      </c>
      <c r="E286" s="1" t="s">
        <v>18</v>
      </c>
      <c r="F286" s="7">
        <v>42237</v>
      </c>
      <c r="G286" s="1" t="s">
        <v>365</v>
      </c>
      <c r="H286" s="7">
        <v>42268</v>
      </c>
      <c r="I286" s="1">
        <f>Europe_Sales_Records[[#This Row],[Ship Date]]-Europe_Sales_Records[[#This Row],[Order Date]]</f>
        <v>31</v>
      </c>
      <c r="J286" s="1">
        <v>7658</v>
      </c>
      <c r="K286" s="1">
        <v>668.27</v>
      </c>
      <c r="L286" s="1">
        <v>502.54</v>
      </c>
      <c r="M286" s="1">
        <f>Europe_Sales_Records[[#This Row],[Unit Price]]-Europe_Sales_Records[[#This Row],[Unit Cost]]</f>
        <v>165.72999999999996</v>
      </c>
      <c r="N286" s="1">
        <v>5117611.66</v>
      </c>
      <c r="O286" s="6">
        <v>3848451.32</v>
      </c>
      <c r="P286" s="1">
        <v>1269160.3400000001</v>
      </c>
    </row>
    <row r="287" spans="1:16" x14ac:dyDescent="0.3">
      <c r="A287" s="1" t="s">
        <v>14</v>
      </c>
      <c r="B287" s="1" t="s">
        <v>81</v>
      </c>
      <c r="C287" s="1" t="s">
        <v>16</v>
      </c>
      <c r="D287" s="1" t="s">
        <v>22</v>
      </c>
      <c r="E287" s="1" t="s">
        <v>23</v>
      </c>
      <c r="F287" s="7">
        <v>41616</v>
      </c>
      <c r="G287" s="1" t="s">
        <v>366</v>
      </c>
      <c r="H287" s="7">
        <v>41643</v>
      </c>
      <c r="I287" s="1">
        <f>Europe_Sales_Records[[#This Row],[Ship Date]]-Europe_Sales_Records[[#This Row],[Order Date]]</f>
        <v>27</v>
      </c>
      <c r="J287" s="1">
        <v>8383</v>
      </c>
      <c r="K287" s="1">
        <v>47.45</v>
      </c>
      <c r="L287" s="1">
        <v>31.79</v>
      </c>
      <c r="M287" s="1">
        <f>Europe_Sales_Records[[#This Row],[Unit Price]]-Europe_Sales_Records[[#This Row],[Unit Cost]]</f>
        <v>15.660000000000004</v>
      </c>
      <c r="N287" s="1">
        <v>397773.35</v>
      </c>
      <c r="O287" s="6">
        <v>266495.57</v>
      </c>
      <c r="P287" s="1">
        <v>131277.78</v>
      </c>
    </row>
    <row r="288" spans="1:16" x14ac:dyDescent="0.3">
      <c r="A288" s="1" t="s">
        <v>14</v>
      </c>
      <c r="B288" s="1" t="s">
        <v>150</v>
      </c>
      <c r="C288" s="1" t="s">
        <v>57</v>
      </c>
      <c r="D288" s="1" t="s">
        <v>22</v>
      </c>
      <c r="E288" s="1" t="s">
        <v>45</v>
      </c>
      <c r="F288" s="7">
        <v>42689</v>
      </c>
      <c r="G288" s="1" t="s">
        <v>367</v>
      </c>
      <c r="H288" s="7">
        <v>42720</v>
      </c>
      <c r="I288" s="1">
        <f>Europe_Sales_Records[[#This Row],[Ship Date]]-Europe_Sales_Records[[#This Row],[Order Date]]</f>
        <v>31</v>
      </c>
      <c r="J288" s="1">
        <v>4348</v>
      </c>
      <c r="K288" s="1">
        <v>668.27</v>
      </c>
      <c r="L288" s="1">
        <v>502.54</v>
      </c>
      <c r="M288" s="1">
        <f>Europe_Sales_Records[[#This Row],[Unit Price]]-Europe_Sales_Records[[#This Row],[Unit Cost]]</f>
        <v>165.72999999999996</v>
      </c>
      <c r="N288" s="1">
        <v>2905637.96</v>
      </c>
      <c r="O288" s="6">
        <v>2185043.92</v>
      </c>
      <c r="P288" s="1">
        <v>720594.04</v>
      </c>
    </row>
    <row r="289" spans="1:16" x14ac:dyDescent="0.3">
      <c r="A289" s="1" t="s">
        <v>14</v>
      </c>
      <c r="B289" s="1" t="s">
        <v>150</v>
      </c>
      <c r="C289" s="1" t="s">
        <v>52</v>
      </c>
      <c r="D289" s="1" t="s">
        <v>22</v>
      </c>
      <c r="E289" s="1" t="s">
        <v>23</v>
      </c>
      <c r="F289" s="7">
        <v>42667</v>
      </c>
      <c r="G289" s="1" t="s">
        <v>368</v>
      </c>
      <c r="H289" s="7">
        <v>42700</v>
      </c>
      <c r="I289" s="1">
        <f>Europe_Sales_Records[[#This Row],[Ship Date]]-Europe_Sales_Records[[#This Row],[Order Date]]</f>
        <v>33</v>
      </c>
      <c r="J289" s="1">
        <v>7170</v>
      </c>
      <c r="K289" s="1">
        <v>255.28</v>
      </c>
      <c r="L289" s="1">
        <v>159.41999999999999</v>
      </c>
      <c r="M289" s="1">
        <f>Europe_Sales_Records[[#This Row],[Unit Price]]-Europe_Sales_Records[[#This Row],[Unit Cost]]</f>
        <v>95.860000000000014</v>
      </c>
      <c r="N289" s="1">
        <v>1830357.6</v>
      </c>
      <c r="O289" s="6">
        <v>1143041.3999999999</v>
      </c>
      <c r="P289" s="1">
        <v>687316.2</v>
      </c>
    </row>
    <row r="290" spans="1:16" x14ac:dyDescent="0.3">
      <c r="A290" s="1" t="s">
        <v>14</v>
      </c>
      <c r="B290" s="1" t="s">
        <v>77</v>
      </c>
      <c r="C290" s="1" t="s">
        <v>57</v>
      </c>
      <c r="D290" s="1" t="s">
        <v>22</v>
      </c>
      <c r="E290" s="1" t="s">
        <v>45</v>
      </c>
      <c r="F290" s="7">
        <v>40430</v>
      </c>
      <c r="G290" s="1" t="s">
        <v>369</v>
      </c>
      <c r="H290" s="7">
        <v>40434</v>
      </c>
      <c r="I290" s="1">
        <f>Europe_Sales_Records[[#This Row],[Ship Date]]-Europe_Sales_Records[[#This Row],[Order Date]]</f>
        <v>4</v>
      </c>
      <c r="J290" s="1">
        <v>3062</v>
      </c>
      <c r="K290" s="1">
        <v>668.27</v>
      </c>
      <c r="L290" s="1">
        <v>502.54</v>
      </c>
      <c r="M290" s="1">
        <f>Europe_Sales_Records[[#This Row],[Unit Price]]-Europe_Sales_Records[[#This Row],[Unit Cost]]</f>
        <v>165.72999999999996</v>
      </c>
      <c r="N290" s="1">
        <v>2046242.74</v>
      </c>
      <c r="O290" s="6">
        <v>1538777.48</v>
      </c>
      <c r="P290" s="1">
        <v>507465.26</v>
      </c>
    </row>
    <row r="291" spans="1:16" x14ac:dyDescent="0.3">
      <c r="A291" s="1" t="s">
        <v>14</v>
      </c>
      <c r="B291" s="1" t="s">
        <v>15</v>
      </c>
      <c r="C291" s="1" t="s">
        <v>33</v>
      </c>
      <c r="D291" s="1" t="s">
        <v>17</v>
      </c>
      <c r="E291" s="1" t="s">
        <v>23</v>
      </c>
      <c r="F291" s="7">
        <v>41967</v>
      </c>
      <c r="G291" s="1" t="s">
        <v>370</v>
      </c>
      <c r="H291" s="7">
        <v>41970</v>
      </c>
      <c r="I291" s="1">
        <f>Europe_Sales_Records[[#This Row],[Ship Date]]-Europe_Sales_Records[[#This Row],[Order Date]]</f>
        <v>3</v>
      </c>
      <c r="J291" s="1">
        <v>6956</v>
      </c>
      <c r="K291" s="1">
        <v>9.33</v>
      </c>
      <c r="L291" s="1">
        <v>6.92</v>
      </c>
      <c r="M291" s="1">
        <f>Europe_Sales_Records[[#This Row],[Unit Price]]-Europe_Sales_Records[[#This Row],[Unit Cost]]</f>
        <v>2.41</v>
      </c>
      <c r="N291" s="1">
        <v>64899.48</v>
      </c>
      <c r="O291" s="6">
        <v>48135.519999999997</v>
      </c>
      <c r="P291" s="1">
        <v>16763.96</v>
      </c>
    </row>
    <row r="292" spans="1:16" x14ac:dyDescent="0.3">
      <c r="A292" s="1" t="s">
        <v>14</v>
      </c>
      <c r="B292" s="1" t="s">
        <v>99</v>
      </c>
      <c r="C292" s="1" t="s">
        <v>52</v>
      </c>
      <c r="D292" s="1" t="s">
        <v>22</v>
      </c>
      <c r="E292" s="1" t="s">
        <v>45</v>
      </c>
      <c r="F292" s="7">
        <v>40669</v>
      </c>
      <c r="G292" s="1" t="s">
        <v>371</v>
      </c>
      <c r="H292" s="7">
        <v>40719</v>
      </c>
      <c r="I292" s="1">
        <f>Europe_Sales_Records[[#This Row],[Ship Date]]-Europe_Sales_Records[[#This Row],[Order Date]]</f>
        <v>50</v>
      </c>
      <c r="J292" s="1">
        <v>6509</v>
      </c>
      <c r="K292" s="1">
        <v>255.28</v>
      </c>
      <c r="L292" s="1">
        <v>159.41999999999999</v>
      </c>
      <c r="M292" s="1">
        <f>Europe_Sales_Records[[#This Row],[Unit Price]]-Europe_Sales_Records[[#This Row],[Unit Cost]]</f>
        <v>95.860000000000014</v>
      </c>
      <c r="N292" s="1">
        <v>1661617.52</v>
      </c>
      <c r="O292" s="6">
        <v>1037664.78</v>
      </c>
      <c r="P292" s="1">
        <v>623952.74</v>
      </c>
    </row>
    <row r="293" spans="1:16" x14ac:dyDescent="0.3">
      <c r="A293" s="1" t="s">
        <v>14</v>
      </c>
      <c r="B293" s="1" t="s">
        <v>101</v>
      </c>
      <c r="C293" s="1" t="s">
        <v>21</v>
      </c>
      <c r="D293" s="1" t="s">
        <v>22</v>
      </c>
      <c r="E293" s="1" t="s">
        <v>18</v>
      </c>
      <c r="F293" s="7">
        <v>41311</v>
      </c>
      <c r="G293" s="1" t="s">
        <v>372</v>
      </c>
      <c r="H293" s="7">
        <v>41355</v>
      </c>
      <c r="I293" s="1">
        <f>Europe_Sales_Records[[#This Row],[Ship Date]]-Europe_Sales_Records[[#This Row],[Order Date]]</f>
        <v>44</v>
      </c>
      <c r="J293" s="1">
        <v>3605</v>
      </c>
      <c r="K293" s="1">
        <v>109.28</v>
      </c>
      <c r="L293" s="1">
        <v>35.840000000000003</v>
      </c>
      <c r="M293" s="1">
        <f>Europe_Sales_Records[[#This Row],[Unit Price]]-Europe_Sales_Records[[#This Row],[Unit Cost]]</f>
        <v>73.44</v>
      </c>
      <c r="N293" s="1">
        <v>393954.4</v>
      </c>
      <c r="O293" s="6">
        <v>129203.2</v>
      </c>
      <c r="P293" s="1">
        <v>264751.2</v>
      </c>
    </row>
    <row r="294" spans="1:16" x14ac:dyDescent="0.3">
      <c r="A294" s="1" t="s">
        <v>14</v>
      </c>
      <c r="B294" s="1" t="s">
        <v>59</v>
      </c>
      <c r="C294" s="1" t="s">
        <v>39</v>
      </c>
      <c r="D294" s="1" t="s">
        <v>22</v>
      </c>
      <c r="E294" s="1" t="s">
        <v>18</v>
      </c>
      <c r="F294" s="7">
        <v>40853</v>
      </c>
      <c r="G294" s="1" t="s">
        <v>373</v>
      </c>
      <c r="H294" s="7">
        <v>40872</v>
      </c>
      <c r="I294" s="1">
        <f>Europe_Sales_Records[[#This Row],[Ship Date]]-Europe_Sales_Records[[#This Row],[Order Date]]</f>
        <v>19</v>
      </c>
      <c r="J294" s="1">
        <v>5794</v>
      </c>
      <c r="K294" s="1">
        <v>154.06</v>
      </c>
      <c r="L294" s="1">
        <v>90.93</v>
      </c>
      <c r="M294" s="1">
        <f>Europe_Sales_Records[[#This Row],[Unit Price]]-Europe_Sales_Records[[#This Row],[Unit Cost]]</f>
        <v>63.129999999999995</v>
      </c>
      <c r="N294" s="1">
        <v>892623.64</v>
      </c>
      <c r="O294" s="6">
        <v>526848.42000000004</v>
      </c>
      <c r="P294" s="1">
        <v>365775.22</v>
      </c>
    </row>
    <row r="295" spans="1:16" x14ac:dyDescent="0.3">
      <c r="A295" s="1" t="s">
        <v>14</v>
      </c>
      <c r="B295" s="1" t="s">
        <v>38</v>
      </c>
      <c r="C295" s="1" t="s">
        <v>21</v>
      </c>
      <c r="D295" s="1" t="s">
        <v>22</v>
      </c>
      <c r="E295" s="1" t="s">
        <v>45</v>
      </c>
      <c r="F295" s="7">
        <v>40677</v>
      </c>
      <c r="G295" s="1" t="s">
        <v>374</v>
      </c>
      <c r="H295" s="7">
        <v>40689</v>
      </c>
      <c r="I295" s="1">
        <f>Europe_Sales_Records[[#This Row],[Ship Date]]-Europe_Sales_Records[[#This Row],[Order Date]]</f>
        <v>12</v>
      </c>
      <c r="J295" s="1">
        <v>5578</v>
      </c>
      <c r="K295" s="1">
        <v>109.28</v>
      </c>
      <c r="L295" s="1">
        <v>35.840000000000003</v>
      </c>
      <c r="M295" s="1">
        <f>Europe_Sales_Records[[#This Row],[Unit Price]]-Europe_Sales_Records[[#This Row],[Unit Cost]]</f>
        <v>73.44</v>
      </c>
      <c r="N295" s="1">
        <v>609563.84</v>
      </c>
      <c r="O295" s="6">
        <v>199915.51999999999</v>
      </c>
      <c r="P295" s="1">
        <v>409648.32</v>
      </c>
    </row>
    <row r="296" spans="1:16" x14ac:dyDescent="0.3">
      <c r="A296" s="1" t="s">
        <v>14</v>
      </c>
      <c r="B296" s="1" t="s">
        <v>65</v>
      </c>
      <c r="C296" s="1" t="s">
        <v>29</v>
      </c>
      <c r="D296" s="1" t="s">
        <v>17</v>
      </c>
      <c r="E296" s="1" t="s">
        <v>18</v>
      </c>
      <c r="F296" s="7">
        <v>42795</v>
      </c>
      <c r="G296" s="1" t="s">
        <v>375</v>
      </c>
      <c r="H296" s="7">
        <v>42835</v>
      </c>
      <c r="I296" s="1">
        <f>Europe_Sales_Records[[#This Row],[Ship Date]]-Europe_Sales_Records[[#This Row],[Order Date]]</f>
        <v>40</v>
      </c>
      <c r="J296" s="1">
        <v>9284</v>
      </c>
      <c r="K296" s="1">
        <v>651.21</v>
      </c>
      <c r="L296" s="1">
        <v>524.96</v>
      </c>
      <c r="M296" s="1">
        <f>Europe_Sales_Records[[#This Row],[Unit Price]]-Europe_Sales_Records[[#This Row],[Unit Cost]]</f>
        <v>126.25</v>
      </c>
      <c r="N296" s="1">
        <v>6045833.6399999997</v>
      </c>
      <c r="O296" s="6">
        <v>4873728.6399999997</v>
      </c>
      <c r="P296" s="1">
        <v>1172105</v>
      </c>
    </row>
    <row r="297" spans="1:16" x14ac:dyDescent="0.3">
      <c r="A297" s="1" t="s">
        <v>14</v>
      </c>
      <c r="B297" s="1" t="s">
        <v>137</v>
      </c>
      <c r="C297" s="1" t="s">
        <v>79</v>
      </c>
      <c r="D297" s="1" t="s">
        <v>17</v>
      </c>
      <c r="E297" s="1" t="s">
        <v>18</v>
      </c>
      <c r="F297" s="7">
        <v>40251</v>
      </c>
      <c r="G297" s="1" t="s">
        <v>376</v>
      </c>
      <c r="H297" s="7">
        <v>40253</v>
      </c>
      <c r="I297" s="1">
        <f>Europe_Sales_Records[[#This Row],[Ship Date]]-Europe_Sales_Records[[#This Row],[Order Date]]</f>
        <v>2</v>
      </c>
      <c r="J297" s="1">
        <v>6028</v>
      </c>
      <c r="K297" s="1">
        <v>81.73</v>
      </c>
      <c r="L297" s="1">
        <v>56.67</v>
      </c>
      <c r="M297" s="1">
        <f>Europe_Sales_Records[[#This Row],[Unit Price]]-Europe_Sales_Records[[#This Row],[Unit Cost]]</f>
        <v>25.060000000000002</v>
      </c>
      <c r="N297" s="1">
        <v>492668.44</v>
      </c>
      <c r="O297" s="6">
        <v>341606.76</v>
      </c>
      <c r="P297" s="1">
        <v>151061.68</v>
      </c>
    </row>
    <row r="298" spans="1:16" x14ac:dyDescent="0.3">
      <c r="A298" s="1" t="s">
        <v>14</v>
      </c>
      <c r="B298" s="1" t="s">
        <v>59</v>
      </c>
      <c r="C298" s="1" t="s">
        <v>21</v>
      </c>
      <c r="D298" s="1" t="s">
        <v>17</v>
      </c>
      <c r="E298" s="1" t="s">
        <v>45</v>
      </c>
      <c r="F298" s="7">
        <v>42640</v>
      </c>
      <c r="G298" s="1" t="s">
        <v>377</v>
      </c>
      <c r="H298" s="7">
        <v>42668</v>
      </c>
      <c r="I298" s="1">
        <f>Europe_Sales_Records[[#This Row],[Ship Date]]-Europe_Sales_Records[[#This Row],[Order Date]]</f>
        <v>28</v>
      </c>
      <c r="J298" s="1">
        <v>5382</v>
      </c>
      <c r="K298" s="1">
        <v>109.28</v>
      </c>
      <c r="L298" s="1">
        <v>35.840000000000003</v>
      </c>
      <c r="M298" s="1">
        <f>Europe_Sales_Records[[#This Row],[Unit Price]]-Europe_Sales_Records[[#This Row],[Unit Cost]]</f>
        <v>73.44</v>
      </c>
      <c r="N298" s="1">
        <v>588144.96</v>
      </c>
      <c r="O298" s="6">
        <v>192890.88</v>
      </c>
      <c r="P298" s="1">
        <v>395254.08</v>
      </c>
    </row>
    <row r="299" spans="1:16" x14ac:dyDescent="0.3">
      <c r="A299" s="1" t="s">
        <v>14</v>
      </c>
      <c r="B299" s="1" t="s">
        <v>150</v>
      </c>
      <c r="C299" s="1" t="s">
        <v>21</v>
      </c>
      <c r="D299" s="1" t="s">
        <v>17</v>
      </c>
      <c r="E299" s="1" t="s">
        <v>30</v>
      </c>
      <c r="F299" s="7">
        <v>42869</v>
      </c>
      <c r="G299" s="1" t="s">
        <v>378</v>
      </c>
      <c r="H299" s="7">
        <v>42901</v>
      </c>
      <c r="I299" s="1">
        <f>Europe_Sales_Records[[#This Row],[Ship Date]]-Europe_Sales_Records[[#This Row],[Order Date]]</f>
        <v>32</v>
      </c>
      <c r="J299" s="1">
        <v>2531</v>
      </c>
      <c r="K299" s="1">
        <v>109.28</v>
      </c>
      <c r="L299" s="1">
        <v>35.840000000000003</v>
      </c>
      <c r="M299" s="1">
        <f>Europe_Sales_Records[[#This Row],[Unit Price]]-Europe_Sales_Records[[#This Row],[Unit Cost]]</f>
        <v>73.44</v>
      </c>
      <c r="N299" s="1">
        <v>276587.68</v>
      </c>
      <c r="O299" s="6">
        <v>90711.039999999994</v>
      </c>
      <c r="P299" s="1">
        <v>185876.64</v>
      </c>
    </row>
    <row r="300" spans="1:16" x14ac:dyDescent="0.3">
      <c r="A300" s="1" t="s">
        <v>14</v>
      </c>
      <c r="B300" s="1" t="s">
        <v>84</v>
      </c>
      <c r="C300" s="1" t="s">
        <v>29</v>
      </c>
      <c r="D300" s="1" t="s">
        <v>22</v>
      </c>
      <c r="E300" s="1" t="s">
        <v>45</v>
      </c>
      <c r="F300" s="7">
        <v>41202</v>
      </c>
      <c r="G300" s="1" t="s">
        <v>379</v>
      </c>
      <c r="H300" s="7">
        <v>41237</v>
      </c>
      <c r="I300" s="1">
        <f>Europe_Sales_Records[[#This Row],[Ship Date]]-Europe_Sales_Records[[#This Row],[Order Date]]</f>
        <v>35</v>
      </c>
      <c r="J300" s="1">
        <v>1429</v>
      </c>
      <c r="K300" s="1">
        <v>651.21</v>
      </c>
      <c r="L300" s="1">
        <v>524.96</v>
      </c>
      <c r="M300" s="1">
        <f>Europe_Sales_Records[[#This Row],[Unit Price]]-Europe_Sales_Records[[#This Row],[Unit Cost]]</f>
        <v>126.25</v>
      </c>
      <c r="N300" s="1">
        <v>930579.09</v>
      </c>
      <c r="O300" s="6">
        <v>750167.84</v>
      </c>
      <c r="P300" s="1">
        <v>180411.25</v>
      </c>
    </row>
    <row r="301" spans="1:16" x14ac:dyDescent="0.3">
      <c r="A301" s="1" t="s">
        <v>14</v>
      </c>
      <c r="B301" s="1" t="s">
        <v>87</v>
      </c>
      <c r="C301" s="1" t="s">
        <v>52</v>
      </c>
      <c r="D301" s="1" t="s">
        <v>17</v>
      </c>
      <c r="E301" s="1" t="s">
        <v>30</v>
      </c>
      <c r="F301" s="7">
        <v>41329</v>
      </c>
      <c r="G301" s="1" t="s">
        <v>380</v>
      </c>
      <c r="H301" s="7">
        <v>41350</v>
      </c>
      <c r="I301" s="1">
        <f>Europe_Sales_Records[[#This Row],[Ship Date]]-Europe_Sales_Records[[#This Row],[Order Date]]</f>
        <v>21</v>
      </c>
      <c r="J301" s="1">
        <v>2396</v>
      </c>
      <c r="K301" s="1">
        <v>255.28</v>
      </c>
      <c r="L301" s="1">
        <v>159.41999999999999</v>
      </c>
      <c r="M301" s="1">
        <f>Europe_Sales_Records[[#This Row],[Unit Price]]-Europe_Sales_Records[[#This Row],[Unit Cost]]</f>
        <v>95.860000000000014</v>
      </c>
      <c r="N301" s="1">
        <v>611650.88</v>
      </c>
      <c r="O301" s="6">
        <v>381970.32</v>
      </c>
      <c r="P301" s="1">
        <v>229680.56</v>
      </c>
    </row>
    <row r="302" spans="1:16" x14ac:dyDescent="0.3">
      <c r="A302" s="1" t="s">
        <v>14</v>
      </c>
      <c r="B302" s="1" t="s">
        <v>180</v>
      </c>
      <c r="C302" s="1" t="s">
        <v>60</v>
      </c>
      <c r="D302" s="1" t="s">
        <v>22</v>
      </c>
      <c r="E302" s="1" t="s">
        <v>23</v>
      </c>
      <c r="F302" s="7">
        <v>40571</v>
      </c>
      <c r="G302" s="1" t="s">
        <v>381</v>
      </c>
      <c r="H302" s="7">
        <v>40587</v>
      </c>
      <c r="I302" s="1">
        <f>Europe_Sales_Records[[#This Row],[Ship Date]]-Europe_Sales_Records[[#This Row],[Order Date]]</f>
        <v>16</v>
      </c>
      <c r="J302" s="1">
        <v>6856</v>
      </c>
      <c r="K302" s="1">
        <v>437.2</v>
      </c>
      <c r="L302" s="1">
        <v>263.33</v>
      </c>
      <c r="M302" s="1">
        <f>Europe_Sales_Records[[#This Row],[Unit Price]]-Europe_Sales_Records[[#This Row],[Unit Cost]]</f>
        <v>173.87</v>
      </c>
      <c r="N302" s="1">
        <v>2997443.2</v>
      </c>
      <c r="O302" s="6">
        <v>1805390.48</v>
      </c>
      <c r="P302" s="1">
        <v>1192052.72</v>
      </c>
    </row>
    <row r="303" spans="1:16" x14ac:dyDescent="0.3">
      <c r="A303" s="1" t="s">
        <v>14</v>
      </c>
      <c r="B303" s="1" t="s">
        <v>84</v>
      </c>
      <c r="C303" s="1" t="s">
        <v>21</v>
      </c>
      <c r="D303" s="1" t="s">
        <v>17</v>
      </c>
      <c r="E303" s="1" t="s">
        <v>30</v>
      </c>
      <c r="F303" s="7">
        <v>40545</v>
      </c>
      <c r="G303" s="1" t="s">
        <v>382</v>
      </c>
      <c r="H303" s="7">
        <v>40554</v>
      </c>
      <c r="I303" s="1">
        <f>Europe_Sales_Records[[#This Row],[Ship Date]]-Europe_Sales_Records[[#This Row],[Order Date]]</f>
        <v>9</v>
      </c>
      <c r="J303" s="1">
        <v>9711</v>
      </c>
      <c r="K303" s="1">
        <v>109.28</v>
      </c>
      <c r="L303" s="1">
        <v>35.840000000000003</v>
      </c>
      <c r="M303" s="1">
        <f>Europe_Sales_Records[[#This Row],[Unit Price]]-Europe_Sales_Records[[#This Row],[Unit Cost]]</f>
        <v>73.44</v>
      </c>
      <c r="N303" s="1">
        <v>1061218.08</v>
      </c>
      <c r="O303" s="6">
        <v>348042.23999999999</v>
      </c>
      <c r="P303" s="1">
        <v>713175.84</v>
      </c>
    </row>
    <row r="304" spans="1:16" x14ac:dyDescent="0.3">
      <c r="A304" s="1" t="s">
        <v>14</v>
      </c>
      <c r="B304" s="1" t="s">
        <v>20</v>
      </c>
      <c r="C304" s="1" t="s">
        <v>52</v>
      </c>
      <c r="D304" s="1" t="s">
        <v>22</v>
      </c>
      <c r="E304" s="1" t="s">
        <v>23</v>
      </c>
      <c r="F304" s="7">
        <v>42095</v>
      </c>
      <c r="G304" s="1" t="s">
        <v>383</v>
      </c>
      <c r="H304" s="7">
        <v>42097</v>
      </c>
      <c r="I304" s="1">
        <f>Europe_Sales_Records[[#This Row],[Ship Date]]-Europe_Sales_Records[[#This Row],[Order Date]]</f>
        <v>2</v>
      </c>
      <c r="J304" s="1">
        <v>6647</v>
      </c>
      <c r="K304" s="1">
        <v>255.28</v>
      </c>
      <c r="L304" s="1">
        <v>159.41999999999999</v>
      </c>
      <c r="M304" s="1">
        <f>Europe_Sales_Records[[#This Row],[Unit Price]]-Europe_Sales_Records[[#This Row],[Unit Cost]]</f>
        <v>95.860000000000014</v>
      </c>
      <c r="N304" s="1">
        <v>1696846.16</v>
      </c>
      <c r="O304" s="6">
        <v>1059664.74</v>
      </c>
      <c r="P304" s="1">
        <v>637181.42000000004</v>
      </c>
    </row>
    <row r="305" spans="1:16" x14ac:dyDescent="0.3">
      <c r="A305" s="1" t="s">
        <v>14</v>
      </c>
      <c r="B305" s="1" t="s">
        <v>219</v>
      </c>
      <c r="C305" s="1" t="s">
        <v>48</v>
      </c>
      <c r="D305" s="1" t="s">
        <v>22</v>
      </c>
      <c r="E305" s="1" t="s">
        <v>18</v>
      </c>
      <c r="F305" s="7">
        <v>40189</v>
      </c>
      <c r="G305" s="1" t="s">
        <v>384</v>
      </c>
      <c r="H305" s="7">
        <v>40196</v>
      </c>
      <c r="I305" s="1">
        <f>Europe_Sales_Records[[#This Row],[Ship Date]]-Europe_Sales_Records[[#This Row],[Order Date]]</f>
        <v>7</v>
      </c>
      <c r="J305" s="1">
        <v>8517</v>
      </c>
      <c r="K305" s="1">
        <v>152.58000000000001</v>
      </c>
      <c r="L305" s="1">
        <v>97.44</v>
      </c>
      <c r="M305" s="1">
        <f>Europe_Sales_Records[[#This Row],[Unit Price]]-Europe_Sales_Records[[#This Row],[Unit Cost]]</f>
        <v>55.140000000000015</v>
      </c>
      <c r="N305" s="1">
        <v>1299523.8600000001</v>
      </c>
      <c r="O305" s="6">
        <v>829896.48</v>
      </c>
      <c r="P305" s="1">
        <v>469627.38</v>
      </c>
    </row>
    <row r="306" spans="1:16" x14ac:dyDescent="0.3">
      <c r="A306" s="1" t="s">
        <v>14</v>
      </c>
      <c r="B306" s="1" t="s">
        <v>120</v>
      </c>
      <c r="C306" s="1" t="s">
        <v>33</v>
      </c>
      <c r="D306" s="1" t="s">
        <v>22</v>
      </c>
      <c r="E306" s="1" t="s">
        <v>23</v>
      </c>
      <c r="F306" s="7">
        <v>42745</v>
      </c>
      <c r="G306" s="1" t="s">
        <v>385</v>
      </c>
      <c r="H306" s="7">
        <v>42748</v>
      </c>
      <c r="I306" s="1">
        <f>Europe_Sales_Records[[#This Row],[Ship Date]]-Europe_Sales_Records[[#This Row],[Order Date]]</f>
        <v>3</v>
      </c>
      <c r="J306" s="1">
        <v>4734</v>
      </c>
      <c r="K306" s="1">
        <v>9.33</v>
      </c>
      <c r="L306" s="1">
        <v>6.92</v>
      </c>
      <c r="M306" s="1">
        <f>Europe_Sales_Records[[#This Row],[Unit Price]]-Europe_Sales_Records[[#This Row],[Unit Cost]]</f>
        <v>2.41</v>
      </c>
      <c r="N306" s="1">
        <v>44168.22</v>
      </c>
      <c r="O306" s="6">
        <v>32759.279999999999</v>
      </c>
      <c r="P306" s="1">
        <v>11408.94</v>
      </c>
    </row>
    <row r="307" spans="1:16" x14ac:dyDescent="0.3">
      <c r="A307" s="1" t="s">
        <v>14</v>
      </c>
      <c r="B307" s="1" t="s">
        <v>15</v>
      </c>
      <c r="C307" s="1" t="s">
        <v>42</v>
      </c>
      <c r="D307" s="1" t="s">
        <v>17</v>
      </c>
      <c r="E307" s="1" t="s">
        <v>23</v>
      </c>
      <c r="F307" s="7">
        <v>42864</v>
      </c>
      <c r="G307" s="1" t="s">
        <v>386</v>
      </c>
      <c r="H307" s="7">
        <v>42898</v>
      </c>
      <c r="I307" s="1">
        <f>Europe_Sales_Records[[#This Row],[Ship Date]]-Europe_Sales_Records[[#This Row],[Order Date]]</f>
        <v>34</v>
      </c>
      <c r="J307" s="1">
        <v>634</v>
      </c>
      <c r="K307" s="1">
        <v>421.89</v>
      </c>
      <c r="L307" s="1">
        <v>364.69</v>
      </c>
      <c r="M307" s="1">
        <f>Europe_Sales_Records[[#This Row],[Unit Price]]-Europe_Sales_Records[[#This Row],[Unit Cost]]</f>
        <v>57.199999999999989</v>
      </c>
      <c r="N307" s="1">
        <v>267478.26</v>
      </c>
      <c r="O307" s="6">
        <v>231213.46</v>
      </c>
      <c r="P307" s="1">
        <v>36264.800000000003</v>
      </c>
    </row>
    <row r="308" spans="1:16" x14ac:dyDescent="0.3">
      <c r="A308" s="1" t="s">
        <v>14</v>
      </c>
      <c r="B308" s="1" t="s">
        <v>20</v>
      </c>
      <c r="C308" s="1" t="s">
        <v>39</v>
      </c>
      <c r="D308" s="1" t="s">
        <v>22</v>
      </c>
      <c r="E308" s="1" t="s">
        <v>23</v>
      </c>
      <c r="F308" s="7">
        <v>41603</v>
      </c>
      <c r="G308" s="1" t="s">
        <v>387</v>
      </c>
      <c r="H308" s="7">
        <v>41624</v>
      </c>
      <c r="I308" s="1">
        <f>Europe_Sales_Records[[#This Row],[Ship Date]]-Europe_Sales_Records[[#This Row],[Order Date]]</f>
        <v>21</v>
      </c>
      <c r="J308" s="1">
        <v>5633</v>
      </c>
      <c r="K308" s="1">
        <v>154.06</v>
      </c>
      <c r="L308" s="1">
        <v>90.93</v>
      </c>
      <c r="M308" s="1">
        <f>Europe_Sales_Records[[#This Row],[Unit Price]]-Europe_Sales_Records[[#This Row],[Unit Cost]]</f>
        <v>63.129999999999995</v>
      </c>
      <c r="N308" s="1">
        <v>867819.98</v>
      </c>
      <c r="O308" s="6">
        <v>512208.69</v>
      </c>
      <c r="P308" s="1">
        <v>355611.29</v>
      </c>
    </row>
    <row r="309" spans="1:16" x14ac:dyDescent="0.3">
      <c r="A309" s="1" t="s">
        <v>14</v>
      </c>
      <c r="B309" s="1" t="s">
        <v>47</v>
      </c>
      <c r="C309" s="1" t="s">
        <v>33</v>
      </c>
      <c r="D309" s="1" t="s">
        <v>22</v>
      </c>
      <c r="E309" s="1" t="s">
        <v>30</v>
      </c>
      <c r="F309" s="7">
        <v>41564</v>
      </c>
      <c r="G309" s="1" t="s">
        <v>388</v>
      </c>
      <c r="H309" s="7">
        <v>41602</v>
      </c>
      <c r="I309" s="1">
        <f>Europe_Sales_Records[[#This Row],[Ship Date]]-Europe_Sales_Records[[#This Row],[Order Date]]</f>
        <v>38</v>
      </c>
      <c r="J309" s="1">
        <v>8310</v>
      </c>
      <c r="K309" s="1">
        <v>9.33</v>
      </c>
      <c r="L309" s="1">
        <v>6.92</v>
      </c>
      <c r="M309" s="1">
        <f>Europe_Sales_Records[[#This Row],[Unit Price]]-Europe_Sales_Records[[#This Row],[Unit Cost]]</f>
        <v>2.41</v>
      </c>
      <c r="N309" s="1">
        <v>77532.3</v>
      </c>
      <c r="O309" s="6">
        <v>57505.2</v>
      </c>
      <c r="P309" s="1">
        <v>20027.099999999999</v>
      </c>
    </row>
    <row r="310" spans="1:16" x14ac:dyDescent="0.3">
      <c r="A310" s="1" t="s">
        <v>14</v>
      </c>
      <c r="B310" s="1" t="s">
        <v>120</v>
      </c>
      <c r="C310" s="1" t="s">
        <v>39</v>
      </c>
      <c r="D310" s="1" t="s">
        <v>22</v>
      </c>
      <c r="E310" s="1" t="s">
        <v>18</v>
      </c>
      <c r="F310" s="7">
        <v>40915</v>
      </c>
      <c r="G310" s="1" t="s">
        <v>389</v>
      </c>
      <c r="H310" s="7">
        <v>40934</v>
      </c>
      <c r="I310" s="1">
        <f>Europe_Sales_Records[[#This Row],[Ship Date]]-Europe_Sales_Records[[#This Row],[Order Date]]</f>
        <v>19</v>
      </c>
      <c r="J310" s="1">
        <v>8872</v>
      </c>
      <c r="K310" s="1">
        <v>154.06</v>
      </c>
      <c r="L310" s="1">
        <v>90.93</v>
      </c>
      <c r="M310" s="1">
        <f>Europe_Sales_Records[[#This Row],[Unit Price]]-Europe_Sales_Records[[#This Row],[Unit Cost]]</f>
        <v>63.129999999999995</v>
      </c>
      <c r="N310" s="1">
        <v>1366820.32</v>
      </c>
      <c r="O310" s="6">
        <v>806730.96</v>
      </c>
      <c r="P310" s="1">
        <v>560089.36</v>
      </c>
    </row>
    <row r="311" spans="1:16" x14ac:dyDescent="0.3">
      <c r="A311" s="1" t="s">
        <v>14</v>
      </c>
      <c r="B311" s="1" t="s">
        <v>103</v>
      </c>
      <c r="C311" s="1" t="s">
        <v>60</v>
      </c>
      <c r="D311" s="1" t="s">
        <v>17</v>
      </c>
      <c r="E311" s="1" t="s">
        <v>18</v>
      </c>
      <c r="F311" s="7">
        <v>40413</v>
      </c>
      <c r="G311" s="1" t="s">
        <v>390</v>
      </c>
      <c r="H311" s="7">
        <v>40446</v>
      </c>
      <c r="I311" s="1">
        <f>Europe_Sales_Records[[#This Row],[Ship Date]]-Europe_Sales_Records[[#This Row],[Order Date]]</f>
        <v>33</v>
      </c>
      <c r="J311" s="1">
        <v>9560</v>
      </c>
      <c r="K311" s="1">
        <v>437.2</v>
      </c>
      <c r="L311" s="1">
        <v>263.33</v>
      </c>
      <c r="M311" s="1">
        <f>Europe_Sales_Records[[#This Row],[Unit Price]]-Europe_Sales_Records[[#This Row],[Unit Cost]]</f>
        <v>173.87</v>
      </c>
      <c r="N311" s="1">
        <v>4179632</v>
      </c>
      <c r="O311" s="6">
        <v>2517434.7999999998</v>
      </c>
      <c r="P311" s="1">
        <v>1662197.2</v>
      </c>
    </row>
    <row r="312" spans="1:16" x14ac:dyDescent="0.3">
      <c r="A312" s="1" t="s">
        <v>14</v>
      </c>
      <c r="B312" s="1" t="s">
        <v>127</v>
      </c>
      <c r="C312" s="1" t="s">
        <v>52</v>
      </c>
      <c r="D312" s="1" t="s">
        <v>22</v>
      </c>
      <c r="E312" s="1" t="s">
        <v>23</v>
      </c>
      <c r="F312" s="7">
        <v>42329</v>
      </c>
      <c r="G312" s="1" t="s">
        <v>391</v>
      </c>
      <c r="H312" s="7">
        <v>42331</v>
      </c>
      <c r="I312" s="1">
        <f>Europe_Sales_Records[[#This Row],[Ship Date]]-Europe_Sales_Records[[#This Row],[Order Date]]</f>
        <v>2</v>
      </c>
      <c r="J312" s="1">
        <v>7840</v>
      </c>
      <c r="K312" s="1">
        <v>255.28</v>
      </c>
      <c r="L312" s="1">
        <v>159.41999999999999</v>
      </c>
      <c r="M312" s="1">
        <f>Europe_Sales_Records[[#This Row],[Unit Price]]-Europe_Sales_Records[[#This Row],[Unit Cost]]</f>
        <v>95.860000000000014</v>
      </c>
      <c r="N312" s="1">
        <v>2001395.2</v>
      </c>
      <c r="O312" s="6">
        <v>1249852.8</v>
      </c>
      <c r="P312" s="1">
        <v>751542.4</v>
      </c>
    </row>
    <row r="313" spans="1:16" x14ac:dyDescent="0.3">
      <c r="A313" s="1" t="s">
        <v>14</v>
      </c>
      <c r="B313" s="1" t="s">
        <v>232</v>
      </c>
      <c r="C313" s="1" t="s">
        <v>33</v>
      </c>
      <c r="D313" s="1" t="s">
        <v>22</v>
      </c>
      <c r="E313" s="1" t="s">
        <v>30</v>
      </c>
      <c r="F313" s="7">
        <v>41210</v>
      </c>
      <c r="G313" s="1" t="s">
        <v>392</v>
      </c>
      <c r="H313" s="7">
        <v>41254</v>
      </c>
      <c r="I313" s="1">
        <f>Europe_Sales_Records[[#This Row],[Ship Date]]-Europe_Sales_Records[[#This Row],[Order Date]]</f>
        <v>44</v>
      </c>
      <c r="J313" s="1">
        <v>855</v>
      </c>
      <c r="K313" s="1">
        <v>9.33</v>
      </c>
      <c r="L313" s="1">
        <v>6.92</v>
      </c>
      <c r="M313" s="1">
        <f>Europe_Sales_Records[[#This Row],[Unit Price]]-Europe_Sales_Records[[#This Row],[Unit Cost]]</f>
        <v>2.41</v>
      </c>
      <c r="N313" s="1">
        <v>7977.15</v>
      </c>
      <c r="O313" s="6">
        <v>5916.6</v>
      </c>
      <c r="P313" s="1">
        <v>2060.5500000000002</v>
      </c>
    </row>
    <row r="314" spans="1:16" x14ac:dyDescent="0.3">
      <c r="A314" s="1" t="s">
        <v>14</v>
      </c>
      <c r="B314" s="1" t="s">
        <v>71</v>
      </c>
      <c r="C314" s="1" t="s">
        <v>26</v>
      </c>
      <c r="D314" s="1" t="s">
        <v>22</v>
      </c>
      <c r="E314" s="1" t="s">
        <v>30</v>
      </c>
      <c r="F314" s="7">
        <v>40179</v>
      </c>
      <c r="G314" s="1" t="s">
        <v>393</v>
      </c>
      <c r="H314" s="7">
        <v>40218</v>
      </c>
      <c r="I314" s="1">
        <f>Europe_Sales_Records[[#This Row],[Ship Date]]-Europe_Sales_Records[[#This Row],[Order Date]]</f>
        <v>39</v>
      </c>
      <c r="J314" s="1">
        <v>7652</v>
      </c>
      <c r="K314" s="1">
        <v>205.7</v>
      </c>
      <c r="L314" s="1">
        <v>117.11</v>
      </c>
      <c r="M314" s="1">
        <f>Europe_Sales_Records[[#This Row],[Unit Price]]-Europe_Sales_Records[[#This Row],[Unit Cost]]</f>
        <v>88.589999999999989</v>
      </c>
      <c r="N314" s="1">
        <v>1574016.4</v>
      </c>
      <c r="O314" s="6">
        <v>896125.72</v>
      </c>
      <c r="P314" s="1">
        <v>677890.68</v>
      </c>
    </row>
    <row r="315" spans="1:16" x14ac:dyDescent="0.3">
      <c r="A315" s="1" t="s">
        <v>14</v>
      </c>
      <c r="B315" s="1" t="s">
        <v>87</v>
      </c>
      <c r="C315" s="1" t="s">
        <v>33</v>
      </c>
      <c r="D315" s="1" t="s">
        <v>17</v>
      </c>
      <c r="E315" s="1" t="s">
        <v>18</v>
      </c>
      <c r="F315" s="7">
        <v>41918</v>
      </c>
      <c r="G315" s="1" t="s">
        <v>394</v>
      </c>
      <c r="H315" s="7">
        <v>41935</v>
      </c>
      <c r="I315" s="1">
        <f>Europe_Sales_Records[[#This Row],[Ship Date]]-Europe_Sales_Records[[#This Row],[Order Date]]</f>
        <v>17</v>
      </c>
      <c r="J315" s="1">
        <v>4486</v>
      </c>
      <c r="K315" s="1">
        <v>9.33</v>
      </c>
      <c r="L315" s="1">
        <v>6.92</v>
      </c>
      <c r="M315" s="1">
        <f>Europe_Sales_Records[[#This Row],[Unit Price]]-Europe_Sales_Records[[#This Row],[Unit Cost]]</f>
        <v>2.41</v>
      </c>
      <c r="N315" s="1">
        <v>41854.379999999997</v>
      </c>
      <c r="O315" s="6">
        <v>31043.119999999999</v>
      </c>
      <c r="P315" s="1">
        <v>10811.26</v>
      </c>
    </row>
    <row r="316" spans="1:16" x14ac:dyDescent="0.3">
      <c r="A316" s="1" t="s">
        <v>14</v>
      </c>
      <c r="B316" s="1" t="s">
        <v>180</v>
      </c>
      <c r="C316" s="1" t="s">
        <v>39</v>
      </c>
      <c r="D316" s="1" t="s">
        <v>22</v>
      </c>
      <c r="E316" s="1" t="s">
        <v>45</v>
      </c>
      <c r="F316" s="7">
        <v>42340</v>
      </c>
      <c r="G316" s="1" t="s">
        <v>395</v>
      </c>
      <c r="H316" s="7">
        <v>42354</v>
      </c>
      <c r="I316" s="1">
        <f>Europe_Sales_Records[[#This Row],[Ship Date]]-Europe_Sales_Records[[#This Row],[Order Date]]</f>
        <v>14</v>
      </c>
      <c r="J316" s="1">
        <v>2789</v>
      </c>
      <c r="K316" s="1">
        <v>154.06</v>
      </c>
      <c r="L316" s="1">
        <v>90.93</v>
      </c>
      <c r="M316" s="1">
        <f>Europe_Sales_Records[[#This Row],[Unit Price]]-Europe_Sales_Records[[#This Row],[Unit Cost]]</f>
        <v>63.129999999999995</v>
      </c>
      <c r="N316" s="1">
        <v>429673.34</v>
      </c>
      <c r="O316" s="6">
        <v>253603.77</v>
      </c>
      <c r="P316" s="1">
        <v>176069.57</v>
      </c>
    </row>
    <row r="317" spans="1:16" x14ac:dyDescent="0.3">
      <c r="A317" s="1" t="s">
        <v>14</v>
      </c>
      <c r="B317" s="1" t="s">
        <v>219</v>
      </c>
      <c r="C317" s="1" t="s">
        <v>42</v>
      </c>
      <c r="D317" s="1" t="s">
        <v>17</v>
      </c>
      <c r="E317" s="1" t="s">
        <v>18</v>
      </c>
      <c r="F317" s="7">
        <v>40991</v>
      </c>
      <c r="G317" s="1" t="s">
        <v>396</v>
      </c>
      <c r="H317" s="7">
        <v>41039</v>
      </c>
      <c r="I317" s="1">
        <f>Europe_Sales_Records[[#This Row],[Ship Date]]-Europe_Sales_Records[[#This Row],[Order Date]]</f>
        <v>48</v>
      </c>
      <c r="J317" s="1">
        <v>1494</v>
      </c>
      <c r="K317" s="1">
        <v>421.89</v>
      </c>
      <c r="L317" s="1">
        <v>364.69</v>
      </c>
      <c r="M317" s="1">
        <f>Europe_Sales_Records[[#This Row],[Unit Price]]-Europe_Sales_Records[[#This Row],[Unit Cost]]</f>
        <v>57.199999999999989</v>
      </c>
      <c r="N317" s="1">
        <v>630303.66</v>
      </c>
      <c r="O317" s="6">
        <v>544846.86</v>
      </c>
      <c r="P317" s="1">
        <v>85456.8</v>
      </c>
    </row>
    <row r="318" spans="1:16" x14ac:dyDescent="0.3">
      <c r="A318" s="1" t="s">
        <v>14</v>
      </c>
      <c r="B318" s="1" t="s">
        <v>65</v>
      </c>
      <c r="C318" s="1" t="s">
        <v>21</v>
      </c>
      <c r="D318" s="1" t="s">
        <v>17</v>
      </c>
      <c r="E318" s="1" t="s">
        <v>30</v>
      </c>
      <c r="F318" s="7">
        <v>40190</v>
      </c>
      <c r="G318" s="1" t="s">
        <v>397</v>
      </c>
      <c r="H318" s="7">
        <v>40209</v>
      </c>
      <c r="I318" s="1">
        <f>Europe_Sales_Records[[#This Row],[Ship Date]]-Europe_Sales_Records[[#This Row],[Order Date]]</f>
        <v>19</v>
      </c>
      <c r="J318" s="1">
        <v>5742</v>
      </c>
      <c r="K318" s="1">
        <v>109.28</v>
      </c>
      <c r="L318" s="1">
        <v>35.840000000000003</v>
      </c>
      <c r="M318" s="1">
        <f>Europe_Sales_Records[[#This Row],[Unit Price]]-Europe_Sales_Records[[#This Row],[Unit Cost]]</f>
        <v>73.44</v>
      </c>
      <c r="N318" s="1">
        <v>627485.76</v>
      </c>
      <c r="O318" s="6">
        <v>205793.28</v>
      </c>
      <c r="P318" s="1">
        <v>421692.48</v>
      </c>
    </row>
    <row r="319" spans="1:16" x14ac:dyDescent="0.3">
      <c r="A319" s="1" t="s">
        <v>14</v>
      </c>
      <c r="B319" s="1" t="s">
        <v>180</v>
      </c>
      <c r="C319" s="1" t="s">
        <v>57</v>
      </c>
      <c r="D319" s="1" t="s">
        <v>17</v>
      </c>
      <c r="E319" s="1" t="s">
        <v>45</v>
      </c>
      <c r="F319" s="7">
        <v>41050</v>
      </c>
      <c r="G319" s="1" t="s">
        <v>398</v>
      </c>
      <c r="H319" s="7">
        <v>41063</v>
      </c>
      <c r="I319" s="1">
        <f>Europe_Sales_Records[[#This Row],[Ship Date]]-Europe_Sales_Records[[#This Row],[Order Date]]</f>
        <v>13</v>
      </c>
      <c r="J319" s="1">
        <v>8473</v>
      </c>
      <c r="K319" s="1">
        <v>668.27</v>
      </c>
      <c r="L319" s="1">
        <v>502.54</v>
      </c>
      <c r="M319" s="1">
        <f>Europe_Sales_Records[[#This Row],[Unit Price]]-Europe_Sales_Records[[#This Row],[Unit Cost]]</f>
        <v>165.72999999999996</v>
      </c>
      <c r="N319" s="1">
        <v>5662251.71</v>
      </c>
      <c r="O319" s="6">
        <v>4258021.42</v>
      </c>
      <c r="P319" s="1">
        <v>1404230.29</v>
      </c>
    </row>
    <row r="320" spans="1:16" x14ac:dyDescent="0.3">
      <c r="A320" s="1" t="s">
        <v>14</v>
      </c>
      <c r="B320" s="1" t="s">
        <v>67</v>
      </c>
      <c r="C320" s="1" t="s">
        <v>48</v>
      </c>
      <c r="D320" s="1" t="s">
        <v>17</v>
      </c>
      <c r="E320" s="1" t="s">
        <v>18</v>
      </c>
      <c r="F320" s="7">
        <v>40355</v>
      </c>
      <c r="G320" s="1" t="s">
        <v>399</v>
      </c>
      <c r="H320" s="7">
        <v>40362</v>
      </c>
      <c r="I320" s="1">
        <f>Europe_Sales_Records[[#This Row],[Ship Date]]-Europe_Sales_Records[[#This Row],[Order Date]]</f>
        <v>7</v>
      </c>
      <c r="J320" s="1">
        <v>6592</v>
      </c>
      <c r="K320" s="1">
        <v>152.58000000000001</v>
      </c>
      <c r="L320" s="1">
        <v>97.44</v>
      </c>
      <c r="M320" s="1">
        <f>Europe_Sales_Records[[#This Row],[Unit Price]]-Europe_Sales_Records[[#This Row],[Unit Cost]]</f>
        <v>55.140000000000015</v>
      </c>
      <c r="N320" s="1">
        <v>1005807.36</v>
      </c>
      <c r="O320" s="6">
        <v>642324.47999999998</v>
      </c>
      <c r="P320" s="1">
        <v>363482.88</v>
      </c>
    </row>
    <row r="321" spans="1:16" x14ac:dyDescent="0.3">
      <c r="A321" s="1" t="s">
        <v>14</v>
      </c>
      <c r="B321" s="1" t="s">
        <v>101</v>
      </c>
      <c r="C321" s="1" t="s">
        <v>39</v>
      </c>
      <c r="D321" s="1" t="s">
        <v>22</v>
      </c>
      <c r="E321" s="1" t="s">
        <v>23</v>
      </c>
      <c r="F321" s="7">
        <v>42856</v>
      </c>
      <c r="G321" s="1" t="s">
        <v>400</v>
      </c>
      <c r="H321" s="7">
        <v>42899</v>
      </c>
      <c r="I321" s="1">
        <f>Europe_Sales_Records[[#This Row],[Ship Date]]-Europe_Sales_Records[[#This Row],[Order Date]]</f>
        <v>43</v>
      </c>
      <c r="J321" s="1">
        <v>6999</v>
      </c>
      <c r="K321" s="1">
        <v>154.06</v>
      </c>
      <c r="L321" s="1">
        <v>90.93</v>
      </c>
      <c r="M321" s="1">
        <f>Europe_Sales_Records[[#This Row],[Unit Price]]-Europe_Sales_Records[[#This Row],[Unit Cost]]</f>
        <v>63.129999999999995</v>
      </c>
      <c r="N321" s="1">
        <v>1078265.94</v>
      </c>
      <c r="O321" s="6">
        <v>636419.06999999995</v>
      </c>
      <c r="P321" s="1">
        <v>441846.87</v>
      </c>
    </row>
    <row r="322" spans="1:16" x14ac:dyDescent="0.3">
      <c r="A322" s="1" t="s">
        <v>14</v>
      </c>
      <c r="B322" s="1" t="s">
        <v>232</v>
      </c>
      <c r="C322" s="1" t="s">
        <v>42</v>
      </c>
      <c r="D322" s="1" t="s">
        <v>17</v>
      </c>
      <c r="E322" s="1" t="s">
        <v>18</v>
      </c>
      <c r="F322" s="7">
        <v>42788</v>
      </c>
      <c r="G322" s="1" t="s">
        <v>401</v>
      </c>
      <c r="H322" s="7">
        <v>42806</v>
      </c>
      <c r="I322" s="1">
        <f>Europe_Sales_Records[[#This Row],[Ship Date]]-Europe_Sales_Records[[#This Row],[Order Date]]</f>
        <v>18</v>
      </c>
      <c r="J322" s="1">
        <v>1162</v>
      </c>
      <c r="K322" s="1">
        <v>421.89</v>
      </c>
      <c r="L322" s="1">
        <v>364.69</v>
      </c>
      <c r="M322" s="1">
        <f>Europe_Sales_Records[[#This Row],[Unit Price]]-Europe_Sales_Records[[#This Row],[Unit Cost]]</f>
        <v>57.199999999999989</v>
      </c>
      <c r="N322" s="1">
        <v>490236.18</v>
      </c>
      <c r="O322" s="6">
        <v>423769.78</v>
      </c>
      <c r="P322" s="1">
        <v>66466.399999999994</v>
      </c>
    </row>
    <row r="323" spans="1:16" x14ac:dyDescent="0.3">
      <c r="A323" s="1" t="s">
        <v>14</v>
      </c>
      <c r="B323" s="1" t="s">
        <v>69</v>
      </c>
      <c r="C323" s="1" t="s">
        <v>26</v>
      </c>
      <c r="D323" s="1" t="s">
        <v>22</v>
      </c>
      <c r="E323" s="1" t="s">
        <v>18</v>
      </c>
      <c r="F323" s="7">
        <v>41584</v>
      </c>
      <c r="G323" s="1" t="s">
        <v>402</v>
      </c>
      <c r="H323" s="7">
        <v>41622</v>
      </c>
      <c r="I323" s="1">
        <f>Europe_Sales_Records[[#This Row],[Ship Date]]-Europe_Sales_Records[[#This Row],[Order Date]]</f>
        <v>38</v>
      </c>
      <c r="J323" s="1">
        <v>4477</v>
      </c>
      <c r="K323" s="1">
        <v>205.7</v>
      </c>
      <c r="L323" s="1">
        <v>117.11</v>
      </c>
      <c r="M323" s="1">
        <f>Europe_Sales_Records[[#This Row],[Unit Price]]-Europe_Sales_Records[[#This Row],[Unit Cost]]</f>
        <v>88.589999999999989</v>
      </c>
      <c r="N323" s="1">
        <v>920918.9</v>
      </c>
      <c r="O323" s="6">
        <v>524301.47</v>
      </c>
      <c r="P323" s="1">
        <v>396617.43</v>
      </c>
    </row>
    <row r="324" spans="1:16" x14ac:dyDescent="0.3">
      <c r="A324" s="1" t="s">
        <v>14</v>
      </c>
      <c r="B324" s="1" t="s">
        <v>118</v>
      </c>
      <c r="C324" s="1" t="s">
        <v>42</v>
      </c>
      <c r="D324" s="1" t="s">
        <v>22</v>
      </c>
      <c r="E324" s="1" t="s">
        <v>23</v>
      </c>
      <c r="F324" s="7">
        <v>41593</v>
      </c>
      <c r="G324" s="1" t="s">
        <v>403</v>
      </c>
      <c r="H324" s="7">
        <v>41612</v>
      </c>
      <c r="I324" s="1">
        <f>Europe_Sales_Records[[#This Row],[Ship Date]]-Europe_Sales_Records[[#This Row],[Order Date]]</f>
        <v>19</v>
      </c>
      <c r="J324" s="1">
        <v>9336</v>
      </c>
      <c r="K324" s="1">
        <v>421.89</v>
      </c>
      <c r="L324" s="1">
        <v>364.69</v>
      </c>
      <c r="M324" s="1">
        <f>Europe_Sales_Records[[#This Row],[Unit Price]]-Europe_Sales_Records[[#This Row],[Unit Cost]]</f>
        <v>57.199999999999989</v>
      </c>
      <c r="N324" s="1">
        <v>3938765.04</v>
      </c>
      <c r="O324" s="6">
        <v>3404745.84</v>
      </c>
      <c r="P324" s="1">
        <v>534019.19999999995</v>
      </c>
    </row>
    <row r="325" spans="1:16" x14ac:dyDescent="0.3">
      <c r="A325" s="1" t="s">
        <v>14</v>
      </c>
      <c r="B325" s="1" t="s">
        <v>219</v>
      </c>
      <c r="C325" s="1" t="s">
        <v>33</v>
      </c>
      <c r="D325" s="1" t="s">
        <v>17</v>
      </c>
      <c r="E325" s="1" t="s">
        <v>30</v>
      </c>
      <c r="F325" s="7">
        <v>40383</v>
      </c>
      <c r="G325" s="1" t="s">
        <v>404</v>
      </c>
      <c r="H325" s="7">
        <v>40405</v>
      </c>
      <c r="I325" s="1">
        <f>Europe_Sales_Records[[#This Row],[Ship Date]]-Europe_Sales_Records[[#This Row],[Order Date]]</f>
        <v>22</v>
      </c>
      <c r="J325" s="1">
        <v>9958</v>
      </c>
      <c r="K325" s="1">
        <v>9.33</v>
      </c>
      <c r="L325" s="1">
        <v>6.92</v>
      </c>
      <c r="M325" s="1">
        <f>Europe_Sales_Records[[#This Row],[Unit Price]]-Europe_Sales_Records[[#This Row],[Unit Cost]]</f>
        <v>2.41</v>
      </c>
      <c r="N325" s="1">
        <v>92908.14</v>
      </c>
      <c r="O325" s="6">
        <v>68909.36</v>
      </c>
      <c r="P325" s="1">
        <v>23998.78</v>
      </c>
    </row>
    <row r="326" spans="1:16" x14ac:dyDescent="0.3">
      <c r="A326" s="1" t="s">
        <v>14</v>
      </c>
      <c r="B326" s="1" t="s">
        <v>63</v>
      </c>
      <c r="C326" s="1" t="s">
        <v>52</v>
      </c>
      <c r="D326" s="1" t="s">
        <v>22</v>
      </c>
      <c r="E326" s="1" t="s">
        <v>30</v>
      </c>
      <c r="F326" s="7">
        <v>40422</v>
      </c>
      <c r="G326" s="1" t="s">
        <v>405</v>
      </c>
      <c r="H326" s="7">
        <v>40454</v>
      </c>
      <c r="I326" s="1">
        <f>Europe_Sales_Records[[#This Row],[Ship Date]]-Europe_Sales_Records[[#This Row],[Order Date]]</f>
        <v>32</v>
      </c>
      <c r="J326" s="1">
        <v>3136</v>
      </c>
      <c r="K326" s="1">
        <v>255.28</v>
      </c>
      <c r="L326" s="1">
        <v>159.41999999999999</v>
      </c>
      <c r="M326" s="1">
        <f>Europe_Sales_Records[[#This Row],[Unit Price]]-Europe_Sales_Records[[#This Row],[Unit Cost]]</f>
        <v>95.860000000000014</v>
      </c>
      <c r="N326" s="1">
        <v>800558.07999999996</v>
      </c>
      <c r="O326" s="6">
        <v>499941.12</v>
      </c>
      <c r="P326" s="1">
        <v>300616.96000000002</v>
      </c>
    </row>
    <row r="327" spans="1:16" x14ac:dyDescent="0.3">
      <c r="A327" s="1" t="s">
        <v>14</v>
      </c>
      <c r="B327" s="1" t="s">
        <v>180</v>
      </c>
      <c r="C327" s="1" t="s">
        <v>79</v>
      </c>
      <c r="D327" s="1" t="s">
        <v>17</v>
      </c>
      <c r="E327" s="1" t="s">
        <v>30</v>
      </c>
      <c r="F327" s="7">
        <v>41027</v>
      </c>
      <c r="G327" s="1" t="s">
        <v>406</v>
      </c>
      <c r="H327" s="7">
        <v>41059</v>
      </c>
      <c r="I327" s="1">
        <f>Europe_Sales_Records[[#This Row],[Ship Date]]-Europe_Sales_Records[[#This Row],[Order Date]]</f>
        <v>32</v>
      </c>
      <c r="J327" s="1">
        <v>5143</v>
      </c>
      <c r="K327" s="1">
        <v>81.73</v>
      </c>
      <c r="L327" s="1">
        <v>56.67</v>
      </c>
      <c r="M327" s="1">
        <f>Europe_Sales_Records[[#This Row],[Unit Price]]-Europe_Sales_Records[[#This Row],[Unit Cost]]</f>
        <v>25.060000000000002</v>
      </c>
      <c r="N327" s="1">
        <v>420337.39</v>
      </c>
      <c r="O327" s="6">
        <v>291453.81</v>
      </c>
      <c r="P327" s="1">
        <v>128883.58</v>
      </c>
    </row>
    <row r="328" spans="1:16" x14ac:dyDescent="0.3">
      <c r="A328" s="1" t="s">
        <v>14</v>
      </c>
      <c r="B328" s="1" t="s">
        <v>41</v>
      </c>
      <c r="C328" s="1" t="s">
        <v>57</v>
      </c>
      <c r="D328" s="1" t="s">
        <v>17</v>
      </c>
      <c r="E328" s="1" t="s">
        <v>30</v>
      </c>
      <c r="F328" s="7">
        <v>42204</v>
      </c>
      <c r="G328" s="1" t="s">
        <v>407</v>
      </c>
      <c r="H328" s="7">
        <v>42237</v>
      </c>
      <c r="I328" s="1">
        <f>Europe_Sales_Records[[#This Row],[Ship Date]]-Europe_Sales_Records[[#This Row],[Order Date]]</f>
        <v>33</v>
      </c>
      <c r="J328" s="1">
        <v>1607</v>
      </c>
      <c r="K328" s="1">
        <v>668.27</v>
      </c>
      <c r="L328" s="1">
        <v>502.54</v>
      </c>
      <c r="M328" s="1">
        <f>Europe_Sales_Records[[#This Row],[Unit Price]]-Europe_Sales_Records[[#This Row],[Unit Cost]]</f>
        <v>165.72999999999996</v>
      </c>
      <c r="N328" s="1">
        <v>1073909.8899999999</v>
      </c>
      <c r="O328" s="6">
        <v>807581.78</v>
      </c>
      <c r="P328" s="1">
        <v>266328.11</v>
      </c>
    </row>
    <row r="329" spans="1:16" x14ac:dyDescent="0.3">
      <c r="A329" s="1" t="s">
        <v>14</v>
      </c>
      <c r="B329" s="1" t="s">
        <v>219</v>
      </c>
      <c r="C329" s="1" t="s">
        <v>21</v>
      </c>
      <c r="D329" s="1" t="s">
        <v>17</v>
      </c>
      <c r="E329" s="1" t="s">
        <v>30</v>
      </c>
      <c r="F329" s="7">
        <v>42747</v>
      </c>
      <c r="G329" s="1" t="s">
        <v>408</v>
      </c>
      <c r="H329" s="7">
        <v>42795</v>
      </c>
      <c r="I329" s="1">
        <f>Europe_Sales_Records[[#This Row],[Ship Date]]-Europe_Sales_Records[[#This Row],[Order Date]]</f>
        <v>48</v>
      </c>
      <c r="J329" s="1">
        <v>9610</v>
      </c>
      <c r="K329" s="1">
        <v>109.28</v>
      </c>
      <c r="L329" s="1">
        <v>35.840000000000003</v>
      </c>
      <c r="M329" s="1">
        <f>Europe_Sales_Records[[#This Row],[Unit Price]]-Europe_Sales_Records[[#This Row],[Unit Cost]]</f>
        <v>73.44</v>
      </c>
      <c r="N329" s="1">
        <v>1050180.8</v>
      </c>
      <c r="O329" s="6">
        <v>344422.40000000002</v>
      </c>
      <c r="P329" s="1">
        <v>705758.4</v>
      </c>
    </row>
    <row r="330" spans="1:16" x14ac:dyDescent="0.3">
      <c r="A330" s="1" t="s">
        <v>14</v>
      </c>
      <c r="B330" s="1" t="s">
        <v>103</v>
      </c>
      <c r="C330" s="1" t="s">
        <v>16</v>
      </c>
      <c r="D330" s="1" t="s">
        <v>22</v>
      </c>
      <c r="E330" s="1" t="s">
        <v>18</v>
      </c>
      <c r="F330" s="7">
        <v>41191</v>
      </c>
      <c r="G330" s="1" t="s">
        <v>409</v>
      </c>
      <c r="H330" s="7">
        <v>41211</v>
      </c>
      <c r="I330" s="1">
        <f>Europe_Sales_Records[[#This Row],[Ship Date]]-Europe_Sales_Records[[#This Row],[Order Date]]</f>
        <v>20</v>
      </c>
      <c r="J330" s="1">
        <v>1124</v>
      </c>
      <c r="K330" s="1">
        <v>47.45</v>
      </c>
      <c r="L330" s="1">
        <v>31.79</v>
      </c>
      <c r="M330" s="1">
        <f>Europe_Sales_Records[[#This Row],[Unit Price]]-Europe_Sales_Records[[#This Row],[Unit Cost]]</f>
        <v>15.660000000000004</v>
      </c>
      <c r="N330" s="1">
        <v>53333.8</v>
      </c>
      <c r="O330" s="6">
        <v>35731.96</v>
      </c>
      <c r="P330" s="1">
        <v>17601.84</v>
      </c>
    </row>
    <row r="331" spans="1:16" x14ac:dyDescent="0.3">
      <c r="A331" s="1" t="s">
        <v>14</v>
      </c>
      <c r="B331" s="1" t="s">
        <v>75</v>
      </c>
      <c r="C331" s="1" t="s">
        <v>52</v>
      </c>
      <c r="D331" s="1" t="s">
        <v>22</v>
      </c>
      <c r="E331" s="1" t="s">
        <v>30</v>
      </c>
      <c r="F331" s="7">
        <v>42671</v>
      </c>
      <c r="G331" s="1" t="s">
        <v>410</v>
      </c>
      <c r="H331" s="7">
        <v>42706</v>
      </c>
      <c r="I331" s="1">
        <f>Europe_Sales_Records[[#This Row],[Ship Date]]-Europe_Sales_Records[[#This Row],[Order Date]]</f>
        <v>35</v>
      </c>
      <c r="J331" s="1">
        <v>486</v>
      </c>
      <c r="K331" s="1">
        <v>255.28</v>
      </c>
      <c r="L331" s="1">
        <v>159.41999999999999</v>
      </c>
      <c r="M331" s="1">
        <f>Europe_Sales_Records[[#This Row],[Unit Price]]-Europe_Sales_Records[[#This Row],[Unit Cost]]</f>
        <v>95.860000000000014</v>
      </c>
      <c r="N331" s="1">
        <v>124066.08</v>
      </c>
      <c r="O331" s="6">
        <v>77478.12</v>
      </c>
      <c r="P331" s="1">
        <v>46587.96</v>
      </c>
    </row>
    <row r="332" spans="1:16" x14ac:dyDescent="0.3">
      <c r="A332" s="1" t="s">
        <v>14</v>
      </c>
      <c r="B332" s="1" t="s">
        <v>164</v>
      </c>
      <c r="C332" s="1" t="s">
        <v>16</v>
      </c>
      <c r="D332" s="1" t="s">
        <v>22</v>
      </c>
      <c r="E332" s="1" t="s">
        <v>23</v>
      </c>
      <c r="F332" s="7">
        <v>41941</v>
      </c>
      <c r="G332" s="1" t="s">
        <v>411</v>
      </c>
      <c r="H332" s="7">
        <v>41974</v>
      </c>
      <c r="I332" s="1">
        <f>Europe_Sales_Records[[#This Row],[Ship Date]]-Europe_Sales_Records[[#This Row],[Order Date]]</f>
        <v>33</v>
      </c>
      <c r="J332" s="1">
        <v>8743</v>
      </c>
      <c r="K332" s="1">
        <v>47.45</v>
      </c>
      <c r="L332" s="1">
        <v>31.79</v>
      </c>
      <c r="M332" s="1">
        <f>Europe_Sales_Records[[#This Row],[Unit Price]]-Europe_Sales_Records[[#This Row],[Unit Cost]]</f>
        <v>15.660000000000004</v>
      </c>
      <c r="N332" s="1">
        <v>414855.35</v>
      </c>
      <c r="O332" s="6">
        <v>277939.96999999997</v>
      </c>
      <c r="P332" s="1">
        <v>136915.38</v>
      </c>
    </row>
    <row r="333" spans="1:16" x14ac:dyDescent="0.3">
      <c r="A333" s="1" t="s">
        <v>14</v>
      </c>
      <c r="B333" s="1" t="s">
        <v>28</v>
      </c>
      <c r="C333" s="1" t="s">
        <v>21</v>
      </c>
      <c r="D333" s="1" t="s">
        <v>17</v>
      </c>
      <c r="E333" s="1" t="s">
        <v>18</v>
      </c>
      <c r="F333" s="7">
        <v>40239</v>
      </c>
      <c r="G333" s="1" t="s">
        <v>412</v>
      </c>
      <c r="H333" s="7">
        <v>40283</v>
      </c>
      <c r="I333" s="1">
        <f>Europe_Sales_Records[[#This Row],[Ship Date]]-Europe_Sales_Records[[#This Row],[Order Date]]</f>
        <v>44</v>
      </c>
      <c r="J333" s="1">
        <v>8504</v>
      </c>
      <c r="K333" s="1">
        <v>109.28</v>
      </c>
      <c r="L333" s="1">
        <v>35.840000000000003</v>
      </c>
      <c r="M333" s="1">
        <f>Europe_Sales_Records[[#This Row],[Unit Price]]-Europe_Sales_Records[[#This Row],[Unit Cost]]</f>
        <v>73.44</v>
      </c>
      <c r="N333" s="1">
        <v>929317.12</v>
      </c>
      <c r="O333" s="6">
        <v>304783.35999999999</v>
      </c>
      <c r="P333" s="1">
        <v>624533.76000000001</v>
      </c>
    </row>
    <row r="334" spans="1:16" x14ac:dyDescent="0.3">
      <c r="A334" s="1" t="s">
        <v>14</v>
      </c>
      <c r="B334" s="1" t="s">
        <v>172</v>
      </c>
      <c r="C334" s="1" t="s">
        <v>57</v>
      </c>
      <c r="D334" s="1" t="s">
        <v>22</v>
      </c>
      <c r="E334" s="1" t="s">
        <v>18</v>
      </c>
      <c r="F334" s="7">
        <v>41817</v>
      </c>
      <c r="G334" s="1" t="s">
        <v>413</v>
      </c>
      <c r="H334" s="7">
        <v>41854</v>
      </c>
      <c r="I334" s="1">
        <f>Europe_Sales_Records[[#This Row],[Ship Date]]-Europe_Sales_Records[[#This Row],[Order Date]]</f>
        <v>37</v>
      </c>
      <c r="J334" s="1">
        <v>2091</v>
      </c>
      <c r="K334" s="1">
        <v>668.27</v>
      </c>
      <c r="L334" s="1">
        <v>502.54</v>
      </c>
      <c r="M334" s="1">
        <f>Europe_Sales_Records[[#This Row],[Unit Price]]-Europe_Sales_Records[[#This Row],[Unit Cost]]</f>
        <v>165.72999999999996</v>
      </c>
      <c r="N334" s="1">
        <v>1397352.57</v>
      </c>
      <c r="O334" s="6">
        <v>1050811.1399999999</v>
      </c>
      <c r="P334" s="1">
        <v>346541.43</v>
      </c>
    </row>
    <row r="335" spans="1:16" x14ac:dyDescent="0.3">
      <c r="A335" s="1" t="s">
        <v>14</v>
      </c>
      <c r="B335" s="1" t="s">
        <v>97</v>
      </c>
      <c r="C335" s="1" t="s">
        <v>29</v>
      </c>
      <c r="D335" s="1" t="s">
        <v>22</v>
      </c>
      <c r="E335" s="1" t="s">
        <v>30</v>
      </c>
      <c r="F335" s="7">
        <v>41774</v>
      </c>
      <c r="G335" s="1" t="s">
        <v>414</v>
      </c>
      <c r="H335" s="7">
        <v>41799</v>
      </c>
      <c r="I335" s="1">
        <f>Europe_Sales_Records[[#This Row],[Ship Date]]-Europe_Sales_Records[[#This Row],[Order Date]]</f>
        <v>25</v>
      </c>
      <c r="J335" s="1">
        <v>2809</v>
      </c>
      <c r="K335" s="1">
        <v>651.21</v>
      </c>
      <c r="L335" s="1">
        <v>524.96</v>
      </c>
      <c r="M335" s="1">
        <f>Europe_Sales_Records[[#This Row],[Unit Price]]-Europe_Sales_Records[[#This Row],[Unit Cost]]</f>
        <v>126.25</v>
      </c>
      <c r="N335" s="1">
        <v>1829248.89</v>
      </c>
      <c r="O335" s="6">
        <v>1474612.64</v>
      </c>
      <c r="P335" s="1">
        <v>354636.25</v>
      </c>
    </row>
    <row r="336" spans="1:16" x14ac:dyDescent="0.3">
      <c r="A336" s="1" t="s">
        <v>14</v>
      </c>
      <c r="B336" s="1" t="s">
        <v>157</v>
      </c>
      <c r="C336" s="1" t="s">
        <v>29</v>
      </c>
      <c r="D336" s="1" t="s">
        <v>17</v>
      </c>
      <c r="E336" s="1" t="s">
        <v>30</v>
      </c>
      <c r="F336" s="7">
        <v>41234</v>
      </c>
      <c r="G336" s="1" t="s">
        <v>415</v>
      </c>
      <c r="H336" s="7">
        <v>41272</v>
      </c>
      <c r="I336" s="1">
        <f>Europe_Sales_Records[[#This Row],[Ship Date]]-Europe_Sales_Records[[#This Row],[Order Date]]</f>
        <v>38</v>
      </c>
      <c r="J336" s="1">
        <v>2908</v>
      </c>
      <c r="K336" s="1">
        <v>651.21</v>
      </c>
      <c r="L336" s="1">
        <v>524.96</v>
      </c>
      <c r="M336" s="1">
        <f>Europe_Sales_Records[[#This Row],[Unit Price]]-Europe_Sales_Records[[#This Row],[Unit Cost]]</f>
        <v>126.25</v>
      </c>
      <c r="N336" s="1">
        <v>1893718.68</v>
      </c>
      <c r="O336" s="6">
        <v>1526583.68</v>
      </c>
      <c r="P336" s="1">
        <v>367135</v>
      </c>
    </row>
    <row r="337" spans="1:16" x14ac:dyDescent="0.3">
      <c r="A337" s="1" t="s">
        <v>14</v>
      </c>
      <c r="B337" s="1" t="s">
        <v>41</v>
      </c>
      <c r="C337" s="1" t="s">
        <v>48</v>
      </c>
      <c r="D337" s="1" t="s">
        <v>22</v>
      </c>
      <c r="E337" s="1" t="s">
        <v>30</v>
      </c>
      <c r="F337" s="7">
        <v>40988</v>
      </c>
      <c r="G337" s="1" t="s">
        <v>416</v>
      </c>
      <c r="H337" s="7">
        <v>41012</v>
      </c>
      <c r="I337" s="1">
        <f>Europe_Sales_Records[[#This Row],[Ship Date]]-Europe_Sales_Records[[#This Row],[Order Date]]</f>
        <v>24</v>
      </c>
      <c r="J337" s="1">
        <v>2758</v>
      </c>
      <c r="K337" s="1">
        <v>152.58000000000001</v>
      </c>
      <c r="L337" s="1">
        <v>97.44</v>
      </c>
      <c r="M337" s="1">
        <f>Europe_Sales_Records[[#This Row],[Unit Price]]-Europe_Sales_Records[[#This Row],[Unit Cost]]</f>
        <v>55.140000000000015</v>
      </c>
      <c r="N337" s="1">
        <v>420815.64</v>
      </c>
      <c r="O337" s="6">
        <v>268739.52</v>
      </c>
      <c r="P337" s="1">
        <v>152076.12</v>
      </c>
    </row>
    <row r="338" spans="1:16" x14ac:dyDescent="0.3">
      <c r="A338" s="1" t="s">
        <v>14</v>
      </c>
      <c r="B338" s="1" t="s">
        <v>67</v>
      </c>
      <c r="C338" s="1" t="s">
        <v>57</v>
      </c>
      <c r="D338" s="1" t="s">
        <v>17</v>
      </c>
      <c r="E338" s="1" t="s">
        <v>45</v>
      </c>
      <c r="F338" s="7">
        <v>42053</v>
      </c>
      <c r="G338" s="1" t="s">
        <v>417</v>
      </c>
      <c r="H338" s="7">
        <v>42057</v>
      </c>
      <c r="I338" s="1">
        <f>Europe_Sales_Records[[#This Row],[Ship Date]]-Europe_Sales_Records[[#This Row],[Order Date]]</f>
        <v>4</v>
      </c>
      <c r="J338" s="1">
        <v>2873</v>
      </c>
      <c r="K338" s="1">
        <v>668.27</v>
      </c>
      <c r="L338" s="1">
        <v>502.54</v>
      </c>
      <c r="M338" s="1">
        <f>Europe_Sales_Records[[#This Row],[Unit Price]]-Europe_Sales_Records[[#This Row],[Unit Cost]]</f>
        <v>165.72999999999996</v>
      </c>
      <c r="N338" s="1">
        <v>1919939.71</v>
      </c>
      <c r="O338" s="6">
        <v>1443797.42</v>
      </c>
      <c r="P338" s="1">
        <v>476142.29</v>
      </c>
    </row>
    <row r="339" spans="1:16" x14ac:dyDescent="0.3">
      <c r="A339" s="1" t="s">
        <v>14</v>
      </c>
      <c r="B339" s="1" t="s">
        <v>71</v>
      </c>
      <c r="C339" s="1" t="s">
        <v>52</v>
      </c>
      <c r="D339" s="1" t="s">
        <v>22</v>
      </c>
      <c r="E339" s="1" t="s">
        <v>45</v>
      </c>
      <c r="F339" s="7">
        <v>42022</v>
      </c>
      <c r="G339" s="1" t="s">
        <v>418</v>
      </c>
      <c r="H339" s="7">
        <v>42051</v>
      </c>
      <c r="I339" s="1">
        <f>Europe_Sales_Records[[#This Row],[Ship Date]]-Europe_Sales_Records[[#This Row],[Order Date]]</f>
        <v>29</v>
      </c>
      <c r="J339" s="1">
        <v>9052</v>
      </c>
      <c r="K339" s="1">
        <v>255.28</v>
      </c>
      <c r="L339" s="1">
        <v>159.41999999999999</v>
      </c>
      <c r="M339" s="1">
        <f>Europe_Sales_Records[[#This Row],[Unit Price]]-Europe_Sales_Records[[#This Row],[Unit Cost]]</f>
        <v>95.860000000000014</v>
      </c>
      <c r="N339" s="1">
        <v>2310794.56</v>
      </c>
      <c r="O339" s="6">
        <v>1443069.84</v>
      </c>
      <c r="P339" s="1">
        <v>867724.72</v>
      </c>
    </row>
    <row r="340" spans="1:16" x14ac:dyDescent="0.3">
      <c r="A340" s="1" t="s">
        <v>14</v>
      </c>
      <c r="B340" s="1" t="s">
        <v>97</v>
      </c>
      <c r="C340" s="1" t="s">
        <v>52</v>
      </c>
      <c r="D340" s="1" t="s">
        <v>17</v>
      </c>
      <c r="E340" s="1" t="s">
        <v>30</v>
      </c>
      <c r="F340" s="7">
        <v>41070</v>
      </c>
      <c r="G340" s="1" t="s">
        <v>419</v>
      </c>
      <c r="H340" s="7">
        <v>41089</v>
      </c>
      <c r="I340" s="1">
        <f>Europe_Sales_Records[[#This Row],[Ship Date]]-Europe_Sales_Records[[#This Row],[Order Date]]</f>
        <v>19</v>
      </c>
      <c r="J340" s="1">
        <v>8641</v>
      </c>
      <c r="K340" s="1">
        <v>255.28</v>
      </c>
      <c r="L340" s="1">
        <v>159.41999999999999</v>
      </c>
      <c r="M340" s="1">
        <f>Europe_Sales_Records[[#This Row],[Unit Price]]-Europe_Sales_Records[[#This Row],[Unit Cost]]</f>
        <v>95.860000000000014</v>
      </c>
      <c r="N340" s="1">
        <v>2205874.48</v>
      </c>
      <c r="O340" s="6">
        <v>1377548.22</v>
      </c>
      <c r="P340" s="1">
        <v>828326.26</v>
      </c>
    </row>
    <row r="341" spans="1:16" x14ac:dyDescent="0.3">
      <c r="A341" s="1" t="s">
        <v>14</v>
      </c>
      <c r="B341" s="1" t="s">
        <v>56</v>
      </c>
      <c r="C341" s="1" t="s">
        <v>33</v>
      </c>
      <c r="D341" s="1" t="s">
        <v>17</v>
      </c>
      <c r="E341" s="1" t="s">
        <v>45</v>
      </c>
      <c r="F341" s="7">
        <v>41357</v>
      </c>
      <c r="G341" s="1" t="s">
        <v>420</v>
      </c>
      <c r="H341" s="7">
        <v>41375</v>
      </c>
      <c r="I341" s="1">
        <f>Europe_Sales_Records[[#This Row],[Ship Date]]-Europe_Sales_Records[[#This Row],[Order Date]]</f>
        <v>18</v>
      </c>
      <c r="J341" s="1">
        <v>9127</v>
      </c>
      <c r="K341" s="1">
        <v>9.33</v>
      </c>
      <c r="L341" s="1">
        <v>6.92</v>
      </c>
      <c r="M341" s="1">
        <f>Europe_Sales_Records[[#This Row],[Unit Price]]-Europe_Sales_Records[[#This Row],[Unit Cost]]</f>
        <v>2.41</v>
      </c>
      <c r="N341" s="1">
        <v>85154.91</v>
      </c>
      <c r="O341" s="6">
        <v>63158.84</v>
      </c>
      <c r="P341" s="1">
        <v>21996.07</v>
      </c>
    </row>
    <row r="342" spans="1:16" x14ac:dyDescent="0.3">
      <c r="A342" s="1" t="s">
        <v>14</v>
      </c>
      <c r="B342" s="1" t="s">
        <v>94</v>
      </c>
      <c r="C342" s="1" t="s">
        <v>79</v>
      </c>
      <c r="D342" s="1" t="s">
        <v>17</v>
      </c>
      <c r="E342" s="1" t="s">
        <v>18</v>
      </c>
      <c r="F342" s="7">
        <v>41808</v>
      </c>
      <c r="G342" s="1" t="s">
        <v>421</v>
      </c>
      <c r="H342" s="7">
        <v>41846</v>
      </c>
      <c r="I342" s="1">
        <f>Europe_Sales_Records[[#This Row],[Ship Date]]-Europe_Sales_Records[[#This Row],[Order Date]]</f>
        <v>38</v>
      </c>
      <c r="J342" s="1">
        <v>2802</v>
      </c>
      <c r="K342" s="1">
        <v>81.73</v>
      </c>
      <c r="L342" s="1">
        <v>56.67</v>
      </c>
      <c r="M342" s="1">
        <f>Europe_Sales_Records[[#This Row],[Unit Price]]-Europe_Sales_Records[[#This Row],[Unit Cost]]</f>
        <v>25.060000000000002</v>
      </c>
      <c r="N342" s="1">
        <v>229007.46</v>
      </c>
      <c r="O342" s="6">
        <v>158789.34</v>
      </c>
      <c r="P342" s="1">
        <v>70218.12</v>
      </c>
    </row>
    <row r="343" spans="1:16" x14ac:dyDescent="0.3">
      <c r="A343" s="1" t="s">
        <v>14</v>
      </c>
      <c r="B343" s="1" t="s">
        <v>219</v>
      </c>
      <c r="C343" s="1" t="s">
        <v>60</v>
      </c>
      <c r="D343" s="1" t="s">
        <v>17</v>
      </c>
      <c r="E343" s="1" t="s">
        <v>23</v>
      </c>
      <c r="F343" s="7">
        <v>40889</v>
      </c>
      <c r="G343" s="1" t="s">
        <v>422</v>
      </c>
      <c r="H343" s="7">
        <v>40901</v>
      </c>
      <c r="I343" s="1">
        <f>Europe_Sales_Records[[#This Row],[Ship Date]]-Europe_Sales_Records[[#This Row],[Order Date]]</f>
        <v>12</v>
      </c>
      <c r="J343" s="1">
        <v>8801</v>
      </c>
      <c r="K343" s="1">
        <v>437.2</v>
      </c>
      <c r="L343" s="1">
        <v>263.33</v>
      </c>
      <c r="M343" s="1">
        <f>Europe_Sales_Records[[#This Row],[Unit Price]]-Europe_Sales_Records[[#This Row],[Unit Cost]]</f>
        <v>173.87</v>
      </c>
      <c r="N343" s="1">
        <v>3847797.2</v>
      </c>
      <c r="O343" s="6">
        <v>2317567.33</v>
      </c>
      <c r="P343" s="1">
        <v>1530229.87</v>
      </c>
    </row>
    <row r="344" spans="1:16" x14ac:dyDescent="0.3">
      <c r="A344" s="1" t="s">
        <v>14</v>
      </c>
      <c r="B344" s="1" t="s">
        <v>172</v>
      </c>
      <c r="C344" s="1" t="s">
        <v>39</v>
      </c>
      <c r="D344" s="1" t="s">
        <v>17</v>
      </c>
      <c r="E344" s="1" t="s">
        <v>30</v>
      </c>
      <c r="F344" s="7">
        <v>42379</v>
      </c>
      <c r="G344" s="1" t="s">
        <v>423</v>
      </c>
      <c r="H344" s="7">
        <v>42390</v>
      </c>
      <c r="I344" s="1">
        <f>Europe_Sales_Records[[#This Row],[Ship Date]]-Europe_Sales_Records[[#This Row],[Order Date]]</f>
        <v>11</v>
      </c>
      <c r="J344" s="1">
        <v>5037</v>
      </c>
      <c r="K344" s="1">
        <v>154.06</v>
      </c>
      <c r="L344" s="1">
        <v>90.93</v>
      </c>
      <c r="M344" s="1">
        <f>Europe_Sales_Records[[#This Row],[Unit Price]]-Europe_Sales_Records[[#This Row],[Unit Cost]]</f>
        <v>63.129999999999995</v>
      </c>
      <c r="N344" s="1">
        <v>776000.22</v>
      </c>
      <c r="O344" s="6">
        <v>458014.41</v>
      </c>
      <c r="P344" s="1">
        <v>317985.81</v>
      </c>
    </row>
    <row r="345" spans="1:16" x14ac:dyDescent="0.3">
      <c r="A345" s="1" t="s">
        <v>14</v>
      </c>
      <c r="B345" s="1" t="s">
        <v>59</v>
      </c>
      <c r="C345" s="1" t="s">
        <v>57</v>
      </c>
      <c r="D345" s="1" t="s">
        <v>22</v>
      </c>
      <c r="E345" s="1" t="s">
        <v>45</v>
      </c>
      <c r="F345" s="7">
        <v>40387</v>
      </c>
      <c r="G345" s="1" t="s">
        <v>424</v>
      </c>
      <c r="H345" s="7">
        <v>40434</v>
      </c>
      <c r="I345" s="1">
        <f>Europe_Sales_Records[[#This Row],[Ship Date]]-Europe_Sales_Records[[#This Row],[Order Date]]</f>
        <v>47</v>
      </c>
      <c r="J345" s="1">
        <v>3562</v>
      </c>
      <c r="K345" s="1">
        <v>668.27</v>
      </c>
      <c r="L345" s="1">
        <v>502.54</v>
      </c>
      <c r="M345" s="1">
        <f>Europe_Sales_Records[[#This Row],[Unit Price]]-Europe_Sales_Records[[#This Row],[Unit Cost]]</f>
        <v>165.72999999999996</v>
      </c>
      <c r="N345" s="1">
        <v>2380377.7400000002</v>
      </c>
      <c r="O345" s="6">
        <v>1790047.48</v>
      </c>
      <c r="P345" s="1">
        <v>590330.26</v>
      </c>
    </row>
    <row r="346" spans="1:16" x14ac:dyDescent="0.3">
      <c r="A346" s="1" t="s">
        <v>14</v>
      </c>
      <c r="B346" s="1" t="s">
        <v>28</v>
      </c>
      <c r="C346" s="1" t="s">
        <v>48</v>
      </c>
      <c r="D346" s="1" t="s">
        <v>17</v>
      </c>
      <c r="E346" s="1" t="s">
        <v>30</v>
      </c>
      <c r="F346" s="7">
        <v>40238</v>
      </c>
      <c r="G346" s="1" t="s">
        <v>425</v>
      </c>
      <c r="H346" s="7">
        <v>40260</v>
      </c>
      <c r="I346" s="1">
        <f>Europe_Sales_Records[[#This Row],[Ship Date]]-Europe_Sales_Records[[#This Row],[Order Date]]</f>
        <v>22</v>
      </c>
      <c r="J346" s="1">
        <v>422</v>
      </c>
      <c r="K346" s="1">
        <v>152.58000000000001</v>
      </c>
      <c r="L346" s="1">
        <v>97.44</v>
      </c>
      <c r="M346" s="1">
        <f>Europe_Sales_Records[[#This Row],[Unit Price]]-Europe_Sales_Records[[#This Row],[Unit Cost]]</f>
        <v>55.140000000000015</v>
      </c>
      <c r="N346" s="1">
        <v>64388.76</v>
      </c>
      <c r="O346" s="6">
        <v>41119.68</v>
      </c>
      <c r="P346" s="1">
        <v>23269.08</v>
      </c>
    </row>
    <row r="347" spans="1:16" x14ac:dyDescent="0.3">
      <c r="A347" s="1" t="s">
        <v>14</v>
      </c>
      <c r="B347" s="1" t="s">
        <v>50</v>
      </c>
      <c r="C347" s="1" t="s">
        <v>79</v>
      </c>
      <c r="D347" s="1" t="s">
        <v>17</v>
      </c>
      <c r="E347" s="1" t="s">
        <v>45</v>
      </c>
      <c r="F347" s="7">
        <v>42276</v>
      </c>
      <c r="G347" s="1" t="s">
        <v>426</v>
      </c>
      <c r="H347" s="7">
        <v>42278</v>
      </c>
      <c r="I347" s="1">
        <f>Europe_Sales_Records[[#This Row],[Ship Date]]-Europe_Sales_Records[[#This Row],[Order Date]]</f>
        <v>2</v>
      </c>
      <c r="J347" s="1">
        <v>2624</v>
      </c>
      <c r="K347" s="1">
        <v>81.73</v>
      </c>
      <c r="L347" s="1">
        <v>56.67</v>
      </c>
      <c r="M347" s="1">
        <f>Europe_Sales_Records[[#This Row],[Unit Price]]-Europe_Sales_Records[[#This Row],[Unit Cost]]</f>
        <v>25.060000000000002</v>
      </c>
      <c r="N347" s="1">
        <v>214459.51999999999</v>
      </c>
      <c r="O347" s="6">
        <v>148702.07999999999</v>
      </c>
      <c r="P347" s="1">
        <v>65757.440000000002</v>
      </c>
    </row>
    <row r="348" spans="1:16" x14ac:dyDescent="0.3">
      <c r="A348" s="1" t="s">
        <v>14</v>
      </c>
      <c r="B348" s="1" t="s">
        <v>65</v>
      </c>
      <c r="C348" s="1" t="s">
        <v>33</v>
      </c>
      <c r="D348" s="1" t="s">
        <v>22</v>
      </c>
      <c r="E348" s="1" t="s">
        <v>18</v>
      </c>
      <c r="F348" s="7">
        <v>42273</v>
      </c>
      <c r="G348" s="1" t="s">
        <v>427</v>
      </c>
      <c r="H348" s="7">
        <v>42287</v>
      </c>
      <c r="I348" s="1">
        <f>Europe_Sales_Records[[#This Row],[Ship Date]]-Europe_Sales_Records[[#This Row],[Order Date]]</f>
        <v>14</v>
      </c>
      <c r="J348" s="1">
        <v>9102</v>
      </c>
      <c r="K348" s="1">
        <v>9.33</v>
      </c>
      <c r="L348" s="1">
        <v>6.92</v>
      </c>
      <c r="M348" s="1">
        <f>Europe_Sales_Records[[#This Row],[Unit Price]]-Europe_Sales_Records[[#This Row],[Unit Cost]]</f>
        <v>2.41</v>
      </c>
      <c r="N348" s="1">
        <v>84921.66</v>
      </c>
      <c r="O348" s="6">
        <v>62985.84</v>
      </c>
      <c r="P348" s="1">
        <v>21935.82</v>
      </c>
    </row>
    <row r="349" spans="1:16" x14ac:dyDescent="0.3">
      <c r="A349" s="1" t="s">
        <v>14</v>
      </c>
      <c r="B349" s="1" t="s">
        <v>56</v>
      </c>
      <c r="C349" s="1" t="s">
        <v>52</v>
      </c>
      <c r="D349" s="1" t="s">
        <v>17</v>
      </c>
      <c r="E349" s="1" t="s">
        <v>30</v>
      </c>
      <c r="F349" s="7">
        <v>40441</v>
      </c>
      <c r="G349" s="1" t="s">
        <v>428</v>
      </c>
      <c r="H349" s="7">
        <v>40443</v>
      </c>
      <c r="I349" s="1">
        <f>Europe_Sales_Records[[#This Row],[Ship Date]]-Europe_Sales_Records[[#This Row],[Order Date]]</f>
        <v>2</v>
      </c>
      <c r="J349" s="1">
        <v>574</v>
      </c>
      <c r="K349" s="1">
        <v>255.28</v>
      </c>
      <c r="L349" s="1">
        <v>159.41999999999999</v>
      </c>
      <c r="M349" s="1">
        <f>Europe_Sales_Records[[#This Row],[Unit Price]]-Europe_Sales_Records[[#This Row],[Unit Cost]]</f>
        <v>95.860000000000014</v>
      </c>
      <c r="N349" s="1">
        <v>146530.72</v>
      </c>
      <c r="O349" s="6">
        <v>91507.08</v>
      </c>
      <c r="P349" s="1">
        <v>55023.64</v>
      </c>
    </row>
    <row r="350" spans="1:16" x14ac:dyDescent="0.3">
      <c r="A350" s="1" t="s">
        <v>14</v>
      </c>
      <c r="B350" s="1" t="s">
        <v>137</v>
      </c>
      <c r="C350" s="1" t="s">
        <v>26</v>
      </c>
      <c r="D350" s="1" t="s">
        <v>22</v>
      </c>
      <c r="E350" s="1" t="s">
        <v>45</v>
      </c>
      <c r="F350" s="7">
        <v>41953</v>
      </c>
      <c r="G350" s="1" t="s">
        <v>429</v>
      </c>
      <c r="H350" s="7">
        <v>41972</v>
      </c>
      <c r="I350" s="1">
        <f>Europe_Sales_Records[[#This Row],[Ship Date]]-Europe_Sales_Records[[#This Row],[Order Date]]</f>
        <v>19</v>
      </c>
      <c r="J350" s="1">
        <v>1984</v>
      </c>
      <c r="K350" s="1">
        <v>205.7</v>
      </c>
      <c r="L350" s="1">
        <v>117.11</v>
      </c>
      <c r="M350" s="1">
        <f>Europe_Sales_Records[[#This Row],[Unit Price]]-Europe_Sales_Records[[#This Row],[Unit Cost]]</f>
        <v>88.589999999999989</v>
      </c>
      <c r="N350" s="1">
        <v>408108.79999999999</v>
      </c>
      <c r="O350" s="6">
        <v>232346.23999999999</v>
      </c>
      <c r="P350" s="1">
        <v>175762.56</v>
      </c>
    </row>
    <row r="351" spans="1:16" x14ac:dyDescent="0.3">
      <c r="A351" s="1" t="s">
        <v>14</v>
      </c>
      <c r="B351" s="1" t="s">
        <v>176</v>
      </c>
      <c r="C351" s="1" t="s">
        <v>16</v>
      </c>
      <c r="D351" s="1" t="s">
        <v>22</v>
      </c>
      <c r="E351" s="1" t="s">
        <v>30</v>
      </c>
      <c r="F351" s="7">
        <v>40454</v>
      </c>
      <c r="G351" s="1" t="s">
        <v>430</v>
      </c>
      <c r="H351" s="7">
        <v>40500</v>
      </c>
      <c r="I351" s="1">
        <f>Europe_Sales_Records[[#This Row],[Ship Date]]-Europe_Sales_Records[[#This Row],[Order Date]]</f>
        <v>46</v>
      </c>
      <c r="J351" s="1">
        <v>9898</v>
      </c>
      <c r="K351" s="1">
        <v>47.45</v>
      </c>
      <c r="L351" s="1">
        <v>31.79</v>
      </c>
      <c r="M351" s="1">
        <f>Europe_Sales_Records[[#This Row],[Unit Price]]-Europe_Sales_Records[[#This Row],[Unit Cost]]</f>
        <v>15.660000000000004</v>
      </c>
      <c r="N351" s="1">
        <v>469660.1</v>
      </c>
      <c r="O351" s="6">
        <v>314657.42</v>
      </c>
      <c r="P351" s="1">
        <v>155002.68</v>
      </c>
    </row>
    <row r="352" spans="1:16" x14ac:dyDescent="0.3">
      <c r="A352" s="1" t="s">
        <v>14</v>
      </c>
      <c r="B352" s="1" t="s">
        <v>137</v>
      </c>
      <c r="C352" s="1" t="s">
        <v>26</v>
      </c>
      <c r="D352" s="1" t="s">
        <v>22</v>
      </c>
      <c r="E352" s="1" t="s">
        <v>23</v>
      </c>
      <c r="F352" s="7">
        <v>40566</v>
      </c>
      <c r="G352" s="1" t="s">
        <v>431</v>
      </c>
      <c r="H352" s="7">
        <v>40596</v>
      </c>
      <c r="I352" s="1">
        <f>Europe_Sales_Records[[#This Row],[Ship Date]]-Europe_Sales_Records[[#This Row],[Order Date]]</f>
        <v>30</v>
      </c>
      <c r="J352" s="1">
        <v>7315</v>
      </c>
      <c r="K352" s="1">
        <v>205.7</v>
      </c>
      <c r="L352" s="1">
        <v>117.11</v>
      </c>
      <c r="M352" s="1">
        <f>Europe_Sales_Records[[#This Row],[Unit Price]]-Europe_Sales_Records[[#This Row],[Unit Cost]]</f>
        <v>88.589999999999989</v>
      </c>
      <c r="N352" s="1">
        <v>1504695.5</v>
      </c>
      <c r="O352" s="6">
        <v>856659.65</v>
      </c>
      <c r="P352" s="1">
        <v>648035.85</v>
      </c>
    </row>
    <row r="353" spans="1:16" x14ac:dyDescent="0.3">
      <c r="A353" s="1" t="s">
        <v>14</v>
      </c>
      <c r="B353" s="1" t="s">
        <v>176</v>
      </c>
      <c r="C353" s="1" t="s">
        <v>16</v>
      </c>
      <c r="D353" s="1" t="s">
        <v>22</v>
      </c>
      <c r="E353" s="1" t="s">
        <v>45</v>
      </c>
      <c r="F353" s="7">
        <v>42818</v>
      </c>
      <c r="G353" s="1" t="s">
        <v>432</v>
      </c>
      <c r="H353" s="7">
        <v>42850</v>
      </c>
      <c r="I353" s="1">
        <f>Europe_Sales_Records[[#This Row],[Ship Date]]-Europe_Sales_Records[[#This Row],[Order Date]]</f>
        <v>32</v>
      </c>
      <c r="J353" s="1">
        <v>7619</v>
      </c>
      <c r="K353" s="1">
        <v>47.45</v>
      </c>
      <c r="L353" s="1">
        <v>31.79</v>
      </c>
      <c r="M353" s="1">
        <f>Europe_Sales_Records[[#This Row],[Unit Price]]-Europe_Sales_Records[[#This Row],[Unit Cost]]</f>
        <v>15.660000000000004</v>
      </c>
      <c r="N353" s="1">
        <v>361521.55</v>
      </c>
      <c r="O353" s="6">
        <v>242208.01</v>
      </c>
      <c r="P353" s="1">
        <v>119313.54</v>
      </c>
    </row>
    <row r="354" spans="1:16" x14ac:dyDescent="0.3">
      <c r="A354" s="1" t="s">
        <v>14</v>
      </c>
      <c r="B354" s="1" t="s">
        <v>35</v>
      </c>
      <c r="C354" s="1" t="s">
        <v>26</v>
      </c>
      <c r="D354" s="1" t="s">
        <v>17</v>
      </c>
      <c r="E354" s="1" t="s">
        <v>23</v>
      </c>
      <c r="F354" s="7">
        <v>40335</v>
      </c>
      <c r="G354" s="1" t="s">
        <v>433</v>
      </c>
      <c r="H354" s="7">
        <v>40360</v>
      </c>
      <c r="I354" s="1">
        <f>Europe_Sales_Records[[#This Row],[Ship Date]]-Europe_Sales_Records[[#This Row],[Order Date]]</f>
        <v>25</v>
      </c>
      <c r="J354" s="1">
        <v>7642</v>
      </c>
      <c r="K354" s="1">
        <v>205.7</v>
      </c>
      <c r="L354" s="1">
        <v>117.11</v>
      </c>
      <c r="M354" s="1">
        <f>Europe_Sales_Records[[#This Row],[Unit Price]]-Europe_Sales_Records[[#This Row],[Unit Cost]]</f>
        <v>88.589999999999989</v>
      </c>
      <c r="N354" s="1">
        <v>1571959.4</v>
      </c>
      <c r="O354" s="6">
        <v>894954.62</v>
      </c>
      <c r="P354" s="1">
        <v>677004.78</v>
      </c>
    </row>
    <row r="355" spans="1:16" x14ac:dyDescent="0.3">
      <c r="A355" s="1" t="s">
        <v>14</v>
      </c>
      <c r="B355" s="1" t="s">
        <v>77</v>
      </c>
      <c r="C355" s="1" t="s">
        <v>29</v>
      </c>
      <c r="D355" s="1" t="s">
        <v>17</v>
      </c>
      <c r="E355" s="1" t="s">
        <v>23</v>
      </c>
      <c r="F355" s="7">
        <v>40668</v>
      </c>
      <c r="G355" s="1" t="s">
        <v>434</v>
      </c>
      <c r="H355" s="7">
        <v>40685</v>
      </c>
      <c r="I355" s="1">
        <f>Europe_Sales_Records[[#This Row],[Ship Date]]-Europe_Sales_Records[[#This Row],[Order Date]]</f>
        <v>17</v>
      </c>
      <c r="J355" s="1">
        <v>8858</v>
      </c>
      <c r="K355" s="1">
        <v>651.21</v>
      </c>
      <c r="L355" s="1">
        <v>524.96</v>
      </c>
      <c r="M355" s="1">
        <f>Europe_Sales_Records[[#This Row],[Unit Price]]-Europe_Sales_Records[[#This Row],[Unit Cost]]</f>
        <v>126.25</v>
      </c>
      <c r="N355" s="1">
        <v>5768418.1799999997</v>
      </c>
      <c r="O355" s="6">
        <v>4650095.68</v>
      </c>
      <c r="P355" s="1">
        <v>1118322.5</v>
      </c>
    </row>
    <row r="356" spans="1:16" x14ac:dyDescent="0.3">
      <c r="A356" s="1" t="s">
        <v>14</v>
      </c>
      <c r="B356" s="1" t="s">
        <v>28</v>
      </c>
      <c r="C356" s="1" t="s">
        <v>21</v>
      </c>
      <c r="D356" s="1" t="s">
        <v>17</v>
      </c>
      <c r="E356" s="1" t="s">
        <v>30</v>
      </c>
      <c r="F356" s="7">
        <v>40302</v>
      </c>
      <c r="G356" s="1" t="s">
        <v>435</v>
      </c>
      <c r="H356" s="7">
        <v>40341</v>
      </c>
      <c r="I356" s="1">
        <f>Europe_Sales_Records[[#This Row],[Ship Date]]-Europe_Sales_Records[[#This Row],[Order Date]]</f>
        <v>39</v>
      </c>
      <c r="J356" s="1">
        <v>6153</v>
      </c>
      <c r="K356" s="1">
        <v>109.28</v>
      </c>
      <c r="L356" s="1">
        <v>35.840000000000003</v>
      </c>
      <c r="M356" s="1">
        <f>Europe_Sales_Records[[#This Row],[Unit Price]]-Europe_Sales_Records[[#This Row],[Unit Cost]]</f>
        <v>73.44</v>
      </c>
      <c r="N356" s="1">
        <v>672399.84</v>
      </c>
      <c r="O356" s="6">
        <v>220523.51999999999</v>
      </c>
      <c r="P356" s="1">
        <v>451876.32</v>
      </c>
    </row>
    <row r="357" spans="1:16" x14ac:dyDescent="0.3">
      <c r="A357" s="1" t="s">
        <v>14</v>
      </c>
      <c r="B357" s="1" t="s">
        <v>116</v>
      </c>
      <c r="C357" s="1" t="s">
        <v>60</v>
      </c>
      <c r="D357" s="1" t="s">
        <v>22</v>
      </c>
      <c r="E357" s="1" t="s">
        <v>18</v>
      </c>
      <c r="F357" s="7">
        <v>41718</v>
      </c>
      <c r="G357" s="1" t="s">
        <v>436</v>
      </c>
      <c r="H357" s="7">
        <v>41758</v>
      </c>
      <c r="I357" s="1">
        <f>Europe_Sales_Records[[#This Row],[Ship Date]]-Europe_Sales_Records[[#This Row],[Order Date]]</f>
        <v>40</v>
      </c>
      <c r="J357" s="1">
        <v>7069</v>
      </c>
      <c r="K357" s="1">
        <v>437.2</v>
      </c>
      <c r="L357" s="1">
        <v>263.33</v>
      </c>
      <c r="M357" s="1">
        <f>Europe_Sales_Records[[#This Row],[Unit Price]]-Europe_Sales_Records[[#This Row],[Unit Cost]]</f>
        <v>173.87</v>
      </c>
      <c r="N357" s="1">
        <v>3090566.8</v>
      </c>
      <c r="O357" s="6">
        <v>1861479.77</v>
      </c>
      <c r="P357" s="1">
        <v>1229087.03</v>
      </c>
    </row>
    <row r="358" spans="1:16" x14ac:dyDescent="0.3">
      <c r="A358" s="1" t="s">
        <v>14</v>
      </c>
      <c r="B358" s="1" t="s">
        <v>50</v>
      </c>
      <c r="C358" s="1" t="s">
        <v>26</v>
      </c>
      <c r="D358" s="1" t="s">
        <v>22</v>
      </c>
      <c r="E358" s="1" t="s">
        <v>45</v>
      </c>
      <c r="F358" s="7">
        <v>42665</v>
      </c>
      <c r="G358" s="1" t="s">
        <v>437</v>
      </c>
      <c r="H358" s="7">
        <v>42665</v>
      </c>
      <c r="I358" s="1">
        <f>Europe_Sales_Records[[#This Row],[Ship Date]]-Europe_Sales_Records[[#This Row],[Order Date]]</f>
        <v>0</v>
      </c>
      <c r="J358" s="1">
        <v>1296</v>
      </c>
      <c r="K358" s="1">
        <v>205.7</v>
      </c>
      <c r="L358" s="1">
        <v>117.11</v>
      </c>
      <c r="M358" s="1">
        <f>Europe_Sales_Records[[#This Row],[Unit Price]]-Europe_Sales_Records[[#This Row],[Unit Cost]]</f>
        <v>88.589999999999989</v>
      </c>
      <c r="N358" s="1">
        <v>266587.2</v>
      </c>
      <c r="O358" s="6">
        <v>151774.56</v>
      </c>
      <c r="P358" s="1">
        <v>114812.64</v>
      </c>
    </row>
    <row r="359" spans="1:16" x14ac:dyDescent="0.3">
      <c r="A359" s="1" t="s">
        <v>14</v>
      </c>
      <c r="B359" s="1" t="s">
        <v>73</v>
      </c>
      <c r="C359" s="1" t="s">
        <v>33</v>
      </c>
      <c r="D359" s="1" t="s">
        <v>17</v>
      </c>
      <c r="E359" s="1" t="s">
        <v>23</v>
      </c>
      <c r="F359" s="7">
        <v>41360</v>
      </c>
      <c r="G359" s="1" t="s">
        <v>438</v>
      </c>
      <c r="H359" s="7">
        <v>41385</v>
      </c>
      <c r="I359" s="1">
        <f>Europe_Sales_Records[[#This Row],[Ship Date]]-Europe_Sales_Records[[#This Row],[Order Date]]</f>
        <v>25</v>
      </c>
      <c r="J359" s="1">
        <v>7290</v>
      </c>
      <c r="K359" s="1">
        <v>9.33</v>
      </c>
      <c r="L359" s="1">
        <v>6.92</v>
      </c>
      <c r="M359" s="1">
        <f>Europe_Sales_Records[[#This Row],[Unit Price]]-Europe_Sales_Records[[#This Row],[Unit Cost]]</f>
        <v>2.41</v>
      </c>
      <c r="N359" s="1">
        <v>68015.7</v>
      </c>
      <c r="O359" s="6">
        <v>50446.8</v>
      </c>
      <c r="P359" s="1">
        <v>17568.900000000001</v>
      </c>
    </row>
    <row r="360" spans="1:16" x14ac:dyDescent="0.3">
      <c r="A360" s="1" t="s">
        <v>14</v>
      </c>
      <c r="B360" s="1" t="s">
        <v>118</v>
      </c>
      <c r="C360" s="1" t="s">
        <v>39</v>
      </c>
      <c r="D360" s="1" t="s">
        <v>22</v>
      </c>
      <c r="E360" s="1" t="s">
        <v>18</v>
      </c>
      <c r="F360" s="7">
        <v>40528</v>
      </c>
      <c r="G360" s="1" t="s">
        <v>439</v>
      </c>
      <c r="H360" s="7">
        <v>40545</v>
      </c>
      <c r="I360" s="1">
        <f>Europe_Sales_Records[[#This Row],[Ship Date]]-Europe_Sales_Records[[#This Row],[Order Date]]</f>
        <v>17</v>
      </c>
      <c r="J360" s="1">
        <v>9501</v>
      </c>
      <c r="K360" s="1">
        <v>154.06</v>
      </c>
      <c r="L360" s="1">
        <v>90.93</v>
      </c>
      <c r="M360" s="1">
        <f>Europe_Sales_Records[[#This Row],[Unit Price]]-Europe_Sales_Records[[#This Row],[Unit Cost]]</f>
        <v>63.129999999999995</v>
      </c>
      <c r="N360" s="1">
        <v>1463724.06</v>
      </c>
      <c r="O360" s="6">
        <v>863925.93</v>
      </c>
      <c r="P360" s="1">
        <v>599798.13</v>
      </c>
    </row>
    <row r="361" spans="1:16" x14ac:dyDescent="0.3">
      <c r="A361" s="1" t="s">
        <v>14</v>
      </c>
      <c r="B361" s="1" t="s">
        <v>81</v>
      </c>
      <c r="C361" s="1" t="s">
        <v>52</v>
      </c>
      <c r="D361" s="1" t="s">
        <v>22</v>
      </c>
      <c r="E361" s="1" t="s">
        <v>23</v>
      </c>
      <c r="F361" s="7">
        <v>42446</v>
      </c>
      <c r="G361" s="1" t="s">
        <v>440</v>
      </c>
      <c r="H361" s="7">
        <v>42483</v>
      </c>
      <c r="I361" s="1">
        <f>Europe_Sales_Records[[#This Row],[Ship Date]]-Europe_Sales_Records[[#This Row],[Order Date]]</f>
        <v>37</v>
      </c>
      <c r="J361" s="1">
        <v>153</v>
      </c>
      <c r="K361" s="1">
        <v>255.28</v>
      </c>
      <c r="L361" s="1">
        <v>159.41999999999999</v>
      </c>
      <c r="M361" s="1">
        <f>Europe_Sales_Records[[#This Row],[Unit Price]]-Europe_Sales_Records[[#This Row],[Unit Cost]]</f>
        <v>95.860000000000014</v>
      </c>
      <c r="N361" s="1">
        <v>39057.839999999997</v>
      </c>
      <c r="O361" s="6">
        <v>24391.26</v>
      </c>
      <c r="P361" s="1">
        <v>14666.58</v>
      </c>
    </row>
    <row r="362" spans="1:16" x14ac:dyDescent="0.3">
      <c r="A362" s="1" t="s">
        <v>14</v>
      </c>
      <c r="B362" s="1" t="s">
        <v>127</v>
      </c>
      <c r="C362" s="1" t="s">
        <v>29</v>
      </c>
      <c r="D362" s="1" t="s">
        <v>17</v>
      </c>
      <c r="E362" s="1" t="s">
        <v>18</v>
      </c>
      <c r="F362" s="7">
        <v>42933</v>
      </c>
      <c r="G362" s="1" t="s">
        <v>441</v>
      </c>
      <c r="H362" s="7">
        <v>42938</v>
      </c>
      <c r="I362" s="1">
        <f>Europe_Sales_Records[[#This Row],[Ship Date]]-Europe_Sales_Records[[#This Row],[Order Date]]</f>
        <v>5</v>
      </c>
      <c r="J362" s="1">
        <v>7410</v>
      </c>
      <c r="K362" s="1">
        <v>651.21</v>
      </c>
      <c r="L362" s="1">
        <v>524.96</v>
      </c>
      <c r="M362" s="1">
        <f>Europe_Sales_Records[[#This Row],[Unit Price]]-Europe_Sales_Records[[#This Row],[Unit Cost]]</f>
        <v>126.25</v>
      </c>
      <c r="N362" s="1">
        <v>4825466.0999999996</v>
      </c>
      <c r="O362" s="6">
        <v>3889953.6</v>
      </c>
      <c r="P362" s="1">
        <v>935512.5</v>
      </c>
    </row>
    <row r="363" spans="1:16" x14ac:dyDescent="0.3">
      <c r="A363" s="1" t="s">
        <v>14</v>
      </c>
      <c r="B363" s="1" t="s">
        <v>219</v>
      </c>
      <c r="C363" s="1" t="s">
        <v>79</v>
      </c>
      <c r="D363" s="1" t="s">
        <v>17</v>
      </c>
      <c r="E363" s="1" t="s">
        <v>23</v>
      </c>
      <c r="F363" s="7">
        <v>41264</v>
      </c>
      <c r="G363" s="1" t="s">
        <v>442</v>
      </c>
      <c r="H363" s="7">
        <v>41267</v>
      </c>
      <c r="I363" s="1">
        <f>Europe_Sales_Records[[#This Row],[Ship Date]]-Europe_Sales_Records[[#This Row],[Order Date]]</f>
        <v>3</v>
      </c>
      <c r="J363" s="1">
        <v>1935</v>
      </c>
      <c r="K363" s="1">
        <v>81.73</v>
      </c>
      <c r="L363" s="1">
        <v>56.67</v>
      </c>
      <c r="M363" s="1">
        <f>Europe_Sales_Records[[#This Row],[Unit Price]]-Europe_Sales_Records[[#This Row],[Unit Cost]]</f>
        <v>25.060000000000002</v>
      </c>
      <c r="N363" s="1">
        <v>158147.54999999999</v>
      </c>
      <c r="O363" s="6">
        <v>109656.45</v>
      </c>
      <c r="P363" s="1">
        <v>48491.1</v>
      </c>
    </row>
    <row r="364" spans="1:16" x14ac:dyDescent="0.3">
      <c r="A364" s="1" t="s">
        <v>14</v>
      </c>
      <c r="B364" s="1" t="s">
        <v>97</v>
      </c>
      <c r="C364" s="1" t="s">
        <v>39</v>
      </c>
      <c r="D364" s="1" t="s">
        <v>17</v>
      </c>
      <c r="E364" s="1" t="s">
        <v>18</v>
      </c>
      <c r="F364" s="7">
        <v>42939</v>
      </c>
      <c r="G364" s="1" t="s">
        <v>443</v>
      </c>
      <c r="H364" s="7">
        <v>42967</v>
      </c>
      <c r="I364" s="1">
        <f>Europe_Sales_Records[[#This Row],[Ship Date]]-Europe_Sales_Records[[#This Row],[Order Date]]</f>
        <v>28</v>
      </c>
      <c r="J364" s="1">
        <v>6893</v>
      </c>
      <c r="K364" s="1">
        <v>154.06</v>
      </c>
      <c r="L364" s="1">
        <v>90.93</v>
      </c>
      <c r="M364" s="1">
        <f>Europe_Sales_Records[[#This Row],[Unit Price]]-Europe_Sales_Records[[#This Row],[Unit Cost]]</f>
        <v>63.129999999999995</v>
      </c>
      <c r="N364" s="1">
        <v>1061935.58</v>
      </c>
      <c r="O364" s="6">
        <v>626780.49</v>
      </c>
      <c r="P364" s="1">
        <v>435155.09</v>
      </c>
    </row>
    <row r="365" spans="1:16" x14ac:dyDescent="0.3">
      <c r="A365" s="1" t="s">
        <v>14</v>
      </c>
      <c r="B365" s="1" t="s">
        <v>20</v>
      </c>
      <c r="C365" s="1" t="s">
        <v>52</v>
      </c>
      <c r="D365" s="1" t="s">
        <v>22</v>
      </c>
      <c r="E365" s="1" t="s">
        <v>30</v>
      </c>
      <c r="F365" s="7">
        <v>41191</v>
      </c>
      <c r="G365" s="1" t="s">
        <v>444</v>
      </c>
      <c r="H365" s="7">
        <v>41241</v>
      </c>
      <c r="I365" s="1">
        <f>Europe_Sales_Records[[#This Row],[Ship Date]]-Europe_Sales_Records[[#This Row],[Order Date]]</f>
        <v>50</v>
      </c>
      <c r="J365" s="1">
        <v>9410</v>
      </c>
      <c r="K365" s="1">
        <v>255.28</v>
      </c>
      <c r="L365" s="1">
        <v>159.41999999999999</v>
      </c>
      <c r="M365" s="1">
        <f>Europe_Sales_Records[[#This Row],[Unit Price]]-Europe_Sales_Records[[#This Row],[Unit Cost]]</f>
        <v>95.860000000000014</v>
      </c>
      <c r="N365" s="1">
        <v>2402184.7999999998</v>
      </c>
      <c r="O365" s="6">
        <v>1500142.2</v>
      </c>
      <c r="P365" s="1">
        <v>902042.6</v>
      </c>
    </row>
    <row r="366" spans="1:16" x14ac:dyDescent="0.3">
      <c r="A366" s="1" t="s">
        <v>14</v>
      </c>
      <c r="B366" s="1" t="s">
        <v>129</v>
      </c>
      <c r="C366" s="1" t="s">
        <v>60</v>
      </c>
      <c r="D366" s="1" t="s">
        <v>22</v>
      </c>
      <c r="E366" s="1" t="s">
        <v>18</v>
      </c>
      <c r="F366" s="7">
        <v>40320</v>
      </c>
      <c r="G366" s="1" t="s">
        <v>445</v>
      </c>
      <c r="H366" s="7">
        <v>40355</v>
      </c>
      <c r="I366" s="1">
        <f>Europe_Sales_Records[[#This Row],[Ship Date]]-Europe_Sales_Records[[#This Row],[Order Date]]</f>
        <v>35</v>
      </c>
      <c r="J366" s="1">
        <v>7948</v>
      </c>
      <c r="K366" s="1">
        <v>437.2</v>
      </c>
      <c r="L366" s="1">
        <v>263.33</v>
      </c>
      <c r="M366" s="1">
        <f>Europe_Sales_Records[[#This Row],[Unit Price]]-Europe_Sales_Records[[#This Row],[Unit Cost]]</f>
        <v>173.87</v>
      </c>
      <c r="N366" s="1">
        <v>3474865.6</v>
      </c>
      <c r="O366" s="6">
        <v>2092946.84</v>
      </c>
      <c r="P366" s="1">
        <v>1381918.76</v>
      </c>
    </row>
    <row r="367" spans="1:16" x14ac:dyDescent="0.3">
      <c r="A367" s="1" t="s">
        <v>14</v>
      </c>
      <c r="B367" s="1" t="s">
        <v>87</v>
      </c>
      <c r="C367" s="1" t="s">
        <v>48</v>
      </c>
      <c r="D367" s="1" t="s">
        <v>22</v>
      </c>
      <c r="E367" s="1" t="s">
        <v>23</v>
      </c>
      <c r="F367" s="7">
        <v>42419</v>
      </c>
      <c r="G367" s="1" t="s">
        <v>446</v>
      </c>
      <c r="H367" s="7">
        <v>42442</v>
      </c>
      <c r="I367" s="1">
        <f>Europe_Sales_Records[[#This Row],[Ship Date]]-Europe_Sales_Records[[#This Row],[Order Date]]</f>
        <v>23</v>
      </c>
      <c r="J367" s="1">
        <v>3293</v>
      </c>
      <c r="K367" s="1">
        <v>152.58000000000001</v>
      </c>
      <c r="L367" s="1">
        <v>97.44</v>
      </c>
      <c r="M367" s="1">
        <f>Europe_Sales_Records[[#This Row],[Unit Price]]-Europe_Sales_Records[[#This Row],[Unit Cost]]</f>
        <v>55.140000000000015</v>
      </c>
      <c r="N367" s="1">
        <v>502445.94</v>
      </c>
      <c r="O367" s="6">
        <v>320869.92</v>
      </c>
      <c r="P367" s="1">
        <v>181576.02</v>
      </c>
    </row>
    <row r="368" spans="1:16" x14ac:dyDescent="0.3">
      <c r="A368" s="1" t="s">
        <v>14</v>
      </c>
      <c r="B368" s="1" t="s">
        <v>77</v>
      </c>
      <c r="C368" s="1" t="s">
        <v>52</v>
      </c>
      <c r="D368" s="1" t="s">
        <v>17</v>
      </c>
      <c r="E368" s="1" t="s">
        <v>18</v>
      </c>
      <c r="F368" s="7">
        <v>42121</v>
      </c>
      <c r="G368" s="1" t="s">
        <v>447</v>
      </c>
      <c r="H368" s="7">
        <v>42159</v>
      </c>
      <c r="I368" s="1">
        <f>Europe_Sales_Records[[#This Row],[Ship Date]]-Europe_Sales_Records[[#This Row],[Order Date]]</f>
        <v>38</v>
      </c>
      <c r="J368" s="1">
        <v>3504</v>
      </c>
      <c r="K368" s="1">
        <v>255.28</v>
      </c>
      <c r="L368" s="1">
        <v>159.41999999999999</v>
      </c>
      <c r="M368" s="1">
        <f>Europe_Sales_Records[[#This Row],[Unit Price]]-Europe_Sales_Records[[#This Row],[Unit Cost]]</f>
        <v>95.860000000000014</v>
      </c>
      <c r="N368" s="1">
        <v>894501.12</v>
      </c>
      <c r="O368" s="6">
        <v>558607.68000000005</v>
      </c>
      <c r="P368" s="1">
        <v>335893.44</v>
      </c>
    </row>
    <row r="369" spans="1:16" x14ac:dyDescent="0.3">
      <c r="A369" s="1" t="s">
        <v>14</v>
      </c>
      <c r="B369" s="1" t="s">
        <v>69</v>
      </c>
      <c r="C369" s="1" t="s">
        <v>48</v>
      </c>
      <c r="D369" s="1" t="s">
        <v>22</v>
      </c>
      <c r="E369" s="1" t="s">
        <v>23</v>
      </c>
      <c r="F369" s="7">
        <v>41283</v>
      </c>
      <c r="G369" s="1" t="s">
        <v>448</v>
      </c>
      <c r="H369" s="7">
        <v>41308</v>
      </c>
      <c r="I369" s="1">
        <f>Europe_Sales_Records[[#This Row],[Ship Date]]-Europe_Sales_Records[[#This Row],[Order Date]]</f>
        <v>25</v>
      </c>
      <c r="J369" s="1">
        <v>6448</v>
      </c>
      <c r="K369" s="1">
        <v>152.58000000000001</v>
      </c>
      <c r="L369" s="1">
        <v>97.44</v>
      </c>
      <c r="M369" s="1">
        <f>Europe_Sales_Records[[#This Row],[Unit Price]]-Europe_Sales_Records[[#This Row],[Unit Cost]]</f>
        <v>55.140000000000015</v>
      </c>
      <c r="N369" s="1">
        <v>983835.84</v>
      </c>
      <c r="O369" s="6">
        <v>628293.12</v>
      </c>
      <c r="P369" s="1">
        <v>355542.72</v>
      </c>
    </row>
    <row r="370" spans="1:16" x14ac:dyDescent="0.3">
      <c r="A370" s="1" t="s">
        <v>14</v>
      </c>
      <c r="B370" s="1" t="s">
        <v>97</v>
      </c>
      <c r="C370" s="1" t="s">
        <v>52</v>
      </c>
      <c r="D370" s="1" t="s">
        <v>17</v>
      </c>
      <c r="E370" s="1" t="s">
        <v>23</v>
      </c>
      <c r="F370" s="7">
        <v>41165</v>
      </c>
      <c r="G370" s="1" t="s">
        <v>449</v>
      </c>
      <c r="H370" s="7">
        <v>41185</v>
      </c>
      <c r="I370" s="1">
        <f>Europe_Sales_Records[[#This Row],[Ship Date]]-Europe_Sales_Records[[#This Row],[Order Date]]</f>
        <v>20</v>
      </c>
      <c r="J370" s="1">
        <v>7413</v>
      </c>
      <c r="K370" s="1">
        <v>255.28</v>
      </c>
      <c r="L370" s="1">
        <v>159.41999999999999</v>
      </c>
      <c r="M370" s="1">
        <f>Europe_Sales_Records[[#This Row],[Unit Price]]-Europe_Sales_Records[[#This Row],[Unit Cost]]</f>
        <v>95.860000000000014</v>
      </c>
      <c r="N370" s="1">
        <v>1892390.64</v>
      </c>
      <c r="O370" s="6">
        <v>1181780.46</v>
      </c>
      <c r="P370" s="1">
        <v>710610.18</v>
      </c>
    </row>
    <row r="371" spans="1:16" x14ac:dyDescent="0.3">
      <c r="A371" s="1" t="s">
        <v>14</v>
      </c>
      <c r="B371" s="1" t="s">
        <v>38</v>
      </c>
      <c r="C371" s="1" t="s">
        <v>60</v>
      </c>
      <c r="D371" s="1" t="s">
        <v>22</v>
      </c>
      <c r="E371" s="1" t="s">
        <v>18</v>
      </c>
      <c r="F371" s="7">
        <v>41523</v>
      </c>
      <c r="G371" s="1" t="s">
        <v>450</v>
      </c>
      <c r="H371" s="7">
        <v>41555</v>
      </c>
      <c r="I371" s="1">
        <f>Europe_Sales_Records[[#This Row],[Ship Date]]-Europe_Sales_Records[[#This Row],[Order Date]]</f>
        <v>32</v>
      </c>
      <c r="J371" s="1">
        <v>7120</v>
      </c>
      <c r="K371" s="1">
        <v>437.2</v>
      </c>
      <c r="L371" s="1">
        <v>263.33</v>
      </c>
      <c r="M371" s="1">
        <f>Europe_Sales_Records[[#This Row],[Unit Price]]-Europe_Sales_Records[[#This Row],[Unit Cost]]</f>
        <v>173.87</v>
      </c>
      <c r="N371" s="1">
        <v>3112864</v>
      </c>
      <c r="O371" s="6">
        <v>1874909.6</v>
      </c>
      <c r="P371" s="1">
        <v>1237954.3999999999</v>
      </c>
    </row>
    <row r="372" spans="1:16" x14ac:dyDescent="0.3">
      <c r="A372" s="1" t="s">
        <v>14</v>
      </c>
      <c r="B372" s="1" t="s">
        <v>116</v>
      </c>
      <c r="C372" s="1" t="s">
        <v>33</v>
      </c>
      <c r="D372" s="1" t="s">
        <v>17</v>
      </c>
      <c r="E372" s="1" t="s">
        <v>18</v>
      </c>
      <c r="F372" s="7">
        <v>41738</v>
      </c>
      <c r="G372" s="1" t="s">
        <v>451</v>
      </c>
      <c r="H372" s="7">
        <v>41786</v>
      </c>
      <c r="I372" s="1">
        <f>Europe_Sales_Records[[#This Row],[Ship Date]]-Europe_Sales_Records[[#This Row],[Order Date]]</f>
        <v>48</v>
      </c>
      <c r="J372" s="1">
        <v>374</v>
      </c>
      <c r="K372" s="1">
        <v>9.33</v>
      </c>
      <c r="L372" s="1">
        <v>6.92</v>
      </c>
      <c r="M372" s="1">
        <f>Europe_Sales_Records[[#This Row],[Unit Price]]-Europe_Sales_Records[[#This Row],[Unit Cost]]</f>
        <v>2.41</v>
      </c>
      <c r="N372" s="1">
        <v>3489.42</v>
      </c>
      <c r="O372" s="6">
        <v>2588.08</v>
      </c>
      <c r="P372" s="1">
        <v>901.34</v>
      </c>
    </row>
    <row r="373" spans="1:16" x14ac:dyDescent="0.3">
      <c r="A373" s="1" t="s">
        <v>14</v>
      </c>
      <c r="B373" s="1" t="s">
        <v>69</v>
      </c>
      <c r="C373" s="1" t="s">
        <v>57</v>
      </c>
      <c r="D373" s="1" t="s">
        <v>22</v>
      </c>
      <c r="E373" s="1" t="s">
        <v>30</v>
      </c>
      <c r="F373" s="7">
        <v>40660</v>
      </c>
      <c r="G373" s="1" t="s">
        <v>452</v>
      </c>
      <c r="H373" s="7">
        <v>40677</v>
      </c>
      <c r="I373" s="1">
        <f>Europe_Sales_Records[[#This Row],[Ship Date]]-Europe_Sales_Records[[#This Row],[Order Date]]</f>
        <v>17</v>
      </c>
      <c r="J373" s="1">
        <v>5864</v>
      </c>
      <c r="K373" s="1">
        <v>668.27</v>
      </c>
      <c r="L373" s="1">
        <v>502.54</v>
      </c>
      <c r="M373" s="1">
        <f>Europe_Sales_Records[[#This Row],[Unit Price]]-Europe_Sales_Records[[#This Row],[Unit Cost]]</f>
        <v>165.72999999999996</v>
      </c>
      <c r="N373" s="1">
        <v>3918735.28</v>
      </c>
      <c r="O373" s="6">
        <v>2946894.56</v>
      </c>
      <c r="P373" s="1">
        <v>971840.72</v>
      </c>
    </row>
    <row r="374" spans="1:16" x14ac:dyDescent="0.3">
      <c r="A374" s="1" t="s">
        <v>14</v>
      </c>
      <c r="B374" s="1" t="s">
        <v>67</v>
      </c>
      <c r="C374" s="1" t="s">
        <v>42</v>
      </c>
      <c r="D374" s="1" t="s">
        <v>22</v>
      </c>
      <c r="E374" s="1" t="s">
        <v>30</v>
      </c>
      <c r="F374" s="7">
        <v>41669</v>
      </c>
      <c r="G374" s="1" t="s">
        <v>453</v>
      </c>
      <c r="H374" s="7">
        <v>41714</v>
      </c>
      <c r="I374" s="1">
        <f>Europe_Sales_Records[[#This Row],[Ship Date]]-Europe_Sales_Records[[#This Row],[Order Date]]</f>
        <v>45</v>
      </c>
      <c r="J374" s="1">
        <v>9666</v>
      </c>
      <c r="K374" s="1">
        <v>421.89</v>
      </c>
      <c r="L374" s="1">
        <v>364.69</v>
      </c>
      <c r="M374" s="1">
        <f>Europe_Sales_Records[[#This Row],[Unit Price]]-Europe_Sales_Records[[#This Row],[Unit Cost]]</f>
        <v>57.199999999999989</v>
      </c>
      <c r="N374" s="1">
        <v>4077988.74</v>
      </c>
      <c r="O374" s="6">
        <v>3525093.54</v>
      </c>
      <c r="P374" s="1">
        <v>552895.19999999995</v>
      </c>
    </row>
    <row r="375" spans="1:16" x14ac:dyDescent="0.3">
      <c r="A375" s="1" t="s">
        <v>14</v>
      </c>
      <c r="B375" s="1" t="s">
        <v>77</v>
      </c>
      <c r="C375" s="1" t="s">
        <v>60</v>
      </c>
      <c r="D375" s="1" t="s">
        <v>17</v>
      </c>
      <c r="E375" s="1" t="s">
        <v>45</v>
      </c>
      <c r="F375" s="7">
        <v>41257</v>
      </c>
      <c r="G375" s="1" t="s">
        <v>454</v>
      </c>
      <c r="H375" s="7">
        <v>41280</v>
      </c>
      <c r="I375" s="1">
        <f>Europe_Sales_Records[[#This Row],[Ship Date]]-Europe_Sales_Records[[#This Row],[Order Date]]</f>
        <v>23</v>
      </c>
      <c r="J375" s="1">
        <v>9018</v>
      </c>
      <c r="K375" s="1">
        <v>437.2</v>
      </c>
      <c r="L375" s="1">
        <v>263.33</v>
      </c>
      <c r="M375" s="1">
        <f>Europe_Sales_Records[[#This Row],[Unit Price]]-Europe_Sales_Records[[#This Row],[Unit Cost]]</f>
        <v>173.87</v>
      </c>
      <c r="N375" s="1">
        <v>3942669.6</v>
      </c>
      <c r="O375" s="6">
        <v>2374709.94</v>
      </c>
      <c r="P375" s="1">
        <v>1567959.66</v>
      </c>
    </row>
    <row r="376" spans="1:16" x14ac:dyDescent="0.3">
      <c r="A376" s="1" t="s">
        <v>14</v>
      </c>
      <c r="B376" s="1" t="s">
        <v>91</v>
      </c>
      <c r="C376" s="1" t="s">
        <v>42</v>
      </c>
      <c r="D376" s="1" t="s">
        <v>17</v>
      </c>
      <c r="E376" s="1" t="s">
        <v>23</v>
      </c>
      <c r="F376" s="7">
        <v>42157</v>
      </c>
      <c r="G376" s="1" t="s">
        <v>455</v>
      </c>
      <c r="H376" s="7">
        <v>42204</v>
      </c>
      <c r="I376" s="1">
        <f>Europe_Sales_Records[[#This Row],[Ship Date]]-Europe_Sales_Records[[#This Row],[Order Date]]</f>
        <v>47</v>
      </c>
      <c r="J376" s="1">
        <v>7084</v>
      </c>
      <c r="K376" s="1">
        <v>421.89</v>
      </c>
      <c r="L376" s="1">
        <v>364.69</v>
      </c>
      <c r="M376" s="1">
        <f>Europe_Sales_Records[[#This Row],[Unit Price]]-Europe_Sales_Records[[#This Row],[Unit Cost]]</f>
        <v>57.199999999999989</v>
      </c>
      <c r="N376" s="1">
        <v>2988668.76</v>
      </c>
      <c r="O376" s="6">
        <v>2583463.96</v>
      </c>
      <c r="P376" s="1">
        <v>405204.8</v>
      </c>
    </row>
    <row r="377" spans="1:16" x14ac:dyDescent="0.3">
      <c r="A377" s="1" t="s">
        <v>14</v>
      </c>
      <c r="B377" s="1" t="s">
        <v>129</v>
      </c>
      <c r="C377" s="1" t="s">
        <v>33</v>
      </c>
      <c r="D377" s="1" t="s">
        <v>22</v>
      </c>
      <c r="E377" s="1" t="s">
        <v>30</v>
      </c>
      <c r="F377" s="7">
        <v>42308</v>
      </c>
      <c r="G377" s="1" t="s">
        <v>456</v>
      </c>
      <c r="H377" s="7">
        <v>42326</v>
      </c>
      <c r="I377" s="1">
        <f>Europe_Sales_Records[[#This Row],[Ship Date]]-Europe_Sales_Records[[#This Row],[Order Date]]</f>
        <v>18</v>
      </c>
      <c r="J377" s="1">
        <v>2523</v>
      </c>
      <c r="K377" s="1">
        <v>9.33</v>
      </c>
      <c r="L377" s="1">
        <v>6.92</v>
      </c>
      <c r="M377" s="1">
        <f>Europe_Sales_Records[[#This Row],[Unit Price]]-Europe_Sales_Records[[#This Row],[Unit Cost]]</f>
        <v>2.41</v>
      </c>
      <c r="N377" s="1">
        <v>23539.59</v>
      </c>
      <c r="O377" s="6">
        <v>17459.16</v>
      </c>
      <c r="P377" s="1">
        <v>6080.43</v>
      </c>
    </row>
    <row r="378" spans="1:16" x14ac:dyDescent="0.3">
      <c r="A378" s="1" t="s">
        <v>14</v>
      </c>
      <c r="B378" s="1" t="s">
        <v>172</v>
      </c>
      <c r="C378" s="1" t="s">
        <v>21</v>
      </c>
      <c r="D378" s="1" t="s">
        <v>22</v>
      </c>
      <c r="E378" s="1" t="s">
        <v>23</v>
      </c>
      <c r="F378" s="7">
        <v>40991</v>
      </c>
      <c r="G378" s="1" t="s">
        <v>457</v>
      </c>
      <c r="H378" s="7">
        <v>40998</v>
      </c>
      <c r="I378" s="1">
        <f>Europe_Sales_Records[[#This Row],[Ship Date]]-Europe_Sales_Records[[#This Row],[Order Date]]</f>
        <v>7</v>
      </c>
      <c r="J378" s="1">
        <v>8064</v>
      </c>
      <c r="K378" s="1">
        <v>109.28</v>
      </c>
      <c r="L378" s="1">
        <v>35.840000000000003</v>
      </c>
      <c r="M378" s="1">
        <f>Europe_Sales_Records[[#This Row],[Unit Price]]-Europe_Sales_Records[[#This Row],[Unit Cost]]</f>
        <v>73.44</v>
      </c>
      <c r="N378" s="1">
        <v>881233.92000000004</v>
      </c>
      <c r="O378" s="6">
        <v>289013.76000000001</v>
      </c>
      <c r="P378" s="1">
        <v>592220.16000000003</v>
      </c>
    </row>
    <row r="379" spans="1:16" x14ac:dyDescent="0.3">
      <c r="A379" s="1" t="s">
        <v>14</v>
      </c>
      <c r="B379" s="1" t="s">
        <v>41</v>
      </c>
      <c r="C379" s="1" t="s">
        <v>79</v>
      </c>
      <c r="D379" s="1" t="s">
        <v>17</v>
      </c>
      <c r="E379" s="1" t="s">
        <v>45</v>
      </c>
      <c r="F379" s="7">
        <v>41748</v>
      </c>
      <c r="G379" s="1" t="s">
        <v>458</v>
      </c>
      <c r="H379" s="7">
        <v>41752</v>
      </c>
      <c r="I379" s="1">
        <f>Europe_Sales_Records[[#This Row],[Ship Date]]-Europe_Sales_Records[[#This Row],[Order Date]]</f>
        <v>4</v>
      </c>
      <c r="J379" s="1">
        <v>2958</v>
      </c>
      <c r="K379" s="1">
        <v>81.73</v>
      </c>
      <c r="L379" s="1">
        <v>56.67</v>
      </c>
      <c r="M379" s="1">
        <f>Europe_Sales_Records[[#This Row],[Unit Price]]-Europe_Sales_Records[[#This Row],[Unit Cost]]</f>
        <v>25.060000000000002</v>
      </c>
      <c r="N379" s="1">
        <v>241757.34</v>
      </c>
      <c r="O379" s="6">
        <v>167629.85999999999</v>
      </c>
      <c r="P379" s="1">
        <v>74127.48</v>
      </c>
    </row>
    <row r="380" spans="1:16" x14ac:dyDescent="0.3">
      <c r="A380" s="1" t="s">
        <v>14</v>
      </c>
      <c r="B380" s="1" t="s">
        <v>120</v>
      </c>
      <c r="C380" s="1" t="s">
        <v>60</v>
      </c>
      <c r="D380" s="1" t="s">
        <v>22</v>
      </c>
      <c r="E380" s="1" t="s">
        <v>30</v>
      </c>
      <c r="F380" s="7">
        <v>41510</v>
      </c>
      <c r="G380" s="1" t="s">
        <v>459</v>
      </c>
      <c r="H380" s="7">
        <v>41517</v>
      </c>
      <c r="I380" s="1">
        <f>Europe_Sales_Records[[#This Row],[Ship Date]]-Europe_Sales_Records[[#This Row],[Order Date]]</f>
        <v>7</v>
      </c>
      <c r="J380" s="1">
        <v>661</v>
      </c>
      <c r="K380" s="1">
        <v>437.2</v>
      </c>
      <c r="L380" s="1">
        <v>263.33</v>
      </c>
      <c r="M380" s="1">
        <f>Europe_Sales_Records[[#This Row],[Unit Price]]-Europe_Sales_Records[[#This Row],[Unit Cost]]</f>
        <v>173.87</v>
      </c>
      <c r="N380" s="1">
        <v>288989.2</v>
      </c>
      <c r="O380" s="6">
        <v>174061.13</v>
      </c>
      <c r="P380" s="1">
        <v>114928.07</v>
      </c>
    </row>
    <row r="381" spans="1:16" x14ac:dyDescent="0.3">
      <c r="A381" s="1" t="s">
        <v>14</v>
      </c>
      <c r="B381" s="1" t="s">
        <v>172</v>
      </c>
      <c r="C381" s="1" t="s">
        <v>79</v>
      </c>
      <c r="D381" s="1" t="s">
        <v>22</v>
      </c>
      <c r="E381" s="1" t="s">
        <v>45</v>
      </c>
      <c r="F381" s="7">
        <v>42396</v>
      </c>
      <c r="G381" s="1" t="s">
        <v>460</v>
      </c>
      <c r="H381" s="7">
        <v>42444</v>
      </c>
      <c r="I381" s="1">
        <f>Europe_Sales_Records[[#This Row],[Ship Date]]-Europe_Sales_Records[[#This Row],[Order Date]]</f>
        <v>48</v>
      </c>
      <c r="J381" s="1">
        <v>8318</v>
      </c>
      <c r="K381" s="1">
        <v>81.73</v>
      </c>
      <c r="L381" s="1">
        <v>56.67</v>
      </c>
      <c r="M381" s="1">
        <f>Europe_Sales_Records[[#This Row],[Unit Price]]-Europe_Sales_Records[[#This Row],[Unit Cost]]</f>
        <v>25.060000000000002</v>
      </c>
      <c r="N381" s="1">
        <v>679830.14</v>
      </c>
      <c r="O381" s="6">
        <v>471381.06</v>
      </c>
      <c r="P381" s="1">
        <v>208449.08</v>
      </c>
    </row>
    <row r="382" spans="1:16" x14ac:dyDescent="0.3">
      <c r="A382" s="1" t="s">
        <v>14</v>
      </c>
      <c r="B382" s="1" t="s">
        <v>106</v>
      </c>
      <c r="C382" s="1" t="s">
        <v>79</v>
      </c>
      <c r="D382" s="1" t="s">
        <v>17</v>
      </c>
      <c r="E382" s="1" t="s">
        <v>30</v>
      </c>
      <c r="F382" s="7">
        <v>41687</v>
      </c>
      <c r="G382" s="1" t="s">
        <v>461</v>
      </c>
      <c r="H382" s="7">
        <v>41689</v>
      </c>
      <c r="I382" s="1">
        <f>Europe_Sales_Records[[#This Row],[Ship Date]]-Europe_Sales_Records[[#This Row],[Order Date]]</f>
        <v>2</v>
      </c>
      <c r="J382" s="1">
        <v>6605</v>
      </c>
      <c r="K382" s="1">
        <v>81.73</v>
      </c>
      <c r="L382" s="1">
        <v>56.67</v>
      </c>
      <c r="M382" s="1">
        <f>Europe_Sales_Records[[#This Row],[Unit Price]]-Europe_Sales_Records[[#This Row],[Unit Cost]]</f>
        <v>25.060000000000002</v>
      </c>
      <c r="N382" s="1">
        <v>539826.65</v>
      </c>
      <c r="O382" s="6">
        <v>374305.35</v>
      </c>
      <c r="P382" s="1">
        <v>165521.29999999999</v>
      </c>
    </row>
    <row r="383" spans="1:16" x14ac:dyDescent="0.3">
      <c r="A383" s="1" t="s">
        <v>14</v>
      </c>
      <c r="B383" s="1" t="s">
        <v>94</v>
      </c>
      <c r="C383" s="1" t="s">
        <v>42</v>
      </c>
      <c r="D383" s="1" t="s">
        <v>22</v>
      </c>
      <c r="E383" s="1" t="s">
        <v>18</v>
      </c>
      <c r="F383" s="7">
        <v>40873</v>
      </c>
      <c r="G383" s="1" t="s">
        <v>462</v>
      </c>
      <c r="H383" s="7">
        <v>40896</v>
      </c>
      <c r="I383" s="1">
        <f>Europe_Sales_Records[[#This Row],[Ship Date]]-Europe_Sales_Records[[#This Row],[Order Date]]</f>
        <v>23</v>
      </c>
      <c r="J383" s="1">
        <v>606</v>
      </c>
      <c r="K383" s="1">
        <v>421.89</v>
      </c>
      <c r="L383" s="1">
        <v>364.69</v>
      </c>
      <c r="M383" s="1">
        <f>Europe_Sales_Records[[#This Row],[Unit Price]]-Europe_Sales_Records[[#This Row],[Unit Cost]]</f>
        <v>57.199999999999989</v>
      </c>
      <c r="N383" s="1">
        <v>255665.34</v>
      </c>
      <c r="O383" s="6">
        <v>221002.14</v>
      </c>
      <c r="P383" s="1">
        <v>34663.199999999997</v>
      </c>
    </row>
    <row r="384" spans="1:16" x14ac:dyDescent="0.3">
      <c r="A384" s="1" t="s">
        <v>14</v>
      </c>
      <c r="B384" s="1" t="s">
        <v>75</v>
      </c>
      <c r="C384" s="1" t="s">
        <v>42</v>
      </c>
      <c r="D384" s="1" t="s">
        <v>22</v>
      </c>
      <c r="E384" s="1" t="s">
        <v>23</v>
      </c>
      <c r="F384" s="7">
        <v>42287</v>
      </c>
      <c r="G384" s="1" t="s">
        <v>463</v>
      </c>
      <c r="H384" s="7">
        <v>42326</v>
      </c>
      <c r="I384" s="1">
        <f>Europe_Sales_Records[[#This Row],[Ship Date]]-Europe_Sales_Records[[#This Row],[Order Date]]</f>
        <v>39</v>
      </c>
      <c r="J384" s="1">
        <v>7642</v>
      </c>
      <c r="K384" s="1">
        <v>421.89</v>
      </c>
      <c r="L384" s="1">
        <v>364.69</v>
      </c>
      <c r="M384" s="1">
        <f>Europe_Sales_Records[[#This Row],[Unit Price]]-Europe_Sales_Records[[#This Row],[Unit Cost]]</f>
        <v>57.199999999999989</v>
      </c>
      <c r="N384" s="1">
        <v>3224083.38</v>
      </c>
      <c r="O384" s="6">
        <v>2786960.98</v>
      </c>
      <c r="P384" s="1">
        <v>437122.4</v>
      </c>
    </row>
    <row r="385" spans="1:16" x14ac:dyDescent="0.3">
      <c r="A385" s="1" t="s">
        <v>14</v>
      </c>
      <c r="B385" s="1" t="s">
        <v>99</v>
      </c>
      <c r="C385" s="1" t="s">
        <v>79</v>
      </c>
      <c r="D385" s="1" t="s">
        <v>17</v>
      </c>
      <c r="E385" s="1" t="s">
        <v>45</v>
      </c>
      <c r="F385" s="7">
        <v>41928</v>
      </c>
      <c r="G385" s="1" t="s">
        <v>464</v>
      </c>
      <c r="H385" s="7">
        <v>41945</v>
      </c>
      <c r="I385" s="1">
        <f>Europe_Sales_Records[[#This Row],[Ship Date]]-Europe_Sales_Records[[#This Row],[Order Date]]</f>
        <v>17</v>
      </c>
      <c r="J385" s="1">
        <v>7785</v>
      </c>
      <c r="K385" s="1">
        <v>81.73</v>
      </c>
      <c r="L385" s="1">
        <v>56.67</v>
      </c>
      <c r="M385" s="1">
        <f>Europe_Sales_Records[[#This Row],[Unit Price]]-Europe_Sales_Records[[#This Row],[Unit Cost]]</f>
        <v>25.060000000000002</v>
      </c>
      <c r="N385" s="1">
        <v>636268.05000000005</v>
      </c>
      <c r="O385" s="6">
        <v>441175.95</v>
      </c>
      <c r="P385" s="1">
        <v>195092.1</v>
      </c>
    </row>
    <row r="386" spans="1:16" x14ac:dyDescent="0.3">
      <c r="A386" s="1" t="s">
        <v>14</v>
      </c>
      <c r="B386" s="1" t="s">
        <v>129</v>
      </c>
      <c r="C386" s="1" t="s">
        <v>29</v>
      </c>
      <c r="D386" s="1" t="s">
        <v>22</v>
      </c>
      <c r="E386" s="1" t="s">
        <v>30</v>
      </c>
      <c r="F386" s="7">
        <v>41709</v>
      </c>
      <c r="G386" s="1" t="s">
        <v>465</v>
      </c>
      <c r="H386" s="7">
        <v>41737</v>
      </c>
      <c r="I386" s="1">
        <f>Europe_Sales_Records[[#This Row],[Ship Date]]-Europe_Sales_Records[[#This Row],[Order Date]]</f>
        <v>28</v>
      </c>
      <c r="J386" s="1">
        <v>6850</v>
      </c>
      <c r="K386" s="1">
        <v>651.21</v>
      </c>
      <c r="L386" s="1">
        <v>524.96</v>
      </c>
      <c r="M386" s="1">
        <f>Europe_Sales_Records[[#This Row],[Unit Price]]-Europe_Sales_Records[[#This Row],[Unit Cost]]</f>
        <v>126.25</v>
      </c>
      <c r="N386" s="1">
        <v>4460788.5</v>
      </c>
      <c r="O386" s="6">
        <v>3595976</v>
      </c>
      <c r="P386" s="1">
        <v>864812.5</v>
      </c>
    </row>
    <row r="387" spans="1:16" x14ac:dyDescent="0.3">
      <c r="A387" s="1" t="s">
        <v>14</v>
      </c>
      <c r="B387" s="1" t="s">
        <v>94</v>
      </c>
      <c r="C387" s="1" t="s">
        <v>60</v>
      </c>
      <c r="D387" s="1" t="s">
        <v>17</v>
      </c>
      <c r="E387" s="1" t="s">
        <v>23</v>
      </c>
      <c r="F387" s="7">
        <v>41635</v>
      </c>
      <c r="G387" s="1" t="s">
        <v>466</v>
      </c>
      <c r="H387" s="7">
        <v>41638</v>
      </c>
      <c r="I387" s="1">
        <f>Europe_Sales_Records[[#This Row],[Ship Date]]-Europe_Sales_Records[[#This Row],[Order Date]]</f>
        <v>3</v>
      </c>
      <c r="J387" s="1">
        <v>2749</v>
      </c>
      <c r="K387" s="1">
        <v>437.2</v>
      </c>
      <c r="L387" s="1">
        <v>263.33</v>
      </c>
      <c r="M387" s="1">
        <f>Europe_Sales_Records[[#This Row],[Unit Price]]-Europe_Sales_Records[[#This Row],[Unit Cost]]</f>
        <v>173.87</v>
      </c>
      <c r="N387" s="1">
        <v>1201862.8</v>
      </c>
      <c r="O387" s="6">
        <v>723894.17</v>
      </c>
      <c r="P387" s="1">
        <v>477968.63</v>
      </c>
    </row>
    <row r="388" spans="1:16" x14ac:dyDescent="0.3">
      <c r="A388" s="1" t="s">
        <v>14</v>
      </c>
      <c r="B388" s="1" t="s">
        <v>35</v>
      </c>
      <c r="C388" s="1" t="s">
        <v>60</v>
      </c>
      <c r="D388" s="1" t="s">
        <v>17</v>
      </c>
      <c r="E388" s="1" t="s">
        <v>23</v>
      </c>
      <c r="F388" s="7">
        <v>41229</v>
      </c>
      <c r="G388" s="1" t="s">
        <v>467</v>
      </c>
      <c r="H388" s="7">
        <v>41259</v>
      </c>
      <c r="I388" s="1">
        <f>Europe_Sales_Records[[#This Row],[Ship Date]]-Europe_Sales_Records[[#This Row],[Order Date]]</f>
        <v>30</v>
      </c>
      <c r="J388" s="1">
        <v>9005</v>
      </c>
      <c r="K388" s="1">
        <v>437.2</v>
      </c>
      <c r="L388" s="1">
        <v>263.33</v>
      </c>
      <c r="M388" s="1">
        <f>Europe_Sales_Records[[#This Row],[Unit Price]]-Europe_Sales_Records[[#This Row],[Unit Cost]]</f>
        <v>173.87</v>
      </c>
      <c r="N388" s="1">
        <v>3936986</v>
      </c>
      <c r="O388" s="6">
        <v>2371286.65</v>
      </c>
      <c r="P388" s="1">
        <v>1565699.35</v>
      </c>
    </row>
    <row r="389" spans="1:16" x14ac:dyDescent="0.3">
      <c r="A389" s="1" t="s">
        <v>14</v>
      </c>
      <c r="B389" s="1" t="s">
        <v>116</v>
      </c>
      <c r="C389" s="1" t="s">
        <v>79</v>
      </c>
      <c r="D389" s="1" t="s">
        <v>17</v>
      </c>
      <c r="E389" s="1" t="s">
        <v>18</v>
      </c>
      <c r="F389" s="7">
        <v>42807</v>
      </c>
      <c r="G389" s="1" t="s">
        <v>468</v>
      </c>
      <c r="H389" s="7">
        <v>42838</v>
      </c>
      <c r="I389" s="1">
        <f>Europe_Sales_Records[[#This Row],[Ship Date]]-Europe_Sales_Records[[#This Row],[Order Date]]</f>
        <v>31</v>
      </c>
      <c r="J389" s="1">
        <v>7954</v>
      </c>
      <c r="K389" s="1">
        <v>81.73</v>
      </c>
      <c r="L389" s="1">
        <v>56.67</v>
      </c>
      <c r="M389" s="1">
        <f>Europe_Sales_Records[[#This Row],[Unit Price]]-Europe_Sales_Records[[#This Row],[Unit Cost]]</f>
        <v>25.060000000000002</v>
      </c>
      <c r="N389" s="1">
        <v>650080.42000000004</v>
      </c>
      <c r="O389" s="6">
        <v>450753.18</v>
      </c>
      <c r="P389" s="1">
        <v>199327.24</v>
      </c>
    </row>
    <row r="390" spans="1:16" x14ac:dyDescent="0.3">
      <c r="A390" s="1" t="s">
        <v>14</v>
      </c>
      <c r="B390" s="1" t="s">
        <v>129</v>
      </c>
      <c r="C390" s="1" t="s">
        <v>79</v>
      </c>
      <c r="D390" s="1" t="s">
        <v>22</v>
      </c>
      <c r="E390" s="1" t="s">
        <v>30</v>
      </c>
      <c r="F390" s="7">
        <v>40797</v>
      </c>
      <c r="G390" s="1" t="s">
        <v>469</v>
      </c>
      <c r="H390" s="7">
        <v>40828</v>
      </c>
      <c r="I390" s="1">
        <f>Europe_Sales_Records[[#This Row],[Ship Date]]-Europe_Sales_Records[[#This Row],[Order Date]]</f>
        <v>31</v>
      </c>
      <c r="J390" s="1">
        <v>7623</v>
      </c>
      <c r="K390" s="1">
        <v>81.73</v>
      </c>
      <c r="L390" s="1">
        <v>56.67</v>
      </c>
      <c r="M390" s="1">
        <f>Europe_Sales_Records[[#This Row],[Unit Price]]-Europe_Sales_Records[[#This Row],[Unit Cost]]</f>
        <v>25.060000000000002</v>
      </c>
      <c r="N390" s="1">
        <v>623027.79</v>
      </c>
      <c r="O390" s="6">
        <v>431995.41</v>
      </c>
      <c r="P390" s="1">
        <v>191032.38</v>
      </c>
    </row>
    <row r="391" spans="1:16" x14ac:dyDescent="0.3">
      <c r="A391" s="1" t="s">
        <v>14</v>
      </c>
      <c r="B391" s="1" t="s">
        <v>127</v>
      </c>
      <c r="C391" s="1" t="s">
        <v>42</v>
      </c>
      <c r="D391" s="1" t="s">
        <v>22</v>
      </c>
      <c r="E391" s="1" t="s">
        <v>30</v>
      </c>
      <c r="F391" s="7">
        <v>42778</v>
      </c>
      <c r="G391" s="1" t="s">
        <v>470</v>
      </c>
      <c r="H391" s="7">
        <v>42817</v>
      </c>
      <c r="I391" s="1">
        <f>Europe_Sales_Records[[#This Row],[Ship Date]]-Europe_Sales_Records[[#This Row],[Order Date]]</f>
        <v>39</v>
      </c>
      <c r="J391" s="1">
        <v>6791</v>
      </c>
      <c r="K391" s="1">
        <v>421.89</v>
      </c>
      <c r="L391" s="1">
        <v>364.69</v>
      </c>
      <c r="M391" s="1">
        <f>Europe_Sales_Records[[#This Row],[Unit Price]]-Europe_Sales_Records[[#This Row],[Unit Cost]]</f>
        <v>57.199999999999989</v>
      </c>
      <c r="N391" s="1">
        <v>2865054.99</v>
      </c>
      <c r="O391" s="6">
        <v>2476609.79</v>
      </c>
      <c r="P391" s="1">
        <v>388445.2</v>
      </c>
    </row>
    <row r="392" spans="1:16" x14ac:dyDescent="0.3">
      <c r="A392" s="1" t="s">
        <v>14</v>
      </c>
      <c r="B392" s="1" t="s">
        <v>97</v>
      </c>
      <c r="C392" s="1" t="s">
        <v>60</v>
      </c>
      <c r="D392" s="1" t="s">
        <v>22</v>
      </c>
      <c r="E392" s="1" t="s">
        <v>23</v>
      </c>
      <c r="F392" s="7">
        <v>40697</v>
      </c>
      <c r="G392" s="1" t="s">
        <v>471</v>
      </c>
      <c r="H392" s="7">
        <v>40715</v>
      </c>
      <c r="I392" s="1">
        <f>Europe_Sales_Records[[#This Row],[Ship Date]]-Europe_Sales_Records[[#This Row],[Order Date]]</f>
        <v>18</v>
      </c>
      <c r="J392" s="1">
        <v>9379</v>
      </c>
      <c r="K392" s="1">
        <v>437.2</v>
      </c>
      <c r="L392" s="1">
        <v>263.33</v>
      </c>
      <c r="M392" s="1">
        <f>Europe_Sales_Records[[#This Row],[Unit Price]]-Europe_Sales_Records[[#This Row],[Unit Cost]]</f>
        <v>173.87</v>
      </c>
      <c r="N392" s="1">
        <v>4100498.8</v>
      </c>
      <c r="O392" s="6">
        <v>2469772.0699999998</v>
      </c>
      <c r="P392" s="1">
        <v>1630726.73</v>
      </c>
    </row>
    <row r="393" spans="1:16" x14ac:dyDescent="0.3">
      <c r="A393" s="1" t="s">
        <v>14</v>
      </c>
      <c r="B393" s="1" t="s">
        <v>35</v>
      </c>
      <c r="C393" s="1" t="s">
        <v>16</v>
      </c>
      <c r="D393" s="1" t="s">
        <v>17</v>
      </c>
      <c r="E393" s="1" t="s">
        <v>18</v>
      </c>
      <c r="F393" s="7">
        <v>42852</v>
      </c>
      <c r="G393" s="1" t="s">
        <v>472</v>
      </c>
      <c r="H393" s="7">
        <v>42879</v>
      </c>
      <c r="I393" s="1">
        <f>Europe_Sales_Records[[#This Row],[Ship Date]]-Europe_Sales_Records[[#This Row],[Order Date]]</f>
        <v>27</v>
      </c>
      <c r="J393" s="1">
        <v>4041</v>
      </c>
      <c r="K393" s="1">
        <v>47.45</v>
      </c>
      <c r="L393" s="1">
        <v>31.79</v>
      </c>
      <c r="M393" s="1">
        <f>Europe_Sales_Records[[#This Row],[Unit Price]]-Europe_Sales_Records[[#This Row],[Unit Cost]]</f>
        <v>15.660000000000004</v>
      </c>
      <c r="N393" s="1">
        <v>191745.45</v>
      </c>
      <c r="O393" s="6">
        <v>128463.39</v>
      </c>
      <c r="P393" s="1">
        <v>63282.06</v>
      </c>
    </row>
    <row r="394" spans="1:16" x14ac:dyDescent="0.3">
      <c r="A394" s="1" t="s">
        <v>14</v>
      </c>
      <c r="B394" s="1" t="s">
        <v>176</v>
      </c>
      <c r="C394" s="1" t="s">
        <v>29</v>
      </c>
      <c r="D394" s="1" t="s">
        <v>17</v>
      </c>
      <c r="E394" s="1" t="s">
        <v>45</v>
      </c>
      <c r="F394" s="7">
        <v>42557</v>
      </c>
      <c r="G394" s="1" t="s">
        <v>473</v>
      </c>
      <c r="H394" s="7">
        <v>42582</v>
      </c>
      <c r="I394" s="1">
        <f>Europe_Sales_Records[[#This Row],[Ship Date]]-Europe_Sales_Records[[#This Row],[Order Date]]</f>
        <v>25</v>
      </c>
      <c r="J394" s="1">
        <v>8131</v>
      </c>
      <c r="K394" s="1">
        <v>651.21</v>
      </c>
      <c r="L394" s="1">
        <v>524.96</v>
      </c>
      <c r="M394" s="1">
        <f>Europe_Sales_Records[[#This Row],[Unit Price]]-Europe_Sales_Records[[#This Row],[Unit Cost]]</f>
        <v>126.25</v>
      </c>
      <c r="N394" s="1">
        <v>5294988.51</v>
      </c>
      <c r="O394" s="6">
        <v>4268449.76</v>
      </c>
      <c r="P394" s="1">
        <v>1026538.75</v>
      </c>
    </row>
    <row r="395" spans="1:16" x14ac:dyDescent="0.3">
      <c r="A395" s="1" t="s">
        <v>14</v>
      </c>
      <c r="B395" s="1" t="s">
        <v>106</v>
      </c>
      <c r="C395" s="1" t="s">
        <v>33</v>
      </c>
      <c r="D395" s="1" t="s">
        <v>22</v>
      </c>
      <c r="E395" s="1" t="s">
        <v>45</v>
      </c>
      <c r="F395" s="7">
        <v>41946</v>
      </c>
      <c r="G395" s="1" t="s">
        <v>474</v>
      </c>
      <c r="H395" s="7">
        <v>41961</v>
      </c>
      <c r="I395" s="1">
        <f>Europe_Sales_Records[[#This Row],[Ship Date]]-Europe_Sales_Records[[#This Row],[Order Date]]</f>
        <v>15</v>
      </c>
      <c r="J395" s="1">
        <v>9929</v>
      </c>
      <c r="K395" s="1">
        <v>9.33</v>
      </c>
      <c r="L395" s="1">
        <v>6.92</v>
      </c>
      <c r="M395" s="1">
        <f>Europe_Sales_Records[[#This Row],[Unit Price]]-Europe_Sales_Records[[#This Row],[Unit Cost]]</f>
        <v>2.41</v>
      </c>
      <c r="N395" s="1">
        <v>92637.57</v>
      </c>
      <c r="O395" s="6">
        <v>68708.679999999993</v>
      </c>
      <c r="P395" s="1">
        <v>23928.89</v>
      </c>
    </row>
    <row r="396" spans="1:16" x14ac:dyDescent="0.3">
      <c r="A396" s="1" t="s">
        <v>14</v>
      </c>
      <c r="B396" s="1" t="s">
        <v>15</v>
      </c>
      <c r="C396" s="1" t="s">
        <v>79</v>
      </c>
      <c r="D396" s="1" t="s">
        <v>22</v>
      </c>
      <c r="E396" s="1" t="s">
        <v>18</v>
      </c>
      <c r="F396" s="7">
        <v>41021</v>
      </c>
      <c r="G396" s="1" t="s">
        <v>475</v>
      </c>
      <c r="H396" s="7">
        <v>41044</v>
      </c>
      <c r="I396" s="1">
        <f>Europe_Sales_Records[[#This Row],[Ship Date]]-Europe_Sales_Records[[#This Row],[Order Date]]</f>
        <v>23</v>
      </c>
      <c r="J396" s="1">
        <v>3095</v>
      </c>
      <c r="K396" s="1">
        <v>81.73</v>
      </c>
      <c r="L396" s="1">
        <v>56.67</v>
      </c>
      <c r="M396" s="1">
        <f>Europe_Sales_Records[[#This Row],[Unit Price]]-Europe_Sales_Records[[#This Row],[Unit Cost]]</f>
        <v>25.060000000000002</v>
      </c>
      <c r="N396" s="1">
        <v>252954.35</v>
      </c>
      <c r="O396" s="6">
        <v>175393.65</v>
      </c>
      <c r="P396" s="1">
        <v>77560.7</v>
      </c>
    </row>
    <row r="397" spans="1:16" x14ac:dyDescent="0.3">
      <c r="A397" s="1" t="s">
        <v>14</v>
      </c>
      <c r="B397" s="1" t="s">
        <v>44</v>
      </c>
      <c r="C397" s="1" t="s">
        <v>33</v>
      </c>
      <c r="D397" s="1" t="s">
        <v>17</v>
      </c>
      <c r="E397" s="1" t="s">
        <v>45</v>
      </c>
      <c r="F397" s="7">
        <v>42381</v>
      </c>
      <c r="G397" s="1" t="s">
        <v>476</v>
      </c>
      <c r="H397" s="7">
        <v>42414</v>
      </c>
      <c r="I397" s="1">
        <f>Europe_Sales_Records[[#This Row],[Ship Date]]-Europe_Sales_Records[[#This Row],[Order Date]]</f>
        <v>33</v>
      </c>
      <c r="J397" s="1">
        <v>54</v>
      </c>
      <c r="K397" s="1">
        <v>9.33</v>
      </c>
      <c r="L397" s="1">
        <v>6.92</v>
      </c>
      <c r="M397" s="1">
        <f>Europe_Sales_Records[[#This Row],[Unit Price]]-Europe_Sales_Records[[#This Row],[Unit Cost]]</f>
        <v>2.41</v>
      </c>
      <c r="N397" s="1">
        <v>503.82</v>
      </c>
      <c r="O397" s="6">
        <v>373.68</v>
      </c>
      <c r="P397" s="1">
        <v>130.13999999999999</v>
      </c>
    </row>
    <row r="398" spans="1:16" x14ac:dyDescent="0.3">
      <c r="A398" s="1" t="s">
        <v>14</v>
      </c>
      <c r="B398" s="1" t="s">
        <v>65</v>
      </c>
      <c r="C398" s="1" t="s">
        <v>52</v>
      </c>
      <c r="D398" s="1" t="s">
        <v>22</v>
      </c>
      <c r="E398" s="1" t="s">
        <v>45</v>
      </c>
      <c r="F398" s="7">
        <v>41720</v>
      </c>
      <c r="G398" s="1" t="s">
        <v>477</v>
      </c>
      <c r="H398" s="7">
        <v>41746</v>
      </c>
      <c r="I398" s="1">
        <f>Europe_Sales_Records[[#This Row],[Ship Date]]-Europe_Sales_Records[[#This Row],[Order Date]]</f>
        <v>26</v>
      </c>
      <c r="J398" s="1">
        <v>2018</v>
      </c>
      <c r="K398" s="1">
        <v>255.28</v>
      </c>
      <c r="L398" s="1">
        <v>159.41999999999999</v>
      </c>
      <c r="M398" s="1">
        <f>Europe_Sales_Records[[#This Row],[Unit Price]]-Europe_Sales_Records[[#This Row],[Unit Cost]]</f>
        <v>95.860000000000014</v>
      </c>
      <c r="N398" s="1">
        <v>515155.04</v>
      </c>
      <c r="O398" s="6">
        <v>321709.56</v>
      </c>
      <c r="P398" s="1">
        <v>193445.48</v>
      </c>
    </row>
    <row r="399" spans="1:16" x14ac:dyDescent="0.3">
      <c r="A399" s="1" t="s">
        <v>14</v>
      </c>
      <c r="B399" s="1" t="s">
        <v>63</v>
      </c>
      <c r="C399" s="1" t="s">
        <v>21</v>
      </c>
      <c r="D399" s="1" t="s">
        <v>17</v>
      </c>
      <c r="E399" s="1" t="s">
        <v>23</v>
      </c>
      <c r="F399" s="7">
        <v>41910</v>
      </c>
      <c r="G399" s="1" t="s">
        <v>478</v>
      </c>
      <c r="H399" s="7">
        <v>41928</v>
      </c>
      <c r="I399" s="1">
        <f>Europe_Sales_Records[[#This Row],[Ship Date]]-Europe_Sales_Records[[#This Row],[Order Date]]</f>
        <v>18</v>
      </c>
      <c r="J399" s="1">
        <v>8566</v>
      </c>
      <c r="K399" s="1">
        <v>109.28</v>
      </c>
      <c r="L399" s="1">
        <v>35.840000000000003</v>
      </c>
      <c r="M399" s="1">
        <f>Europe_Sales_Records[[#This Row],[Unit Price]]-Europe_Sales_Records[[#This Row],[Unit Cost]]</f>
        <v>73.44</v>
      </c>
      <c r="N399" s="1">
        <v>936092.48</v>
      </c>
      <c r="O399" s="6">
        <v>307005.44</v>
      </c>
      <c r="P399" s="1">
        <v>629087.04</v>
      </c>
    </row>
    <row r="400" spans="1:16" x14ac:dyDescent="0.3">
      <c r="A400" s="1" t="s">
        <v>14</v>
      </c>
      <c r="B400" s="1" t="s">
        <v>32</v>
      </c>
      <c r="C400" s="1" t="s">
        <v>42</v>
      </c>
      <c r="D400" s="1" t="s">
        <v>17</v>
      </c>
      <c r="E400" s="1" t="s">
        <v>23</v>
      </c>
      <c r="F400" s="7">
        <v>40415</v>
      </c>
      <c r="G400" s="1" t="s">
        <v>479</v>
      </c>
      <c r="H400" s="7">
        <v>40431</v>
      </c>
      <c r="I400" s="1">
        <f>Europe_Sales_Records[[#This Row],[Ship Date]]-Europe_Sales_Records[[#This Row],[Order Date]]</f>
        <v>16</v>
      </c>
      <c r="J400" s="1">
        <v>6505</v>
      </c>
      <c r="K400" s="1">
        <v>421.89</v>
      </c>
      <c r="L400" s="1">
        <v>364.69</v>
      </c>
      <c r="M400" s="1">
        <f>Europe_Sales_Records[[#This Row],[Unit Price]]-Europe_Sales_Records[[#This Row],[Unit Cost]]</f>
        <v>57.199999999999989</v>
      </c>
      <c r="N400" s="1">
        <v>2744394.45</v>
      </c>
      <c r="O400" s="6">
        <v>2372308.4500000002</v>
      </c>
      <c r="P400" s="1">
        <v>372086</v>
      </c>
    </row>
    <row r="401" spans="1:16" x14ac:dyDescent="0.3">
      <c r="A401" s="1" t="s">
        <v>14</v>
      </c>
      <c r="B401" s="1" t="s">
        <v>28</v>
      </c>
      <c r="C401" s="1" t="s">
        <v>21</v>
      </c>
      <c r="D401" s="1" t="s">
        <v>22</v>
      </c>
      <c r="E401" s="1" t="s">
        <v>45</v>
      </c>
      <c r="F401" s="7">
        <v>41753</v>
      </c>
      <c r="G401" s="1" t="s">
        <v>480</v>
      </c>
      <c r="H401" s="7">
        <v>41772</v>
      </c>
      <c r="I401" s="1">
        <f>Europe_Sales_Records[[#This Row],[Ship Date]]-Europe_Sales_Records[[#This Row],[Order Date]]</f>
        <v>19</v>
      </c>
      <c r="J401" s="1">
        <v>6927</v>
      </c>
      <c r="K401" s="1">
        <v>109.28</v>
      </c>
      <c r="L401" s="1">
        <v>35.840000000000003</v>
      </c>
      <c r="M401" s="1">
        <f>Europe_Sales_Records[[#This Row],[Unit Price]]-Europe_Sales_Records[[#This Row],[Unit Cost]]</f>
        <v>73.44</v>
      </c>
      <c r="N401" s="1">
        <v>756982.56</v>
      </c>
      <c r="O401" s="6">
        <v>248263.67999999999</v>
      </c>
      <c r="P401" s="1">
        <v>508718.88</v>
      </c>
    </row>
    <row r="402" spans="1:16" x14ac:dyDescent="0.3">
      <c r="A402" s="1" t="s">
        <v>14</v>
      </c>
      <c r="B402" s="1" t="s">
        <v>38</v>
      </c>
      <c r="C402" s="1" t="s">
        <v>79</v>
      </c>
      <c r="D402" s="1" t="s">
        <v>17</v>
      </c>
      <c r="E402" s="1" t="s">
        <v>23</v>
      </c>
      <c r="F402" s="7">
        <v>40884</v>
      </c>
      <c r="G402" s="1" t="s">
        <v>481</v>
      </c>
      <c r="H402" s="7">
        <v>40898</v>
      </c>
      <c r="I402" s="1">
        <f>Europe_Sales_Records[[#This Row],[Ship Date]]-Europe_Sales_Records[[#This Row],[Order Date]]</f>
        <v>14</v>
      </c>
      <c r="J402" s="1">
        <v>6765</v>
      </c>
      <c r="K402" s="1">
        <v>81.73</v>
      </c>
      <c r="L402" s="1">
        <v>56.67</v>
      </c>
      <c r="M402" s="1">
        <f>Europe_Sales_Records[[#This Row],[Unit Price]]-Europe_Sales_Records[[#This Row],[Unit Cost]]</f>
        <v>25.060000000000002</v>
      </c>
      <c r="N402" s="1">
        <v>552903.44999999995</v>
      </c>
      <c r="O402" s="6">
        <v>383372.55</v>
      </c>
      <c r="P402" s="1">
        <v>169530.9</v>
      </c>
    </row>
    <row r="403" spans="1:16" x14ac:dyDescent="0.3">
      <c r="A403" s="1" t="s">
        <v>14</v>
      </c>
      <c r="B403" s="1" t="s">
        <v>38</v>
      </c>
      <c r="C403" s="1" t="s">
        <v>26</v>
      </c>
      <c r="D403" s="1" t="s">
        <v>22</v>
      </c>
      <c r="E403" s="1" t="s">
        <v>30</v>
      </c>
      <c r="F403" s="7">
        <v>41090</v>
      </c>
      <c r="G403" s="1" t="s">
        <v>482</v>
      </c>
      <c r="H403" s="7">
        <v>41124</v>
      </c>
      <c r="I403" s="1">
        <f>Europe_Sales_Records[[#This Row],[Ship Date]]-Europe_Sales_Records[[#This Row],[Order Date]]</f>
        <v>34</v>
      </c>
      <c r="J403" s="1">
        <v>1801</v>
      </c>
      <c r="K403" s="1">
        <v>205.7</v>
      </c>
      <c r="L403" s="1">
        <v>117.11</v>
      </c>
      <c r="M403" s="1">
        <f>Europe_Sales_Records[[#This Row],[Unit Price]]-Europe_Sales_Records[[#This Row],[Unit Cost]]</f>
        <v>88.589999999999989</v>
      </c>
      <c r="N403" s="1">
        <v>370465.7</v>
      </c>
      <c r="O403" s="6">
        <v>210915.11</v>
      </c>
      <c r="P403" s="1">
        <v>159550.59</v>
      </c>
    </row>
    <row r="404" spans="1:16" x14ac:dyDescent="0.3">
      <c r="A404" s="1" t="s">
        <v>14</v>
      </c>
      <c r="B404" s="1" t="s">
        <v>97</v>
      </c>
      <c r="C404" s="1" t="s">
        <v>52</v>
      </c>
      <c r="D404" s="1" t="s">
        <v>22</v>
      </c>
      <c r="E404" s="1" t="s">
        <v>30</v>
      </c>
      <c r="F404" s="7">
        <v>42718</v>
      </c>
      <c r="G404" s="1" t="s">
        <v>483</v>
      </c>
      <c r="H404" s="7">
        <v>42722</v>
      </c>
      <c r="I404" s="1">
        <f>Europe_Sales_Records[[#This Row],[Ship Date]]-Europe_Sales_Records[[#This Row],[Order Date]]</f>
        <v>4</v>
      </c>
      <c r="J404" s="1">
        <v>4728</v>
      </c>
      <c r="K404" s="1">
        <v>255.28</v>
      </c>
      <c r="L404" s="1">
        <v>159.41999999999999</v>
      </c>
      <c r="M404" s="1">
        <f>Europe_Sales_Records[[#This Row],[Unit Price]]-Europe_Sales_Records[[#This Row],[Unit Cost]]</f>
        <v>95.860000000000014</v>
      </c>
      <c r="N404" s="1">
        <v>1206963.8400000001</v>
      </c>
      <c r="O404" s="6">
        <v>753737.76</v>
      </c>
      <c r="P404" s="1">
        <v>453226.08</v>
      </c>
    </row>
    <row r="405" spans="1:16" x14ac:dyDescent="0.3">
      <c r="A405" s="1" t="s">
        <v>14</v>
      </c>
      <c r="B405" s="1" t="s">
        <v>94</v>
      </c>
      <c r="C405" s="1" t="s">
        <v>21</v>
      </c>
      <c r="D405" s="1" t="s">
        <v>17</v>
      </c>
      <c r="E405" s="1" t="s">
        <v>45</v>
      </c>
      <c r="F405" s="7">
        <v>41939</v>
      </c>
      <c r="G405" s="1" t="s">
        <v>484</v>
      </c>
      <c r="H405" s="7">
        <v>41943</v>
      </c>
      <c r="I405" s="1">
        <f>Europe_Sales_Records[[#This Row],[Ship Date]]-Europe_Sales_Records[[#This Row],[Order Date]]</f>
        <v>4</v>
      </c>
      <c r="J405" s="1">
        <v>4301</v>
      </c>
      <c r="K405" s="1">
        <v>109.28</v>
      </c>
      <c r="L405" s="1">
        <v>35.840000000000003</v>
      </c>
      <c r="M405" s="1">
        <f>Europe_Sales_Records[[#This Row],[Unit Price]]-Europe_Sales_Records[[#This Row],[Unit Cost]]</f>
        <v>73.44</v>
      </c>
      <c r="N405" s="1">
        <v>470013.28</v>
      </c>
      <c r="O405" s="6">
        <v>154147.84</v>
      </c>
      <c r="P405" s="1">
        <v>315865.44</v>
      </c>
    </row>
    <row r="406" spans="1:16" x14ac:dyDescent="0.3">
      <c r="A406" s="1" t="s">
        <v>14</v>
      </c>
      <c r="B406" s="1" t="s">
        <v>71</v>
      </c>
      <c r="C406" s="1" t="s">
        <v>39</v>
      </c>
      <c r="D406" s="1" t="s">
        <v>17</v>
      </c>
      <c r="E406" s="1" t="s">
        <v>45</v>
      </c>
      <c r="F406" s="7">
        <v>42596</v>
      </c>
      <c r="G406" s="1" t="s">
        <v>485</v>
      </c>
      <c r="H406" s="7">
        <v>42644</v>
      </c>
      <c r="I406" s="1">
        <f>Europe_Sales_Records[[#This Row],[Ship Date]]-Europe_Sales_Records[[#This Row],[Order Date]]</f>
        <v>48</v>
      </c>
      <c r="J406" s="1">
        <v>7523</v>
      </c>
      <c r="K406" s="1">
        <v>154.06</v>
      </c>
      <c r="L406" s="1">
        <v>90.93</v>
      </c>
      <c r="M406" s="1">
        <f>Europe_Sales_Records[[#This Row],[Unit Price]]-Europe_Sales_Records[[#This Row],[Unit Cost]]</f>
        <v>63.129999999999995</v>
      </c>
      <c r="N406" s="1">
        <v>1158993.3799999999</v>
      </c>
      <c r="O406" s="6">
        <v>684066.39</v>
      </c>
      <c r="P406" s="1">
        <v>474926.99</v>
      </c>
    </row>
    <row r="407" spans="1:16" x14ac:dyDescent="0.3">
      <c r="A407" s="1" t="s">
        <v>14</v>
      </c>
      <c r="B407" s="1" t="s">
        <v>63</v>
      </c>
      <c r="C407" s="1" t="s">
        <v>60</v>
      </c>
      <c r="D407" s="1" t="s">
        <v>22</v>
      </c>
      <c r="E407" s="1" t="s">
        <v>45</v>
      </c>
      <c r="F407" s="7">
        <v>41712</v>
      </c>
      <c r="G407" s="1" t="s">
        <v>486</v>
      </c>
      <c r="H407" s="7">
        <v>41735</v>
      </c>
      <c r="I407" s="1">
        <f>Europe_Sales_Records[[#This Row],[Ship Date]]-Europe_Sales_Records[[#This Row],[Order Date]]</f>
        <v>23</v>
      </c>
      <c r="J407" s="1">
        <v>9382</v>
      </c>
      <c r="K407" s="1">
        <v>437.2</v>
      </c>
      <c r="L407" s="1">
        <v>263.33</v>
      </c>
      <c r="M407" s="1">
        <f>Europe_Sales_Records[[#This Row],[Unit Price]]-Europe_Sales_Records[[#This Row],[Unit Cost]]</f>
        <v>173.87</v>
      </c>
      <c r="N407" s="1">
        <v>4101810.4</v>
      </c>
      <c r="O407" s="6">
        <v>2470562.06</v>
      </c>
      <c r="P407" s="1">
        <v>1631248.34</v>
      </c>
    </row>
    <row r="408" spans="1:16" x14ac:dyDescent="0.3">
      <c r="A408" s="1" t="s">
        <v>14</v>
      </c>
      <c r="B408" s="1" t="s">
        <v>91</v>
      </c>
      <c r="C408" s="1" t="s">
        <v>57</v>
      </c>
      <c r="D408" s="1" t="s">
        <v>17</v>
      </c>
      <c r="E408" s="1" t="s">
        <v>23</v>
      </c>
      <c r="F408" s="7">
        <v>41155</v>
      </c>
      <c r="G408" s="1" t="s">
        <v>487</v>
      </c>
      <c r="H408" s="7">
        <v>41176</v>
      </c>
      <c r="I408" s="1">
        <f>Europe_Sales_Records[[#This Row],[Ship Date]]-Europe_Sales_Records[[#This Row],[Order Date]]</f>
        <v>21</v>
      </c>
      <c r="J408" s="1">
        <v>1051</v>
      </c>
      <c r="K408" s="1">
        <v>668.27</v>
      </c>
      <c r="L408" s="1">
        <v>502.54</v>
      </c>
      <c r="M408" s="1">
        <f>Europe_Sales_Records[[#This Row],[Unit Price]]-Europe_Sales_Records[[#This Row],[Unit Cost]]</f>
        <v>165.72999999999996</v>
      </c>
      <c r="N408" s="1">
        <v>702351.77</v>
      </c>
      <c r="O408" s="6">
        <v>528169.54</v>
      </c>
      <c r="P408" s="1">
        <v>174182.23</v>
      </c>
    </row>
    <row r="409" spans="1:16" x14ac:dyDescent="0.3">
      <c r="A409" s="1" t="s">
        <v>14</v>
      </c>
      <c r="B409" s="1" t="s">
        <v>59</v>
      </c>
      <c r="C409" s="1" t="s">
        <v>42</v>
      </c>
      <c r="D409" s="1" t="s">
        <v>17</v>
      </c>
      <c r="E409" s="1" t="s">
        <v>45</v>
      </c>
      <c r="F409" s="7">
        <v>42850</v>
      </c>
      <c r="G409" s="1" t="s">
        <v>488</v>
      </c>
      <c r="H409" s="7">
        <v>42856</v>
      </c>
      <c r="I409" s="1">
        <f>Europe_Sales_Records[[#This Row],[Ship Date]]-Europe_Sales_Records[[#This Row],[Order Date]]</f>
        <v>6</v>
      </c>
      <c r="J409" s="1">
        <v>2022</v>
      </c>
      <c r="K409" s="1">
        <v>421.89</v>
      </c>
      <c r="L409" s="1">
        <v>364.69</v>
      </c>
      <c r="M409" s="1">
        <f>Europe_Sales_Records[[#This Row],[Unit Price]]-Europe_Sales_Records[[#This Row],[Unit Cost]]</f>
        <v>57.199999999999989</v>
      </c>
      <c r="N409" s="1">
        <v>853061.58</v>
      </c>
      <c r="O409" s="6">
        <v>737403.18</v>
      </c>
      <c r="P409" s="1">
        <v>115658.4</v>
      </c>
    </row>
    <row r="410" spans="1:16" x14ac:dyDescent="0.3">
      <c r="A410" s="1" t="s">
        <v>14</v>
      </c>
      <c r="B410" s="1" t="s">
        <v>219</v>
      </c>
      <c r="C410" s="1" t="s">
        <v>48</v>
      </c>
      <c r="D410" s="1" t="s">
        <v>22</v>
      </c>
      <c r="E410" s="1" t="s">
        <v>30</v>
      </c>
      <c r="F410" s="7">
        <v>42463</v>
      </c>
      <c r="G410" s="1" t="s">
        <v>489</v>
      </c>
      <c r="H410" s="7">
        <v>42509</v>
      </c>
      <c r="I410" s="1">
        <f>Europe_Sales_Records[[#This Row],[Ship Date]]-Europe_Sales_Records[[#This Row],[Order Date]]</f>
        <v>46</v>
      </c>
      <c r="J410" s="1">
        <v>3293</v>
      </c>
      <c r="K410" s="1">
        <v>152.58000000000001</v>
      </c>
      <c r="L410" s="1">
        <v>97.44</v>
      </c>
      <c r="M410" s="1">
        <f>Europe_Sales_Records[[#This Row],[Unit Price]]-Europe_Sales_Records[[#This Row],[Unit Cost]]</f>
        <v>55.140000000000015</v>
      </c>
      <c r="N410" s="1">
        <v>502445.94</v>
      </c>
      <c r="O410" s="6">
        <v>320869.92</v>
      </c>
      <c r="P410" s="1">
        <v>181576.02</v>
      </c>
    </row>
    <row r="411" spans="1:16" x14ac:dyDescent="0.3">
      <c r="A411" s="1" t="s">
        <v>14</v>
      </c>
      <c r="B411" s="1" t="s">
        <v>97</v>
      </c>
      <c r="C411" s="1" t="s">
        <v>39</v>
      </c>
      <c r="D411" s="1" t="s">
        <v>22</v>
      </c>
      <c r="E411" s="1" t="s">
        <v>30</v>
      </c>
      <c r="F411" s="7">
        <v>40191</v>
      </c>
      <c r="G411" s="1" t="s">
        <v>490</v>
      </c>
      <c r="H411" s="7">
        <v>40198</v>
      </c>
      <c r="I411" s="1">
        <f>Europe_Sales_Records[[#This Row],[Ship Date]]-Europe_Sales_Records[[#This Row],[Order Date]]</f>
        <v>7</v>
      </c>
      <c r="J411" s="1">
        <v>4396</v>
      </c>
      <c r="K411" s="1">
        <v>154.06</v>
      </c>
      <c r="L411" s="1">
        <v>90.93</v>
      </c>
      <c r="M411" s="1">
        <f>Europe_Sales_Records[[#This Row],[Unit Price]]-Europe_Sales_Records[[#This Row],[Unit Cost]]</f>
        <v>63.129999999999995</v>
      </c>
      <c r="N411" s="1">
        <v>677247.76</v>
      </c>
      <c r="O411" s="6">
        <v>399728.28</v>
      </c>
      <c r="P411" s="1">
        <v>277519.48</v>
      </c>
    </row>
    <row r="412" spans="1:16" x14ac:dyDescent="0.3">
      <c r="A412" s="1" t="s">
        <v>14</v>
      </c>
      <c r="B412" s="1" t="s">
        <v>73</v>
      </c>
      <c r="C412" s="1" t="s">
        <v>26</v>
      </c>
      <c r="D412" s="1" t="s">
        <v>22</v>
      </c>
      <c r="E412" s="1" t="s">
        <v>23</v>
      </c>
      <c r="F412" s="7">
        <v>40817</v>
      </c>
      <c r="G412" s="1" t="s">
        <v>491</v>
      </c>
      <c r="H412" s="7">
        <v>40837</v>
      </c>
      <c r="I412" s="1">
        <f>Europe_Sales_Records[[#This Row],[Ship Date]]-Europe_Sales_Records[[#This Row],[Order Date]]</f>
        <v>20</v>
      </c>
      <c r="J412" s="1">
        <v>5720</v>
      </c>
      <c r="K412" s="1">
        <v>205.7</v>
      </c>
      <c r="L412" s="1">
        <v>117.11</v>
      </c>
      <c r="M412" s="1">
        <f>Europe_Sales_Records[[#This Row],[Unit Price]]-Europe_Sales_Records[[#This Row],[Unit Cost]]</f>
        <v>88.589999999999989</v>
      </c>
      <c r="N412" s="1">
        <v>1176604</v>
      </c>
      <c r="O412" s="6">
        <v>669869.19999999995</v>
      </c>
      <c r="P412" s="1">
        <v>506734.8</v>
      </c>
    </row>
    <row r="413" spans="1:16" x14ac:dyDescent="0.3">
      <c r="A413" s="1" t="s">
        <v>14</v>
      </c>
      <c r="B413" s="1" t="s">
        <v>65</v>
      </c>
      <c r="C413" s="1" t="s">
        <v>26</v>
      </c>
      <c r="D413" s="1" t="s">
        <v>17</v>
      </c>
      <c r="E413" s="1" t="s">
        <v>23</v>
      </c>
      <c r="F413" s="7">
        <v>41440</v>
      </c>
      <c r="G413" s="1" t="s">
        <v>492</v>
      </c>
      <c r="H413" s="7">
        <v>41464</v>
      </c>
      <c r="I413" s="1">
        <f>Europe_Sales_Records[[#This Row],[Ship Date]]-Europe_Sales_Records[[#This Row],[Order Date]]</f>
        <v>24</v>
      </c>
      <c r="J413" s="1">
        <v>9586</v>
      </c>
      <c r="K413" s="1">
        <v>205.7</v>
      </c>
      <c r="L413" s="1">
        <v>117.11</v>
      </c>
      <c r="M413" s="1">
        <f>Europe_Sales_Records[[#This Row],[Unit Price]]-Europe_Sales_Records[[#This Row],[Unit Cost]]</f>
        <v>88.589999999999989</v>
      </c>
      <c r="N413" s="1">
        <v>1971840.2</v>
      </c>
      <c r="O413" s="6">
        <v>1122616.46</v>
      </c>
      <c r="P413" s="1">
        <v>849223.74</v>
      </c>
    </row>
    <row r="414" spans="1:16" x14ac:dyDescent="0.3">
      <c r="A414" s="1" t="s">
        <v>14</v>
      </c>
      <c r="B414" s="1" t="s">
        <v>47</v>
      </c>
      <c r="C414" s="1" t="s">
        <v>16</v>
      </c>
      <c r="D414" s="1" t="s">
        <v>22</v>
      </c>
      <c r="E414" s="1" t="s">
        <v>30</v>
      </c>
      <c r="F414" s="7">
        <v>41813</v>
      </c>
      <c r="G414" s="1" t="s">
        <v>493</v>
      </c>
      <c r="H414" s="7">
        <v>41839</v>
      </c>
      <c r="I414" s="1">
        <f>Europe_Sales_Records[[#This Row],[Ship Date]]-Europe_Sales_Records[[#This Row],[Order Date]]</f>
        <v>26</v>
      </c>
      <c r="J414" s="1">
        <v>3841</v>
      </c>
      <c r="K414" s="1">
        <v>47.45</v>
      </c>
      <c r="L414" s="1">
        <v>31.79</v>
      </c>
      <c r="M414" s="1">
        <f>Europe_Sales_Records[[#This Row],[Unit Price]]-Europe_Sales_Records[[#This Row],[Unit Cost]]</f>
        <v>15.660000000000004</v>
      </c>
      <c r="N414" s="1">
        <v>182255.45</v>
      </c>
      <c r="O414" s="6">
        <v>122105.39</v>
      </c>
      <c r="P414" s="1">
        <v>60150.06</v>
      </c>
    </row>
    <row r="415" spans="1:16" x14ac:dyDescent="0.3">
      <c r="A415" s="1" t="s">
        <v>14</v>
      </c>
      <c r="B415" s="1" t="s">
        <v>73</v>
      </c>
      <c r="C415" s="1" t="s">
        <v>79</v>
      </c>
      <c r="D415" s="1" t="s">
        <v>17</v>
      </c>
      <c r="E415" s="1" t="s">
        <v>45</v>
      </c>
      <c r="F415" s="7">
        <v>41631</v>
      </c>
      <c r="G415" s="1" t="s">
        <v>494</v>
      </c>
      <c r="H415" s="7">
        <v>41643</v>
      </c>
      <c r="I415" s="1">
        <f>Europe_Sales_Records[[#This Row],[Ship Date]]-Europe_Sales_Records[[#This Row],[Order Date]]</f>
        <v>12</v>
      </c>
      <c r="J415" s="1">
        <v>9999</v>
      </c>
      <c r="K415" s="1">
        <v>81.73</v>
      </c>
      <c r="L415" s="1">
        <v>56.67</v>
      </c>
      <c r="M415" s="1">
        <f>Europe_Sales_Records[[#This Row],[Unit Price]]-Europe_Sales_Records[[#This Row],[Unit Cost]]</f>
        <v>25.060000000000002</v>
      </c>
      <c r="N415" s="1">
        <v>817218.27</v>
      </c>
      <c r="O415" s="6">
        <v>566643.32999999996</v>
      </c>
      <c r="P415" s="1">
        <v>250574.94</v>
      </c>
    </row>
    <row r="416" spans="1:16" x14ac:dyDescent="0.3">
      <c r="A416" s="1" t="s">
        <v>14</v>
      </c>
      <c r="B416" s="1" t="s">
        <v>94</v>
      </c>
      <c r="C416" s="1" t="s">
        <v>42</v>
      </c>
      <c r="D416" s="1" t="s">
        <v>17</v>
      </c>
      <c r="E416" s="1" t="s">
        <v>23</v>
      </c>
      <c r="F416" s="7">
        <v>41133</v>
      </c>
      <c r="G416" s="1" t="s">
        <v>495</v>
      </c>
      <c r="H416" s="7">
        <v>41156</v>
      </c>
      <c r="I416" s="1">
        <f>Europe_Sales_Records[[#This Row],[Ship Date]]-Europe_Sales_Records[[#This Row],[Order Date]]</f>
        <v>23</v>
      </c>
      <c r="J416" s="1">
        <v>5510</v>
      </c>
      <c r="K416" s="1">
        <v>421.89</v>
      </c>
      <c r="L416" s="1">
        <v>364.69</v>
      </c>
      <c r="M416" s="1">
        <f>Europe_Sales_Records[[#This Row],[Unit Price]]-Europe_Sales_Records[[#This Row],[Unit Cost]]</f>
        <v>57.199999999999989</v>
      </c>
      <c r="N416" s="1">
        <v>2324613.9</v>
      </c>
      <c r="O416" s="6">
        <v>2009441.9</v>
      </c>
      <c r="P416" s="1">
        <v>315172</v>
      </c>
    </row>
    <row r="417" spans="1:16" x14ac:dyDescent="0.3">
      <c r="A417" s="1" t="s">
        <v>14</v>
      </c>
      <c r="B417" s="1" t="s">
        <v>164</v>
      </c>
      <c r="C417" s="1" t="s">
        <v>29</v>
      </c>
      <c r="D417" s="1" t="s">
        <v>22</v>
      </c>
      <c r="E417" s="1" t="s">
        <v>23</v>
      </c>
      <c r="F417" s="7">
        <v>42452</v>
      </c>
      <c r="G417" s="1" t="s">
        <v>496</v>
      </c>
      <c r="H417" s="7">
        <v>42466</v>
      </c>
      <c r="I417" s="1">
        <f>Europe_Sales_Records[[#This Row],[Ship Date]]-Europe_Sales_Records[[#This Row],[Order Date]]</f>
        <v>14</v>
      </c>
      <c r="J417" s="1">
        <v>5342</v>
      </c>
      <c r="K417" s="1">
        <v>651.21</v>
      </c>
      <c r="L417" s="1">
        <v>524.96</v>
      </c>
      <c r="M417" s="1">
        <f>Europe_Sales_Records[[#This Row],[Unit Price]]-Europe_Sales_Records[[#This Row],[Unit Cost]]</f>
        <v>126.25</v>
      </c>
      <c r="N417" s="1">
        <v>3478763.82</v>
      </c>
      <c r="O417" s="6">
        <v>2804336.32</v>
      </c>
      <c r="P417" s="1">
        <v>674427.5</v>
      </c>
    </row>
    <row r="418" spans="1:16" x14ac:dyDescent="0.3">
      <c r="A418" s="1" t="s">
        <v>14</v>
      </c>
      <c r="B418" s="1" t="s">
        <v>65</v>
      </c>
      <c r="C418" s="1" t="s">
        <v>16</v>
      </c>
      <c r="D418" s="1" t="s">
        <v>17</v>
      </c>
      <c r="E418" s="1" t="s">
        <v>45</v>
      </c>
      <c r="F418" s="7">
        <v>41132</v>
      </c>
      <c r="G418" s="1" t="s">
        <v>497</v>
      </c>
      <c r="H418" s="7">
        <v>41170</v>
      </c>
      <c r="I418" s="1">
        <f>Europe_Sales_Records[[#This Row],[Ship Date]]-Europe_Sales_Records[[#This Row],[Order Date]]</f>
        <v>38</v>
      </c>
      <c r="J418" s="1">
        <v>7648</v>
      </c>
      <c r="K418" s="1">
        <v>47.45</v>
      </c>
      <c r="L418" s="1">
        <v>31.79</v>
      </c>
      <c r="M418" s="1">
        <f>Europe_Sales_Records[[#This Row],[Unit Price]]-Europe_Sales_Records[[#This Row],[Unit Cost]]</f>
        <v>15.660000000000004</v>
      </c>
      <c r="N418" s="1">
        <v>362897.6</v>
      </c>
      <c r="O418" s="6">
        <v>243129.92</v>
      </c>
      <c r="P418" s="1">
        <v>119767.67999999999</v>
      </c>
    </row>
    <row r="419" spans="1:16" x14ac:dyDescent="0.3">
      <c r="A419" s="1" t="s">
        <v>14</v>
      </c>
      <c r="B419" s="1" t="s">
        <v>120</v>
      </c>
      <c r="C419" s="1" t="s">
        <v>42</v>
      </c>
      <c r="D419" s="1" t="s">
        <v>17</v>
      </c>
      <c r="E419" s="1" t="s">
        <v>30</v>
      </c>
      <c r="F419" s="7">
        <v>42716</v>
      </c>
      <c r="G419" s="1" t="s">
        <v>498</v>
      </c>
      <c r="H419" s="7">
        <v>42717</v>
      </c>
      <c r="I419" s="1">
        <f>Europe_Sales_Records[[#This Row],[Ship Date]]-Europe_Sales_Records[[#This Row],[Order Date]]</f>
        <v>1</v>
      </c>
      <c r="J419" s="1">
        <v>9787</v>
      </c>
      <c r="K419" s="1">
        <v>421.89</v>
      </c>
      <c r="L419" s="1">
        <v>364.69</v>
      </c>
      <c r="M419" s="1">
        <f>Europe_Sales_Records[[#This Row],[Unit Price]]-Europe_Sales_Records[[#This Row],[Unit Cost]]</f>
        <v>57.199999999999989</v>
      </c>
      <c r="N419" s="1">
        <v>4129037.43</v>
      </c>
      <c r="O419" s="6">
        <v>3569221.03</v>
      </c>
      <c r="P419" s="1">
        <v>559816.4</v>
      </c>
    </row>
    <row r="420" spans="1:16" x14ac:dyDescent="0.3">
      <c r="A420" s="1" t="s">
        <v>14</v>
      </c>
      <c r="B420" s="1" t="s">
        <v>81</v>
      </c>
      <c r="C420" s="1" t="s">
        <v>21</v>
      </c>
      <c r="D420" s="1" t="s">
        <v>17</v>
      </c>
      <c r="E420" s="1" t="s">
        <v>23</v>
      </c>
      <c r="F420" s="7">
        <v>41706</v>
      </c>
      <c r="G420" s="1" t="s">
        <v>499</v>
      </c>
      <c r="H420" s="7">
        <v>41753</v>
      </c>
      <c r="I420" s="1">
        <f>Europe_Sales_Records[[#This Row],[Ship Date]]-Europe_Sales_Records[[#This Row],[Order Date]]</f>
        <v>47</v>
      </c>
      <c r="J420" s="1">
        <v>7468</v>
      </c>
      <c r="K420" s="1">
        <v>109.28</v>
      </c>
      <c r="L420" s="1">
        <v>35.840000000000003</v>
      </c>
      <c r="M420" s="1">
        <f>Europe_Sales_Records[[#This Row],[Unit Price]]-Europe_Sales_Records[[#This Row],[Unit Cost]]</f>
        <v>73.44</v>
      </c>
      <c r="N420" s="1">
        <v>816103.04</v>
      </c>
      <c r="O420" s="6">
        <v>267653.12</v>
      </c>
      <c r="P420" s="1">
        <v>548449.92000000004</v>
      </c>
    </row>
    <row r="421" spans="1:16" x14ac:dyDescent="0.3">
      <c r="A421" s="1" t="s">
        <v>14</v>
      </c>
      <c r="B421" s="1" t="s">
        <v>73</v>
      </c>
      <c r="C421" s="1" t="s">
        <v>60</v>
      </c>
      <c r="D421" s="1" t="s">
        <v>17</v>
      </c>
      <c r="E421" s="1" t="s">
        <v>23</v>
      </c>
      <c r="F421" s="7">
        <v>42130</v>
      </c>
      <c r="G421" s="1" t="s">
        <v>500</v>
      </c>
      <c r="H421" s="7">
        <v>42147</v>
      </c>
      <c r="I421" s="1">
        <f>Europe_Sales_Records[[#This Row],[Ship Date]]-Europe_Sales_Records[[#This Row],[Order Date]]</f>
        <v>17</v>
      </c>
      <c r="J421" s="1">
        <v>6864</v>
      </c>
      <c r="K421" s="1">
        <v>437.2</v>
      </c>
      <c r="L421" s="1">
        <v>263.33</v>
      </c>
      <c r="M421" s="1">
        <f>Europe_Sales_Records[[#This Row],[Unit Price]]-Europe_Sales_Records[[#This Row],[Unit Cost]]</f>
        <v>173.87</v>
      </c>
      <c r="N421" s="1">
        <v>3000940.8</v>
      </c>
      <c r="O421" s="6">
        <v>1807497.12</v>
      </c>
      <c r="P421" s="1">
        <v>1193443.68</v>
      </c>
    </row>
    <row r="422" spans="1:16" x14ac:dyDescent="0.3">
      <c r="A422" s="1" t="s">
        <v>14</v>
      </c>
      <c r="B422" s="1" t="s">
        <v>38</v>
      </c>
      <c r="C422" s="1" t="s">
        <v>33</v>
      </c>
      <c r="D422" s="1" t="s">
        <v>22</v>
      </c>
      <c r="E422" s="1" t="s">
        <v>45</v>
      </c>
      <c r="F422" s="7">
        <v>40823</v>
      </c>
      <c r="G422" s="1" t="s">
        <v>501</v>
      </c>
      <c r="H422" s="7">
        <v>40861</v>
      </c>
      <c r="I422" s="1">
        <f>Europe_Sales_Records[[#This Row],[Ship Date]]-Europe_Sales_Records[[#This Row],[Order Date]]</f>
        <v>38</v>
      </c>
      <c r="J422" s="1">
        <v>4906</v>
      </c>
      <c r="K422" s="1">
        <v>9.33</v>
      </c>
      <c r="L422" s="1">
        <v>6.92</v>
      </c>
      <c r="M422" s="1">
        <f>Europe_Sales_Records[[#This Row],[Unit Price]]-Europe_Sales_Records[[#This Row],[Unit Cost]]</f>
        <v>2.41</v>
      </c>
      <c r="N422" s="1">
        <v>45772.98</v>
      </c>
      <c r="O422" s="6">
        <v>33949.519999999997</v>
      </c>
      <c r="P422" s="1">
        <v>11823.46</v>
      </c>
    </row>
    <row r="423" spans="1:16" x14ac:dyDescent="0.3">
      <c r="A423" s="1" t="s">
        <v>14</v>
      </c>
      <c r="B423" s="1" t="s">
        <v>219</v>
      </c>
      <c r="C423" s="1" t="s">
        <v>42</v>
      </c>
      <c r="D423" s="1" t="s">
        <v>17</v>
      </c>
      <c r="E423" s="1" t="s">
        <v>23</v>
      </c>
      <c r="F423" s="7">
        <v>40228</v>
      </c>
      <c r="G423" s="1" t="s">
        <v>502</v>
      </c>
      <c r="H423" s="7">
        <v>40263</v>
      </c>
      <c r="I423" s="1">
        <f>Europe_Sales_Records[[#This Row],[Ship Date]]-Europe_Sales_Records[[#This Row],[Order Date]]</f>
        <v>35</v>
      </c>
      <c r="J423" s="1">
        <v>3199</v>
      </c>
      <c r="K423" s="1">
        <v>421.89</v>
      </c>
      <c r="L423" s="1">
        <v>364.69</v>
      </c>
      <c r="M423" s="1">
        <f>Europe_Sales_Records[[#This Row],[Unit Price]]-Europe_Sales_Records[[#This Row],[Unit Cost]]</f>
        <v>57.199999999999989</v>
      </c>
      <c r="N423" s="1">
        <v>1349626.11</v>
      </c>
      <c r="O423" s="6">
        <v>1166643.31</v>
      </c>
      <c r="P423" s="1">
        <v>182982.8</v>
      </c>
    </row>
    <row r="424" spans="1:16" x14ac:dyDescent="0.3">
      <c r="A424" s="1" t="s">
        <v>14</v>
      </c>
      <c r="B424" s="1" t="s">
        <v>116</v>
      </c>
      <c r="C424" s="1" t="s">
        <v>33</v>
      </c>
      <c r="D424" s="1" t="s">
        <v>17</v>
      </c>
      <c r="E424" s="1" t="s">
        <v>18</v>
      </c>
      <c r="F424" s="7">
        <v>42806</v>
      </c>
      <c r="G424" s="1" t="s">
        <v>503</v>
      </c>
      <c r="H424" s="7">
        <v>42850</v>
      </c>
      <c r="I424" s="1">
        <f>Europe_Sales_Records[[#This Row],[Ship Date]]-Europe_Sales_Records[[#This Row],[Order Date]]</f>
        <v>44</v>
      </c>
      <c r="J424" s="1">
        <v>6373</v>
      </c>
      <c r="K424" s="1">
        <v>9.33</v>
      </c>
      <c r="L424" s="1">
        <v>6.92</v>
      </c>
      <c r="M424" s="1">
        <f>Europe_Sales_Records[[#This Row],[Unit Price]]-Europe_Sales_Records[[#This Row],[Unit Cost]]</f>
        <v>2.41</v>
      </c>
      <c r="N424" s="1">
        <v>59460.09</v>
      </c>
      <c r="O424" s="6">
        <v>44101.16</v>
      </c>
      <c r="P424" s="1">
        <v>15358.93</v>
      </c>
    </row>
    <row r="425" spans="1:16" x14ac:dyDescent="0.3">
      <c r="A425" s="1" t="s">
        <v>14</v>
      </c>
      <c r="B425" s="1" t="s">
        <v>63</v>
      </c>
      <c r="C425" s="1" t="s">
        <v>16</v>
      </c>
      <c r="D425" s="1" t="s">
        <v>17</v>
      </c>
      <c r="E425" s="1" t="s">
        <v>30</v>
      </c>
      <c r="F425" s="7">
        <v>42420</v>
      </c>
      <c r="G425" s="1" t="s">
        <v>504</v>
      </c>
      <c r="H425" s="7">
        <v>42437</v>
      </c>
      <c r="I425" s="1">
        <f>Europe_Sales_Records[[#This Row],[Ship Date]]-Europe_Sales_Records[[#This Row],[Order Date]]</f>
        <v>17</v>
      </c>
      <c r="J425" s="1">
        <v>9014</v>
      </c>
      <c r="K425" s="1">
        <v>47.45</v>
      </c>
      <c r="L425" s="1">
        <v>31.79</v>
      </c>
      <c r="M425" s="1">
        <f>Europe_Sales_Records[[#This Row],[Unit Price]]-Europe_Sales_Records[[#This Row],[Unit Cost]]</f>
        <v>15.660000000000004</v>
      </c>
      <c r="N425" s="1">
        <v>427714.3</v>
      </c>
      <c r="O425" s="6">
        <v>286555.06</v>
      </c>
      <c r="P425" s="1">
        <v>141159.24</v>
      </c>
    </row>
    <row r="426" spans="1:16" x14ac:dyDescent="0.3">
      <c r="A426" s="1" t="s">
        <v>14</v>
      </c>
      <c r="B426" s="1" t="s">
        <v>73</v>
      </c>
      <c r="C426" s="1" t="s">
        <v>21</v>
      </c>
      <c r="D426" s="1" t="s">
        <v>22</v>
      </c>
      <c r="E426" s="1" t="s">
        <v>30</v>
      </c>
      <c r="F426" s="7">
        <v>40424</v>
      </c>
      <c r="G426" s="1" t="s">
        <v>505</v>
      </c>
      <c r="H426" s="7">
        <v>40452</v>
      </c>
      <c r="I426" s="1">
        <f>Europe_Sales_Records[[#This Row],[Ship Date]]-Europe_Sales_Records[[#This Row],[Order Date]]</f>
        <v>28</v>
      </c>
      <c r="J426" s="1">
        <v>8942</v>
      </c>
      <c r="K426" s="1">
        <v>109.28</v>
      </c>
      <c r="L426" s="1">
        <v>35.840000000000003</v>
      </c>
      <c r="M426" s="1">
        <f>Europe_Sales_Records[[#This Row],[Unit Price]]-Europe_Sales_Records[[#This Row],[Unit Cost]]</f>
        <v>73.44</v>
      </c>
      <c r="N426" s="1">
        <v>977181.76</v>
      </c>
      <c r="O426" s="6">
        <v>320481.28000000003</v>
      </c>
      <c r="P426" s="1">
        <v>656700.48</v>
      </c>
    </row>
    <row r="427" spans="1:16" x14ac:dyDescent="0.3">
      <c r="A427" s="1" t="s">
        <v>14</v>
      </c>
      <c r="B427" s="1" t="s">
        <v>127</v>
      </c>
      <c r="C427" s="1" t="s">
        <v>52</v>
      </c>
      <c r="D427" s="1" t="s">
        <v>17</v>
      </c>
      <c r="E427" s="1" t="s">
        <v>45</v>
      </c>
      <c r="F427" s="7">
        <v>41730</v>
      </c>
      <c r="G427" s="1" t="s">
        <v>506</v>
      </c>
      <c r="H427" s="7">
        <v>41763</v>
      </c>
      <c r="I427" s="1">
        <f>Europe_Sales_Records[[#This Row],[Ship Date]]-Europe_Sales_Records[[#This Row],[Order Date]]</f>
        <v>33</v>
      </c>
      <c r="J427" s="1">
        <v>8307</v>
      </c>
      <c r="K427" s="1">
        <v>255.28</v>
      </c>
      <c r="L427" s="1">
        <v>159.41999999999999</v>
      </c>
      <c r="M427" s="1">
        <f>Europe_Sales_Records[[#This Row],[Unit Price]]-Europe_Sales_Records[[#This Row],[Unit Cost]]</f>
        <v>95.860000000000014</v>
      </c>
      <c r="N427" s="1">
        <v>2120610.96</v>
      </c>
      <c r="O427" s="6">
        <v>1324301.94</v>
      </c>
      <c r="P427" s="1">
        <v>796309.02</v>
      </c>
    </row>
    <row r="428" spans="1:16" x14ac:dyDescent="0.3">
      <c r="A428" s="1" t="s">
        <v>14</v>
      </c>
      <c r="B428" s="1" t="s">
        <v>137</v>
      </c>
      <c r="C428" s="1" t="s">
        <v>42</v>
      </c>
      <c r="D428" s="1" t="s">
        <v>17</v>
      </c>
      <c r="E428" s="1" t="s">
        <v>45</v>
      </c>
      <c r="F428" s="7">
        <v>42857</v>
      </c>
      <c r="G428" s="1" t="s">
        <v>507</v>
      </c>
      <c r="H428" s="7">
        <v>42867</v>
      </c>
      <c r="I428" s="1">
        <f>Europe_Sales_Records[[#This Row],[Ship Date]]-Europe_Sales_Records[[#This Row],[Order Date]]</f>
        <v>10</v>
      </c>
      <c r="J428" s="1">
        <v>1151</v>
      </c>
      <c r="K428" s="1">
        <v>421.89</v>
      </c>
      <c r="L428" s="1">
        <v>364.69</v>
      </c>
      <c r="M428" s="1">
        <f>Europe_Sales_Records[[#This Row],[Unit Price]]-Europe_Sales_Records[[#This Row],[Unit Cost]]</f>
        <v>57.199999999999989</v>
      </c>
      <c r="N428" s="1">
        <v>485595.39</v>
      </c>
      <c r="O428" s="6">
        <v>419758.19</v>
      </c>
      <c r="P428" s="1">
        <v>65837.2</v>
      </c>
    </row>
    <row r="429" spans="1:16" x14ac:dyDescent="0.3">
      <c r="A429" s="1" t="s">
        <v>14</v>
      </c>
      <c r="B429" s="1" t="s">
        <v>71</v>
      </c>
      <c r="C429" s="1" t="s">
        <v>52</v>
      </c>
      <c r="D429" s="1" t="s">
        <v>17</v>
      </c>
      <c r="E429" s="1" t="s">
        <v>30</v>
      </c>
      <c r="F429" s="7">
        <v>41194</v>
      </c>
      <c r="G429" s="1" t="s">
        <v>508</v>
      </c>
      <c r="H429" s="7">
        <v>41214</v>
      </c>
      <c r="I429" s="1">
        <f>Europe_Sales_Records[[#This Row],[Ship Date]]-Europe_Sales_Records[[#This Row],[Order Date]]</f>
        <v>20</v>
      </c>
      <c r="J429" s="1">
        <v>9223</v>
      </c>
      <c r="K429" s="1">
        <v>255.28</v>
      </c>
      <c r="L429" s="1">
        <v>159.41999999999999</v>
      </c>
      <c r="M429" s="1">
        <f>Europe_Sales_Records[[#This Row],[Unit Price]]-Europe_Sales_Records[[#This Row],[Unit Cost]]</f>
        <v>95.860000000000014</v>
      </c>
      <c r="N429" s="1">
        <v>2354447.44</v>
      </c>
      <c r="O429" s="6">
        <v>1470330.66</v>
      </c>
      <c r="P429" s="1">
        <v>884116.78</v>
      </c>
    </row>
    <row r="430" spans="1:16" x14ac:dyDescent="0.3">
      <c r="A430" s="1" t="s">
        <v>14</v>
      </c>
      <c r="B430" s="1" t="s">
        <v>101</v>
      </c>
      <c r="C430" s="1" t="s">
        <v>21</v>
      </c>
      <c r="D430" s="1" t="s">
        <v>17</v>
      </c>
      <c r="E430" s="1" t="s">
        <v>18</v>
      </c>
      <c r="F430" s="7">
        <v>42547</v>
      </c>
      <c r="G430" s="1" t="s">
        <v>509</v>
      </c>
      <c r="H430" s="7">
        <v>42587</v>
      </c>
      <c r="I430" s="1">
        <f>Europe_Sales_Records[[#This Row],[Ship Date]]-Europe_Sales_Records[[#This Row],[Order Date]]</f>
        <v>40</v>
      </c>
      <c r="J430" s="1">
        <v>9620</v>
      </c>
      <c r="K430" s="1">
        <v>109.28</v>
      </c>
      <c r="L430" s="1">
        <v>35.840000000000003</v>
      </c>
      <c r="M430" s="1">
        <f>Europe_Sales_Records[[#This Row],[Unit Price]]-Europe_Sales_Records[[#This Row],[Unit Cost]]</f>
        <v>73.44</v>
      </c>
      <c r="N430" s="1">
        <v>1051273.6000000001</v>
      </c>
      <c r="O430" s="6">
        <v>344780.79999999999</v>
      </c>
      <c r="P430" s="1">
        <v>706492.8</v>
      </c>
    </row>
    <row r="431" spans="1:16" x14ac:dyDescent="0.3">
      <c r="A431" s="1" t="s">
        <v>14</v>
      </c>
      <c r="B431" s="1" t="s">
        <v>65</v>
      </c>
      <c r="C431" s="1" t="s">
        <v>48</v>
      </c>
      <c r="D431" s="1" t="s">
        <v>17</v>
      </c>
      <c r="E431" s="1" t="s">
        <v>18</v>
      </c>
      <c r="F431" s="7">
        <v>41596</v>
      </c>
      <c r="G431" s="1" t="s">
        <v>510</v>
      </c>
      <c r="H431" s="7">
        <v>41608</v>
      </c>
      <c r="I431" s="1">
        <f>Europe_Sales_Records[[#This Row],[Ship Date]]-Europe_Sales_Records[[#This Row],[Order Date]]</f>
        <v>12</v>
      </c>
      <c r="J431" s="1">
        <v>8288</v>
      </c>
      <c r="K431" s="1">
        <v>152.58000000000001</v>
      </c>
      <c r="L431" s="1">
        <v>97.44</v>
      </c>
      <c r="M431" s="1">
        <f>Europe_Sales_Records[[#This Row],[Unit Price]]-Europe_Sales_Records[[#This Row],[Unit Cost]]</f>
        <v>55.140000000000015</v>
      </c>
      <c r="N431" s="1">
        <v>1264583.04</v>
      </c>
      <c r="O431" s="6">
        <v>807582.71999999997</v>
      </c>
      <c r="P431" s="1">
        <v>457000.32</v>
      </c>
    </row>
    <row r="432" spans="1:16" x14ac:dyDescent="0.3">
      <c r="A432" s="1" t="s">
        <v>14</v>
      </c>
      <c r="B432" s="1" t="s">
        <v>75</v>
      </c>
      <c r="C432" s="1" t="s">
        <v>57</v>
      </c>
      <c r="D432" s="1" t="s">
        <v>17</v>
      </c>
      <c r="E432" s="1" t="s">
        <v>30</v>
      </c>
      <c r="F432" s="7">
        <v>42777</v>
      </c>
      <c r="G432" s="1" t="s">
        <v>511</v>
      </c>
      <c r="H432" s="7">
        <v>42786</v>
      </c>
      <c r="I432" s="1">
        <f>Europe_Sales_Records[[#This Row],[Ship Date]]-Europe_Sales_Records[[#This Row],[Order Date]]</f>
        <v>9</v>
      </c>
      <c r="J432" s="1">
        <v>8644</v>
      </c>
      <c r="K432" s="1">
        <v>668.27</v>
      </c>
      <c r="L432" s="1">
        <v>502.54</v>
      </c>
      <c r="M432" s="1">
        <f>Europe_Sales_Records[[#This Row],[Unit Price]]-Europe_Sales_Records[[#This Row],[Unit Cost]]</f>
        <v>165.72999999999996</v>
      </c>
      <c r="N432" s="1">
        <v>5776525.8799999999</v>
      </c>
      <c r="O432" s="6">
        <v>4343955.76</v>
      </c>
      <c r="P432" s="1">
        <v>1432570.12</v>
      </c>
    </row>
    <row r="433" spans="1:16" x14ac:dyDescent="0.3">
      <c r="A433" s="1" t="s">
        <v>14</v>
      </c>
      <c r="B433" s="1" t="s">
        <v>35</v>
      </c>
      <c r="C433" s="1" t="s">
        <v>60</v>
      </c>
      <c r="D433" s="1" t="s">
        <v>22</v>
      </c>
      <c r="E433" s="1" t="s">
        <v>18</v>
      </c>
      <c r="F433" s="7">
        <v>42146</v>
      </c>
      <c r="G433" s="1" t="s">
        <v>512</v>
      </c>
      <c r="H433" s="7">
        <v>42184</v>
      </c>
      <c r="I433" s="1">
        <f>Europe_Sales_Records[[#This Row],[Ship Date]]-Europe_Sales_Records[[#This Row],[Order Date]]</f>
        <v>38</v>
      </c>
      <c r="J433" s="1">
        <v>1779</v>
      </c>
      <c r="K433" s="1">
        <v>437.2</v>
      </c>
      <c r="L433" s="1">
        <v>263.33</v>
      </c>
      <c r="M433" s="1">
        <f>Europe_Sales_Records[[#This Row],[Unit Price]]-Europe_Sales_Records[[#This Row],[Unit Cost]]</f>
        <v>173.87</v>
      </c>
      <c r="N433" s="1">
        <v>777778.8</v>
      </c>
      <c r="O433" s="6">
        <v>468464.07</v>
      </c>
      <c r="P433" s="1">
        <v>309314.73</v>
      </c>
    </row>
    <row r="434" spans="1:16" x14ac:dyDescent="0.3">
      <c r="A434" s="1" t="s">
        <v>14</v>
      </c>
      <c r="B434" s="1" t="s">
        <v>56</v>
      </c>
      <c r="C434" s="1" t="s">
        <v>21</v>
      </c>
      <c r="D434" s="1" t="s">
        <v>17</v>
      </c>
      <c r="E434" s="1" t="s">
        <v>45</v>
      </c>
      <c r="F434" s="7">
        <v>42231</v>
      </c>
      <c r="G434" s="1" t="s">
        <v>513</v>
      </c>
      <c r="H434" s="7">
        <v>42280</v>
      </c>
      <c r="I434" s="1">
        <f>Europe_Sales_Records[[#This Row],[Ship Date]]-Europe_Sales_Records[[#This Row],[Order Date]]</f>
        <v>49</v>
      </c>
      <c r="J434" s="1">
        <v>3685</v>
      </c>
      <c r="K434" s="1">
        <v>109.28</v>
      </c>
      <c r="L434" s="1">
        <v>35.840000000000003</v>
      </c>
      <c r="M434" s="1">
        <f>Europe_Sales_Records[[#This Row],[Unit Price]]-Europe_Sales_Records[[#This Row],[Unit Cost]]</f>
        <v>73.44</v>
      </c>
      <c r="N434" s="1">
        <v>402696.8</v>
      </c>
      <c r="O434" s="6">
        <v>132070.39999999999</v>
      </c>
      <c r="P434" s="1">
        <v>270626.40000000002</v>
      </c>
    </row>
    <row r="435" spans="1:16" x14ac:dyDescent="0.3">
      <c r="A435" s="1" t="s">
        <v>14</v>
      </c>
      <c r="B435" s="1" t="s">
        <v>118</v>
      </c>
      <c r="C435" s="1" t="s">
        <v>39</v>
      </c>
      <c r="D435" s="1" t="s">
        <v>22</v>
      </c>
      <c r="E435" s="1" t="s">
        <v>23</v>
      </c>
      <c r="F435" s="7">
        <v>40859</v>
      </c>
      <c r="G435" s="1" t="s">
        <v>514</v>
      </c>
      <c r="H435" s="7">
        <v>40891</v>
      </c>
      <c r="I435" s="1">
        <f>Europe_Sales_Records[[#This Row],[Ship Date]]-Europe_Sales_Records[[#This Row],[Order Date]]</f>
        <v>32</v>
      </c>
      <c r="J435" s="1">
        <v>4419</v>
      </c>
      <c r="K435" s="1">
        <v>154.06</v>
      </c>
      <c r="L435" s="1">
        <v>90.93</v>
      </c>
      <c r="M435" s="1">
        <f>Europe_Sales_Records[[#This Row],[Unit Price]]-Europe_Sales_Records[[#This Row],[Unit Cost]]</f>
        <v>63.129999999999995</v>
      </c>
      <c r="N435" s="1">
        <v>680791.14</v>
      </c>
      <c r="O435" s="6">
        <v>401819.67</v>
      </c>
      <c r="P435" s="1">
        <v>278971.46999999997</v>
      </c>
    </row>
    <row r="436" spans="1:16" x14ac:dyDescent="0.3">
      <c r="A436" s="1" t="s">
        <v>14</v>
      </c>
      <c r="B436" s="1" t="s">
        <v>75</v>
      </c>
      <c r="C436" s="1" t="s">
        <v>52</v>
      </c>
      <c r="D436" s="1" t="s">
        <v>17</v>
      </c>
      <c r="E436" s="1" t="s">
        <v>23</v>
      </c>
      <c r="F436" s="7">
        <v>41345</v>
      </c>
      <c r="G436" s="1" t="s">
        <v>515</v>
      </c>
      <c r="H436" s="7">
        <v>41385</v>
      </c>
      <c r="I436" s="1">
        <f>Europe_Sales_Records[[#This Row],[Ship Date]]-Europe_Sales_Records[[#This Row],[Order Date]]</f>
        <v>40</v>
      </c>
      <c r="J436" s="1">
        <v>1525</v>
      </c>
      <c r="K436" s="1">
        <v>255.28</v>
      </c>
      <c r="L436" s="1">
        <v>159.41999999999999</v>
      </c>
      <c r="M436" s="1">
        <f>Europe_Sales_Records[[#This Row],[Unit Price]]-Europe_Sales_Records[[#This Row],[Unit Cost]]</f>
        <v>95.860000000000014</v>
      </c>
      <c r="N436" s="1">
        <v>389302</v>
      </c>
      <c r="O436" s="6">
        <v>243115.5</v>
      </c>
      <c r="P436" s="1">
        <v>146186.5</v>
      </c>
    </row>
    <row r="437" spans="1:16" x14ac:dyDescent="0.3">
      <c r="A437" s="1" t="s">
        <v>14</v>
      </c>
      <c r="B437" s="1" t="s">
        <v>152</v>
      </c>
      <c r="C437" s="1" t="s">
        <v>16</v>
      </c>
      <c r="D437" s="1" t="s">
        <v>22</v>
      </c>
      <c r="E437" s="1" t="s">
        <v>30</v>
      </c>
      <c r="F437" s="7">
        <v>42777</v>
      </c>
      <c r="G437" s="1" t="s">
        <v>516</v>
      </c>
      <c r="H437" s="7">
        <v>42785</v>
      </c>
      <c r="I437" s="1">
        <f>Europe_Sales_Records[[#This Row],[Ship Date]]-Europe_Sales_Records[[#This Row],[Order Date]]</f>
        <v>8</v>
      </c>
      <c r="J437" s="1">
        <v>9350</v>
      </c>
      <c r="K437" s="1">
        <v>47.45</v>
      </c>
      <c r="L437" s="1">
        <v>31.79</v>
      </c>
      <c r="M437" s="1">
        <f>Europe_Sales_Records[[#This Row],[Unit Price]]-Europe_Sales_Records[[#This Row],[Unit Cost]]</f>
        <v>15.660000000000004</v>
      </c>
      <c r="N437" s="1">
        <v>443657.5</v>
      </c>
      <c r="O437" s="6">
        <v>297236.5</v>
      </c>
      <c r="P437" s="1">
        <v>146421</v>
      </c>
    </row>
    <row r="438" spans="1:16" x14ac:dyDescent="0.3">
      <c r="A438" s="1" t="s">
        <v>14</v>
      </c>
      <c r="B438" s="1" t="s">
        <v>77</v>
      </c>
      <c r="C438" s="1" t="s">
        <v>33</v>
      </c>
      <c r="D438" s="1" t="s">
        <v>17</v>
      </c>
      <c r="E438" s="1" t="s">
        <v>18</v>
      </c>
      <c r="F438" s="7">
        <v>40212</v>
      </c>
      <c r="G438" s="1" t="s">
        <v>517</v>
      </c>
      <c r="H438" s="7">
        <v>40220</v>
      </c>
      <c r="I438" s="1">
        <f>Europe_Sales_Records[[#This Row],[Ship Date]]-Europe_Sales_Records[[#This Row],[Order Date]]</f>
        <v>8</v>
      </c>
      <c r="J438" s="1">
        <v>6349</v>
      </c>
      <c r="K438" s="1">
        <v>9.33</v>
      </c>
      <c r="L438" s="1">
        <v>6.92</v>
      </c>
      <c r="M438" s="1">
        <f>Europe_Sales_Records[[#This Row],[Unit Price]]-Europe_Sales_Records[[#This Row],[Unit Cost]]</f>
        <v>2.41</v>
      </c>
      <c r="N438" s="1">
        <v>59236.17</v>
      </c>
      <c r="O438" s="6">
        <v>43935.08</v>
      </c>
      <c r="P438" s="1">
        <v>15301.09</v>
      </c>
    </row>
    <row r="439" spans="1:16" x14ac:dyDescent="0.3">
      <c r="A439" s="1" t="s">
        <v>14</v>
      </c>
      <c r="B439" s="1" t="s">
        <v>87</v>
      </c>
      <c r="C439" s="1" t="s">
        <v>16</v>
      </c>
      <c r="D439" s="1" t="s">
        <v>17</v>
      </c>
      <c r="E439" s="1" t="s">
        <v>30</v>
      </c>
      <c r="F439" s="7">
        <v>41265</v>
      </c>
      <c r="G439" s="1" t="s">
        <v>518</v>
      </c>
      <c r="H439" s="7">
        <v>41312</v>
      </c>
      <c r="I439" s="1">
        <f>Europe_Sales_Records[[#This Row],[Ship Date]]-Europe_Sales_Records[[#This Row],[Order Date]]</f>
        <v>47</v>
      </c>
      <c r="J439" s="1">
        <v>8944</v>
      </c>
      <c r="K439" s="1">
        <v>47.45</v>
      </c>
      <c r="L439" s="1">
        <v>31.79</v>
      </c>
      <c r="M439" s="1">
        <f>Europe_Sales_Records[[#This Row],[Unit Price]]-Europe_Sales_Records[[#This Row],[Unit Cost]]</f>
        <v>15.660000000000004</v>
      </c>
      <c r="N439" s="1">
        <v>424392.8</v>
      </c>
      <c r="O439" s="6">
        <v>284329.76</v>
      </c>
      <c r="P439" s="1">
        <v>140063.04000000001</v>
      </c>
    </row>
    <row r="440" spans="1:16" x14ac:dyDescent="0.3">
      <c r="A440" s="1" t="s">
        <v>14</v>
      </c>
      <c r="B440" s="1" t="s">
        <v>131</v>
      </c>
      <c r="C440" s="1" t="s">
        <v>21</v>
      </c>
      <c r="D440" s="1" t="s">
        <v>22</v>
      </c>
      <c r="E440" s="1" t="s">
        <v>23</v>
      </c>
      <c r="F440" s="7">
        <v>41001</v>
      </c>
      <c r="G440" s="1" t="s">
        <v>519</v>
      </c>
      <c r="H440" s="7">
        <v>41025</v>
      </c>
      <c r="I440" s="1">
        <f>Europe_Sales_Records[[#This Row],[Ship Date]]-Europe_Sales_Records[[#This Row],[Order Date]]</f>
        <v>24</v>
      </c>
      <c r="J440" s="1">
        <v>6360</v>
      </c>
      <c r="K440" s="1">
        <v>109.28</v>
      </c>
      <c r="L440" s="1">
        <v>35.840000000000003</v>
      </c>
      <c r="M440" s="1">
        <f>Europe_Sales_Records[[#This Row],[Unit Price]]-Europe_Sales_Records[[#This Row],[Unit Cost]]</f>
        <v>73.44</v>
      </c>
      <c r="N440" s="1">
        <v>695020.8</v>
      </c>
      <c r="O440" s="6">
        <v>227942.39999999999</v>
      </c>
      <c r="P440" s="1">
        <v>467078.40000000002</v>
      </c>
    </row>
    <row r="441" spans="1:16" x14ac:dyDescent="0.3">
      <c r="A441" s="1" t="s">
        <v>14</v>
      </c>
      <c r="B441" s="1" t="s">
        <v>35</v>
      </c>
      <c r="C441" s="1" t="s">
        <v>39</v>
      </c>
      <c r="D441" s="1" t="s">
        <v>22</v>
      </c>
      <c r="E441" s="1" t="s">
        <v>45</v>
      </c>
      <c r="F441" s="7">
        <v>41363</v>
      </c>
      <c r="G441" s="1" t="s">
        <v>520</v>
      </c>
      <c r="H441" s="7">
        <v>41412</v>
      </c>
      <c r="I441" s="1">
        <f>Europe_Sales_Records[[#This Row],[Ship Date]]-Europe_Sales_Records[[#This Row],[Order Date]]</f>
        <v>49</v>
      </c>
      <c r="J441" s="1">
        <v>4388</v>
      </c>
      <c r="K441" s="1">
        <v>154.06</v>
      </c>
      <c r="L441" s="1">
        <v>90.93</v>
      </c>
      <c r="M441" s="1">
        <f>Europe_Sales_Records[[#This Row],[Unit Price]]-Europe_Sales_Records[[#This Row],[Unit Cost]]</f>
        <v>63.129999999999995</v>
      </c>
      <c r="N441" s="1">
        <v>676015.28</v>
      </c>
      <c r="O441" s="6">
        <v>399000.84</v>
      </c>
      <c r="P441" s="1">
        <v>277014.44</v>
      </c>
    </row>
    <row r="442" spans="1:16" x14ac:dyDescent="0.3">
      <c r="A442" s="1" t="s">
        <v>14</v>
      </c>
      <c r="B442" s="1" t="s">
        <v>131</v>
      </c>
      <c r="C442" s="1" t="s">
        <v>42</v>
      </c>
      <c r="D442" s="1" t="s">
        <v>17</v>
      </c>
      <c r="E442" s="1" t="s">
        <v>45</v>
      </c>
      <c r="F442" s="7">
        <v>41474</v>
      </c>
      <c r="G442" s="1" t="s">
        <v>521</v>
      </c>
      <c r="H442" s="7">
        <v>41524</v>
      </c>
      <c r="I442" s="1">
        <f>Europe_Sales_Records[[#This Row],[Ship Date]]-Europe_Sales_Records[[#This Row],[Order Date]]</f>
        <v>50</v>
      </c>
      <c r="J442" s="1">
        <v>6360</v>
      </c>
      <c r="K442" s="1">
        <v>421.89</v>
      </c>
      <c r="L442" s="1">
        <v>364.69</v>
      </c>
      <c r="M442" s="1">
        <f>Europe_Sales_Records[[#This Row],[Unit Price]]-Europe_Sales_Records[[#This Row],[Unit Cost]]</f>
        <v>57.199999999999989</v>
      </c>
      <c r="N442" s="1">
        <v>2683220.4</v>
      </c>
      <c r="O442" s="6">
        <v>2319428.4</v>
      </c>
      <c r="P442" s="1">
        <v>363792</v>
      </c>
    </row>
    <row r="443" spans="1:16" x14ac:dyDescent="0.3">
      <c r="A443" s="1" t="s">
        <v>14</v>
      </c>
      <c r="B443" s="1" t="s">
        <v>120</v>
      </c>
      <c r="C443" s="1" t="s">
        <v>60</v>
      </c>
      <c r="D443" s="1" t="s">
        <v>22</v>
      </c>
      <c r="E443" s="1" t="s">
        <v>30</v>
      </c>
      <c r="F443" s="7">
        <v>41208</v>
      </c>
      <c r="G443" s="1" t="s">
        <v>522</v>
      </c>
      <c r="H443" s="7">
        <v>41255</v>
      </c>
      <c r="I443" s="1">
        <f>Europe_Sales_Records[[#This Row],[Ship Date]]-Europe_Sales_Records[[#This Row],[Order Date]]</f>
        <v>47</v>
      </c>
      <c r="J443" s="1">
        <v>2981</v>
      </c>
      <c r="K443" s="1">
        <v>437.2</v>
      </c>
      <c r="L443" s="1">
        <v>263.33</v>
      </c>
      <c r="M443" s="1">
        <f>Europe_Sales_Records[[#This Row],[Unit Price]]-Europe_Sales_Records[[#This Row],[Unit Cost]]</f>
        <v>173.87</v>
      </c>
      <c r="N443" s="1">
        <v>1303293.2</v>
      </c>
      <c r="O443" s="6">
        <v>784986.73</v>
      </c>
      <c r="P443" s="1">
        <v>518306.47</v>
      </c>
    </row>
    <row r="444" spans="1:16" x14ac:dyDescent="0.3">
      <c r="A444" s="1" t="s">
        <v>14</v>
      </c>
      <c r="B444" s="1" t="s">
        <v>103</v>
      </c>
      <c r="C444" s="1" t="s">
        <v>16</v>
      </c>
      <c r="D444" s="1" t="s">
        <v>17</v>
      </c>
      <c r="E444" s="1" t="s">
        <v>45</v>
      </c>
      <c r="F444" s="7">
        <v>41392</v>
      </c>
      <c r="G444" s="1" t="s">
        <v>523</v>
      </c>
      <c r="H444" s="7">
        <v>41419</v>
      </c>
      <c r="I444" s="1">
        <f>Europe_Sales_Records[[#This Row],[Ship Date]]-Europe_Sales_Records[[#This Row],[Order Date]]</f>
        <v>27</v>
      </c>
      <c r="J444" s="1">
        <v>2264</v>
      </c>
      <c r="K444" s="1">
        <v>47.45</v>
      </c>
      <c r="L444" s="1">
        <v>31.79</v>
      </c>
      <c r="M444" s="1">
        <f>Europe_Sales_Records[[#This Row],[Unit Price]]-Europe_Sales_Records[[#This Row],[Unit Cost]]</f>
        <v>15.660000000000004</v>
      </c>
      <c r="N444" s="1">
        <v>107426.8</v>
      </c>
      <c r="O444" s="6">
        <v>71972.56</v>
      </c>
      <c r="P444" s="1">
        <v>35454.239999999998</v>
      </c>
    </row>
    <row r="445" spans="1:16" x14ac:dyDescent="0.3">
      <c r="A445" s="1" t="s">
        <v>14</v>
      </c>
      <c r="B445" s="1" t="s">
        <v>94</v>
      </c>
      <c r="C445" s="1" t="s">
        <v>60</v>
      </c>
      <c r="D445" s="1" t="s">
        <v>17</v>
      </c>
      <c r="E445" s="1" t="s">
        <v>23</v>
      </c>
      <c r="F445" s="7">
        <v>41828</v>
      </c>
      <c r="G445" s="1" t="s">
        <v>524</v>
      </c>
      <c r="H445" s="7">
        <v>41835</v>
      </c>
      <c r="I445" s="1">
        <f>Europe_Sales_Records[[#This Row],[Ship Date]]-Europe_Sales_Records[[#This Row],[Order Date]]</f>
        <v>7</v>
      </c>
      <c r="J445" s="1">
        <v>4177</v>
      </c>
      <c r="K445" s="1">
        <v>437.2</v>
      </c>
      <c r="L445" s="1">
        <v>263.33</v>
      </c>
      <c r="M445" s="1">
        <f>Europe_Sales_Records[[#This Row],[Unit Price]]-Europe_Sales_Records[[#This Row],[Unit Cost]]</f>
        <v>173.87</v>
      </c>
      <c r="N445" s="1">
        <v>1826184.4</v>
      </c>
      <c r="O445" s="6">
        <v>1099929.4099999999</v>
      </c>
      <c r="P445" s="1">
        <v>726254.99</v>
      </c>
    </row>
    <row r="446" spans="1:16" x14ac:dyDescent="0.3">
      <c r="A446" s="1" t="s">
        <v>14</v>
      </c>
      <c r="B446" s="1" t="s">
        <v>81</v>
      </c>
      <c r="C446" s="1" t="s">
        <v>21</v>
      </c>
      <c r="D446" s="1" t="s">
        <v>22</v>
      </c>
      <c r="E446" s="1" t="s">
        <v>45</v>
      </c>
      <c r="F446" s="7">
        <v>40914</v>
      </c>
      <c r="G446" s="1" t="s">
        <v>525</v>
      </c>
      <c r="H446" s="7">
        <v>40938</v>
      </c>
      <c r="I446" s="1">
        <f>Europe_Sales_Records[[#This Row],[Ship Date]]-Europe_Sales_Records[[#This Row],[Order Date]]</f>
        <v>24</v>
      </c>
      <c r="J446" s="1">
        <v>6506</v>
      </c>
      <c r="K446" s="1">
        <v>109.28</v>
      </c>
      <c r="L446" s="1">
        <v>35.840000000000003</v>
      </c>
      <c r="M446" s="1">
        <f>Europe_Sales_Records[[#This Row],[Unit Price]]-Europe_Sales_Records[[#This Row],[Unit Cost]]</f>
        <v>73.44</v>
      </c>
      <c r="N446" s="1">
        <v>710975.68</v>
      </c>
      <c r="O446" s="6">
        <v>233175.04000000001</v>
      </c>
      <c r="P446" s="1">
        <v>477800.64</v>
      </c>
    </row>
    <row r="447" spans="1:16" x14ac:dyDescent="0.3">
      <c r="A447" s="1" t="s">
        <v>14</v>
      </c>
      <c r="B447" s="1" t="s">
        <v>97</v>
      </c>
      <c r="C447" s="1" t="s">
        <v>42</v>
      </c>
      <c r="D447" s="1" t="s">
        <v>17</v>
      </c>
      <c r="E447" s="1" t="s">
        <v>23</v>
      </c>
      <c r="F447" s="7">
        <v>41232</v>
      </c>
      <c r="G447" s="1" t="s">
        <v>526</v>
      </c>
      <c r="H447" s="7">
        <v>41260</v>
      </c>
      <c r="I447" s="1">
        <f>Europe_Sales_Records[[#This Row],[Ship Date]]-Europe_Sales_Records[[#This Row],[Order Date]]</f>
        <v>28</v>
      </c>
      <c r="J447" s="1">
        <v>8959</v>
      </c>
      <c r="K447" s="1">
        <v>421.89</v>
      </c>
      <c r="L447" s="1">
        <v>364.69</v>
      </c>
      <c r="M447" s="1">
        <f>Europe_Sales_Records[[#This Row],[Unit Price]]-Europe_Sales_Records[[#This Row],[Unit Cost]]</f>
        <v>57.199999999999989</v>
      </c>
      <c r="N447" s="1">
        <v>3779712.51</v>
      </c>
      <c r="O447" s="6">
        <v>3267257.71</v>
      </c>
      <c r="P447" s="1">
        <v>512454.8</v>
      </c>
    </row>
    <row r="448" spans="1:16" x14ac:dyDescent="0.3">
      <c r="A448" s="1" t="s">
        <v>14</v>
      </c>
      <c r="B448" s="1" t="s">
        <v>41</v>
      </c>
      <c r="C448" s="1" t="s">
        <v>48</v>
      </c>
      <c r="D448" s="1" t="s">
        <v>22</v>
      </c>
      <c r="E448" s="1" t="s">
        <v>45</v>
      </c>
      <c r="F448" s="7">
        <v>41005</v>
      </c>
      <c r="G448" s="1" t="s">
        <v>527</v>
      </c>
      <c r="H448" s="7">
        <v>41007</v>
      </c>
      <c r="I448" s="1">
        <f>Europe_Sales_Records[[#This Row],[Ship Date]]-Europe_Sales_Records[[#This Row],[Order Date]]</f>
        <v>2</v>
      </c>
      <c r="J448" s="1">
        <v>8319</v>
      </c>
      <c r="K448" s="1">
        <v>152.58000000000001</v>
      </c>
      <c r="L448" s="1">
        <v>97.44</v>
      </c>
      <c r="M448" s="1">
        <f>Europe_Sales_Records[[#This Row],[Unit Price]]-Europe_Sales_Records[[#This Row],[Unit Cost]]</f>
        <v>55.140000000000015</v>
      </c>
      <c r="N448" s="1">
        <v>1269313.02</v>
      </c>
      <c r="O448" s="6">
        <v>810603.36</v>
      </c>
      <c r="P448" s="1">
        <v>458709.66</v>
      </c>
    </row>
    <row r="449" spans="1:16" x14ac:dyDescent="0.3">
      <c r="A449" s="1" t="s">
        <v>14</v>
      </c>
      <c r="B449" s="1" t="s">
        <v>118</v>
      </c>
      <c r="C449" s="1" t="s">
        <v>39</v>
      </c>
      <c r="D449" s="1" t="s">
        <v>22</v>
      </c>
      <c r="E449" s="1" t="s">
        <v>45</v>
      </c>
      <c r="F449" s="7">
        <v>42156</v>
      </c>
      <c r="G449" s="1" t="s">
        <v>528</v>
      </c>
      <c r="H449" s="7">
        <v>42179</v>
      </c>
      <c r="I449" s="1">
        <f>Europe_Sales_Records[[#This Row],[Ship Date]]-Europe_Sales_Records[[#This Row],[Order Date]]</f>
        <v>23</v>
      </c>
      <c r="J449" s="1">
        <v>6142</v>
      </c>
      <c r="K449" s="1">
        <v>154.06</v>
      </c>
      <c r="L449" s="1">
        <v>90.93</v>
      </c>
      <c r="M449" s="1">
        <f>Europe_Sales_Records[[#This Row],[Unit Price]]-Europe_Sales_Records[[#This Row],[Unit Cost]]</f>
        <v>63.129999999999995</v>
      </c>
      <c r="N449" s="1">
        <v>946236.52</v>
      </c>
      <c r="O449" s="6">
        <v>558492.06000000006</v>
      </c>
      <c r="P449" s="1">
        <v>387744.46</v>
      </c>
    </row>
    <row r="450" spans="1:16" x14ac:dyDescent="0.3">
      <c r="A450" s="1" t="s">
        <v>14</v>
      </c>
      <c r="B450" s="1" t="s">
        <v>97</v>
      </c>
      <c r="C450" s="1" t="s">
        <v>57</v>
      </c>
      <c r="D450" s="1" t="s">
        <v>17</v>
      </c>
      <c r="E450" s="1" t="s">
        <v>23</v>
      </c>
      <c r="F450" s="7">
        <v>42333</v>
      </c>
      <c r="G450" s="1" t="s">
        <v>529</v>
      </c>
      <c r="H450" s="7">
        <v>42371</v>
      </c>
      <c r="I450" s="1">
        <f>Europe_Sales_Records[[#This Row],[Ship Date]]-Europe_Sales_Records[[#This Row],[Order Date]]</f>
        <v>38</v>
      </c>
      <c r="J450" s="1">
        <v>3801</v>
      </c>
      <c r="K450" s="1">
        <v>668.27</v>
      </c>
      <c r="L450" s="1">
        <v>502.54</v>
      </c>
      <c r="M450" s="1">
        <f>Europe_Sales_Records[[#This Row],[Unit Price]]-Europe_Sales_Records[[#This Row],[Unit Cost]]</f>
        <v>165.72999999999996</v>
      </c>
      <c r="N450" s="1">
        <v>2540094.27</v>
      </c>
      <c r="O450" s="6">
        <v>1910154.54</v>
      </c>
      <c r="P450" s="1">
        <v>629939.73</v>
      </c>
    </row>
    <row r="451" spans="1:16" x14ac:dyDescent="0.3">
      <c r="A451" s="1" t="s">
        <v>14</v>
      </c>
      <c r="B451" s="1" t="s">
        <v>67</v>
      </c>
      <c r="C451" s="1" t="s">
        <v>60</v>
      </c>
      <c r="D451" s="1" t="s">
        <v>17</v>
      </c>
      <c r="E451" s="1" t="s">
        <v>18</v>
      </c>
      <c r="F451" s="7">
        <v>41418</v>
      </c>
      <c r="G451" s="1" t="s">
        <v>530</v>
      </c>
      <c r="H451" s="7">
        <v>41435</v>
      </c>
      <c r="I451" s="1">
        <f>Europe_Sales_Records[[#This Row],[Ship Date]]-Europe_Sales_Records[[#This Row],[Order Date]]</f>
        <v>17</v>
      </c>
      <c r="J451" s="1">
        <v>263</v>
      </c>
      <c r="K451" s="1">
        <v>437.2</v>
      </c>
      <c r="L451" s="1">
        <v>263.33</v>
      </c>
      <c r="M451" s="1">
        <f>Europe_Sales_Records[[#This Row],[Unit Price]]-Europe_Sales_Records[[#This Row],[Unit Cost]]</f>
        <v>173.87</v>
      </c>
      <c r="N451" s="1">
        <v>114983.6</v>
      </c>
      <c r="O451" s="6">
        <v>69255.789999999994</v>
      </c>
      <c r="P451" s="1">
        <v>45727.81</v>
      </c>
    </row>
    <row r="452" spans="1:16" x14ac:dyDescent="0.3">
      <c r="A452" s="1" t="s">
        <v>14</v>
      </c>
      <c r="B452" s="1" t="s">
        <v>91</v>
      </c>
      <c r="C452" s="1" t="s">
        <v>48</v>
      </c>
      <c r="D452" s="1" t="s">
        <v>17</v>
      </c>
      <c r="E452" s="1" t="s">
        <v>30</v>
      </c>
      <c r="F452" s="7">
        <v>41486</v>
      </c>
      <c r="G452" s="1" t="s">
        <v>531</v>
      </c>
      <c r="H452" s="7">
        <v>41530</v>
      </c>
      <c r="I452" s="1">
        <f>Europe_Sales_Records[[#This Row],[Ship Date]]-Europe_Sales_Records[[#This Row],[Order Date]]</f>
        <v>44</v>
      </c>
      <c r="J452" s="1">
        <v>1747</v>
      </c>
      <c r="K452" s="1">
        <v>152.58000000000001</v>
      </c>
      <c r="L452" s="1">
        <v>97.44</v>
      </c>
      <c r="M452" s="1">
        <f>Europe_Sales_Records[[#This Row],[Unit Price]]-Europe_Sales_Records[[#This Row],[Unit Cost]]</f>
        <v>55.140000000000015</v>
      </c>
      <c r="N452" s="1">
        <v>266557.26</v>
      </c>
      <c r="O452" s="6">
        <v>170227.68</v>
      </c>
      <c r="P452" s="1">
        <v>96329.58</v>
      </c>
    </row>
    <row r="453" spans="1:16" x14ac:dyDescent="0.3">
      <c r="A453" s="1" t="s">
        <v>14</v>
      </c>
      <c r="B453" s="1" t="s">
        <v>50</v>
      </c>
      <c r="C453" s="1" t="s">
        <v>33</v>
      </c>
      <c r="D453" s="1" t="s">
        <v>17</v>
      </c>
      <c r="E453" s="1" t="s">
        <v>30</v>
      </c>
      <c r="F453" s="7">
        <v>42631</v>
      </c>
      <c r="G453" s="1" t="s">
        <v>532</v>
      </c>
      <c r="H453" s="7">
        <v>42648</v>
      </c>
      <c r="I453" s="1">
        <f>Europe_Sales_Records[[#This Row],[Ship Date]]-Europe_Sales_Records[[#This Row],[Order Date]]</f>
        <v>17</v>
      </c>
      <c r="J453" s="1">
        <v>6662</v>
      </c>
      <c r="K453" s="1">
        <v>9.33</v>
      </c>
      <c r="L453" s="1">
        <v>6.92</v>
      </c>
      <c r="M453" s="1">
        <f>Europe_Sales_Records[[#This Row],[Unit Price]]-Europe_Sales_Records[[#This Row],[Unit Cost]]</f>
        <v>2.41</v>
      </c>
      <c r="N453" s="1">
        <v>62156.46</v>
      </c>
      <c r="O453" s="6">
        <v>46101.04</v>
      </c>
      <c r="P453" s="1">
        <v>16055.42</v>
      </c>
    </row>
    <row r="454" spans="1:16" x14ac:dyDescent="0.3">
      <c r="A454" s="1" t="s">
        <v>14</v>
      </c>
      <c r="B454" s="1" t="s">
        <v>101</v>
      </c>
      <c r="C454" s="1" t="s">
        <v>29</v>
      </c>
      <c r="D454" s="1" t="s">
        <v>17</v>
      </c>
      <c r="E454" s="1" t="s">
        <v>23</v>
      </c>
      <c r="F454" s="7">
        <v>41338</v>
      </c>
      <c r="G454" s="1" t="s">
        <v>533</v>
      </c>
      <c r="H454" s="7">
        <v>41383</v>
      </c>
      <c r="I454" s="1">
        <f>Europe_Sales_Records[[#This Row],[Ship Date]]-Europe_Sales_Records[[#This Row],[Order Date]]</f>
        <v>45</v>
      </c>
      <c r="J454" s="1">
        <v>6609</v>
      </c>
      <c r="K454" s="1">
        <v>651.21</v>
      </c>
      <c r="L454" s="1">
        <v>524.96</v>
      </c>
      <c r="M454" s="1">
        <f>Europe_Sales_Records[[#This Row],[Unit Price]]-Europe_Sales_Records[[#This Row],[Unit Cost]]</f>
        <v>126.25</v>
      </c>
      <c r="N454" s="1">
        <v>4303846.8899999997</v>
      </c>
      <c r="O454" s="6">
        <v>3469460.64</v>
      </c>
      <c r="P454" s="1">
        <v>834386.25</v>
      </c>
    </row>
    <row r="455" spans="1:16" x14ac:dyDescent="0.3">
      <c r="A455" s="1" t="s">
        <v>14</v>
      </c>
      <c r="B455" s="1" t="s">
        <v>232</v>
      </c>
      <c r="C455" s="1" t="s">
        <v>79</v>
      </c>
      <c r="D455" s="1" t="s">
        <v>17</v>
      </c>
      <c r="E455" s="1" t="s">
        <v>30</v>
      </c>
      <c r="F455" s="7">
        <v>41051</v>
      </c>
      <c r="G455" s="1" t="s">
        <v>534</v>
      </c>
      <c r="H455" s="7">
        <v>41085</v>
      </c>
      <c r="I455" s="1">
        <f>Europe_Sales_Records[[#This Row],[Ship Date]]-Europe_Sales_Records[[#This Row],[Order Date]]</f>
        <v>34</v>
      </c>
      <c r="J455" s="1">
        <v>2129</v>
      </c>
      <c r="K455" s="1">
        <v>81.73</v>
      </c>
      <c r="L455" s="1">
        <v>56.67</v>
      </c>
      <c r="M455" s="1">
        <f>Europe_Sales_Records[[#This Row],[Unit Price]]-Europe_Sales_Records[[#This Row],[Unit Cost]]</f>
        <v>25.060000000000002</v>
      </c>
      <c r="N455" s="1">
        <v>174003.17</v>
      </c>
      <c r="O455" s="6">
        <v>120650.43</v>
      </c>
      <c r="P455" s="1">
        <v>53352.74</v>
      </c>
    </row>
    <row r="456" spans="1:16" x14ac:dyDescent="0.3">
      <c r="A456" s="1" t="s">
        <v>14</v>
      </c>
      <c r="B456" s="1" t="s">
        <v>127</v>
      </c>
      <c r="C456" s="1" t="s">
        <v>33</v>
      </c>
      <c r="D456" s="1" t="s">
        <v>22</v>
      </c>
      <c r="E456" s="1" t="s">
        <v>23</v>
      </c>
      <c r="F456" s="7">
        <v>40542</v>
      </c>
      <c r="G456" s="1" t="s">
        <v>535</v>
      </c>
      <c r="H456" s="7">
        <v>40549</v>
      </c>
      <c r="I456" s="1">
        <f>Europe_Sales_Records[[#This Row],[Ship Date]]-Europe_Sales_Records[[#This Row],[Order Date]]</f>
        <v>7</v>
      </c>
      <c r="J456" s="1">
        <v>8614</v>
      </c>
      <c r="K456" s="1">
        <v>9.33</v>
      </c>
      <c r="L456" s="1">
        <v>6.92</v>
      </c>
      <c r="M456" s="1">
        <f>Europe_Sales_Records[[#This Row],[Unit Price]]-Europe_Sales_Records[[#This Row],[Unit Cost]]</f>
        <v>2.41</v>
      </c>
      <c r="N456" s="1">
        <v>80368.62</v>
      </c>
      <c r="O456" s="6">
        <v>59608.88</v>
      </c>
      <c r="P456" s="1">
        <v>20759.740000000002</v>
      </c>
    </row>
    <row r="457" spans="1:16" x14ac:dyDescent="0.3">
      <c r="A457" s="1" t="s">
        <v>14</v>
      </c>
      <c r="B457" s="1" t="s">
        <v>120</v>
      </c>
      <c r="C457" s="1" t="s">
        <v>57</v>
      </c>
      <c r="D457" s="1" t="s">
        <v>17</v>
      </c>
      <c r="E457" s="1" t="s">
        <v>18</v>
      </c>
      <c r="F457" s="7">
        <v>40718</v>
      </c>
      <c r="G457" s="1" t="s">
        <v>536</v>
      </c>
      <c r="H457" s="7">
        <v>40764</v>
      </c>
      <c r="I457" s="1">
        <f>Europe_Sales_Records[[#This Row],[Ship Date]]-Europe_Sales_Records[[#This Row],[Order Date]]</f>
        <v>46</v>
      </c>
      <c r="J457" s="1">
        <v>7769</v>
      </c>
      <c r="K457" s="1">
        <v>668.27</v>
      </c>
      <c r="L457" s="1">
        <v>502.54</v>
      </c>
      <c r="M457" s="1">
        <f>Europe_Sales_Records[[#This Row],[Unit Price]]-Europe_Sales_Records[[#This Row],[Unit Cost]]</f>
        <v>165.72999999999996</v>
      </c>
      <c r="N457" s="1">
        <v>5191789.63</v>
      </c>
      <c r="O457" s="6">
        <v>3904233.26</v>
      </c>
      <c r="P457" s="1">
        <v>1287556.3700000001</v>
      </c>
    </row>
    <row r="458" spans="1:16" x14ac:dyDescent="0.3">
      <c r="A458" s="1" t="s">
        <v>14</v>
      </c>
      <c r="B458" s="1" t="s">
        <v>127</v>
      </c>
      <c r="C458" s="1" t="s">
        <v>16</v>
      </c>
      <c r="D458" s="1" t="s">
        <v>17</v>
      </c>
      <c r="E458" s="1" t="s">
        <v>23</v>
      </c>
      <c r="F458" s="7">
        <v>42425</v>
      </c>
      <c r="G458" s="1" t="s">
        <v>537</v>
      </c>
      <c r="H458" s="7">
        <v>42450</v>
      </c>
      <c r="I458" s="1">
        <f>Europe_Sales_Records[[#This Row],[Ship Date]]-Europe_Sales_Records[[#This Row],[Order Date]]</f>
        <v>25</v>
      </c>
      <c r="J458" s="1">
        <v>4695</v>
      </c>
      <c r="K458" s="1">
        <v>47.45</v>
      </c>
      <c r="L458" s="1">
        <v>31.79</v>
      </c>
      <c r="M458" s="1">
        <f>Europe_Sales_Records[[#This Row],[Unit Price]]-Europe_Sales_Records[[#This Row],[Unit Cost]]</f>
        <v>15.660000000000004</v>
      </c>
      <c r="N458" s="1">
        <v>222777.75</v>
      </c>
      <c r="O458" s="6">
        <v>149254.04999999999</v>
      </c>
      <c r="P458" s="1">
        <v>73523.7</v>
      </c>
    </row>
    <row r="459" spans="1:16" x14ac:dyDescent="0.3">
      <c r="A459" s="1" t="s">
        <v>14</v>
      </c>
      <c r="B459" s="1" t="s">
        <v>180</v>
      </c>
      <c r="C459" s="1" t="s">
        <v>57</v>
      </c>
      <c r="D459" s="1" t="s">
        <v>17</v>
      </c>
      <c r="E459" s="1" t="s">
        <v>18</v>
      </c>
      <c r="F459" s="7">
        <v>42077</v>
      </c>
      <c r="G459" s="1" t="s">
        <v>538</v>
      </c>
      <c r="H459" s="7">
        <v>42105</v>
      </c>
      <c r="I459" s="1">
        <f>Europe_Sales_Records[[#This Row],[Ship Date]]-Europe_Sales_Records[[#This Row],[Order Date]]</f>
        <v>28</v>
      </c>
      <c r="J459" s="1">
        <v>7498</v>
      </c>
      <c r="K459" s="1">
        <v>668.27</v>
      </c>
      <c r="L459" s="1">
        <v>502.54</v>
      </c>
      <c r="M459" s="1">
        <f>Europe_Sales_Records[[#This Row],[Unit Price]]-Europe_Sales_Records[[#This Row],[Unit Cost]]</f>
        <v>165.72999999999996</v>
      </c>
      <c r="N459" s="1">
        <v>5010688.46</v>
      </c>
      <c r="O459" s="6">
        <v>3768044.92</v>
      </c>
      <c r="P459" s="1">
        <v>1242643.54</v>
      </c>
    </row>
    <row r="460" spans="1:16" x14ac:dyDescent="0.3">
      <c r="A460" s="1" t="s">
        <v>14</v>
      </c>
      <c r="B460" s="1" t="s">
        <v>50</v>
      </c>
      <c r="C460" s="1" t="s">
        <v>60</v>
      </c>
      <c r="D460" s="1" t="s">
        <v>17</v>
      </c>
      <c r="E460" s="1" t="s">
        <v>18</v>
      </c>
      <c r="F460" s="7">
        <v>41873</v>
      </c>
      <c r="G460" s="1" t="s">
        <v>539</v>
      </c>
      <c r="H460" s="7">
        <v>41901</v>
      </c>
      <c r="I460" s="1">
        <f>Europe_Sales_Records[[#This Row],[Ship Date]]-Europe_Sales_Records[[#This Row],[Order Date]]</f>
        <v>28</v>
      </c>
      <c r="J460" s="1">
        <v>334</v>
      </c>
      <c r="K460" s="1">
        <v>437.2</v>
      </c>
      <c r="L460" s="1">
        <v>263.33</v>
      </c>
      <c r="M460" s="1">
        <f>Europe_Sales_Records[[#This Row],[Unit Price]]-Europe_Sales_Records[[#This Row],[Unit Cost]]</f>
        <v>173.87</v>
      </c>
      <c r="N460" s="1">
        <v>146024.79999999999</v>
      </c>
      <c r="O460" s="6">
        <v>87952.22</v>
      </c>
      <c r="P460" s="1">
        <v>58072.58</v>
      </c>
    </row>
    <row r="461" spans="1:16" x14ac:dyDescent="0.3">
      <c r="A461" s="1" t="s">
        <v>14</v>
      </c>
      <c r="B461" s="1" t="s">
        <v>32</v>
      </c>
      <c r="C461" s="1" t="s">
        <v>39</v>
      </c>
      <c r="D461" s="1" t="s">
        <v>17</v>
      </c>
      <c r="E461" s="1" t="s">
        <v>30</v>
      </c>
      <c r="F461" s="7">
        <v>40884</v>
      </c>
      <c r="G461" s="1" t="s">
        <v>540</v>
      </c>
      <c r="H461" s="7">
        <v>40904</v>
      </c>
      <c r="I461" s="1">
        <f>Europe_Sales_Records[[#This Row],[Ship Date]]-Europe_Sales_Records[[#This Row],[Order Date]]</f>
        <v>20</v>
      </c>
      <c r="J461" s="1">
        <v>6481</v>
      </c>
      <c r="K461" s="1">
        <v>154.06</v>
      </c>
      <c r="L461" s="1">
        <v>90.93</v>
      </c>
      <c r="M461" s="1">
        <f>Europe_Sales_Records[[#This Row],[Unit Price]]-Europe_Sales_Records[[#This Row],[Unit Cost]]</f>
        <v>63.129999999999995</v>
      </c>
      <c r="N461" s="1">
        <v>998462.86</v>
      </c>
      <c r="O461" s="6">
        <v>589317.32999999996</v>
      </c>
      <c r="P461" s="1">
        <v>409145.53</v>
      </c>
    </row>
    <row r="462" spans="1:16" x14ac:dyDescent="0.3">
      <c r="A462" s="1" t="s">
        <v>14</v>
      </c>
      <c r="B462" s="1" t="s">
        <v>172</v>
      </c>
      <c r="C462" s="1" t="s">
        <v>42</v>
      </c>
      <c r="D462" s="1" t="s">
        <v>17</v>
      </c>
      <c r="E462" s="1" t="s">
        <v>23</v>
      </c>
      <c r="F462" s="7">
        <v>41073</v>
      </c>
      <c r="G462" s="1" t="s">
        <v>541</v>
      </c>
      <c r="H462" s="7">
        <v>41097</v>
      </c>
      <c r="I462" s="1">
        <f>Europe_Sales_Records[[#This Row],[Ship Date]]-Europe_Sales_Records[[#This Row],[Order Date]]</f>
        <v>24</v>
      </c>
      <c r="J462" s="1">
        <v>9381</v>
      </c>
      <c r="K462" s="1">
        <v>421.89</v>
      </c>
      <c r="L462" s="1">
        <v>364.69</v>
      </c>
      <c r="M462" s="1">
        <f>Europe_Sales_Records[[#This Row],[Unit Price]]-Europe_Sales_Records[[#This Row],[Unit Cost]]</f>
        <v>57.199999999999989</v>
      </c>
      <c r="N462" s="1">
        <v>3957750.09</v>
      </c>
      <c r="O462" s="6">
        <v>3421156.89</v>
      </c>
      <c r="P462" s="1">
        <v>536593.19999999995</v>
      </c>
    </row>
    <row r="463" spans="1:16" x14ac:dyDescent="0.3">
      <c r="A463" s="1" t="s">
        <v>14</v>
      </c>
      <c r="B463" s="1" t="s">
        <v>73</v>
      </c>
      <c r="C463" s="1" t="s">
        <v>79</v>
      </c>
      <c r="D463" s="1" t="s">
        <v>17</v>
      </c>
      <c r="E463" s="1" t="s">
        <v>30</v>
      </c>
      <c r="F463" s="7">
        <v>42026</v>
      </c>
      <c r="G463" s="1" t="s">
        <v>542</v>
      </c>
      <c r="H463" s="7">
        <v>42049</v>
      </c>
      <c r="I463" s="1">
        <f>Europe_Sales_Records[[#This Row],[Ship Date]]-Europe_Sales_Records[[#This Row],[Order Date]]</f>
        <v>23</v>
      </c>
      <c r="J463" s="1">
        <v>4509</v>
      </c>
      <c r="K463" s="1">
        <v>81.73</v>
      </c>
      <c r="L463" s="1">
        <v>56.67</v>
      </c>
      <c r="M463" s="1">
        <f>Europe_Sales_Records[[#This Row],[Unit Price]]-Europe_Sales_Records[[#This Row],[Unit Cost]]</f>
        <v>25.060000000000002</v>
      </c>
      <c r="N463" s="1">
        <v>368520.57</v>
      </c>
      <c r="O463" s="6">
        <v>255525.03</v>
      </c>
      <c r="P463" s="1">
        <v>112995.54</v>
      </c>
    </row>
    <row r="464" spans="1:16" x14ac:dyDescent="0.3">
      <c r="A464" s="1" t="s">
        <v>14</v>
      </c>
      <c r="B464" s="1" t="s">
        <v>81</v>
      </c>
      <c r="C464" s="1" t="s">
        <v>60</v>
      </c>
      <c r="D464" s="1" t="s">
        <v>17</v>
      </c>
      <c r="E464" s="1" t="s">
        <v>23</v>
      </c>
      <c r="F464" s="7">
        <v>42314</v>
      </c>
      <c r="G464" s="1" t="s">
        <v>543</v>
      </c>
      <c r="H464" s="7">
        <v>42315</v>
      </c>
      <c r="I464" s="1">
        <f>Europe_Sales_Records[[#This Row],[Ship Date]]-Europe_Sales_Records[[#This Row],[Order Date]]</f>
        <v>1</v>
      </c>
      <c r="J464" s="1">
        <v>2864</v>
      </c>
      <c r="K464" s="1">
        <v>437.2</v>
      </c>
      <c r="L464" s="1">
        <v>263.33</v>
      </c>
      <c r="M464" s="1">
        <f>Europe_Sales_Records[[#This Row],[Unit Price]]-Europe_Sales_Records[[#This Row],[Unit Cost]]</f>
        <v>173.87</v>
      </c>
      <c r="N464" s="1">
        <v>1252140.8</v>
      </c>
      <c r="O464" s="6">
        <v>754177.12</v>
      </c>
      <c r="P464" s="1">
        <v>497963.68</v>
      </c>
    </row>
    <row r="465" spans="1:16" x14ac:dyDescent="0.3">
      <c r="A465" s="1" t="s">
        <v>14</v>
      </c>
      <c r="B465" s="1" t="s">
        <v>118</v>
      </c>
      <c r="C465" s="1" t="s">
        <v>57</v>
      </c>
      <c r="D465" s="1" t="s">
        <v>17</v>
      </c>
      <c r="E465" s="1" t="s">
        <v>23</v>
      </c>
      <c r="F465" s="7">
        <v>41022</v>
      </c>
      <c r="G465" s="1" t="s">
        <v>544</v>
      </c>
      <c r="H465" s="7">
        <v>41034</v>
      </c>
      <c r="I465" s="1">
        <f>Europe_Sales_Records[[#This Row],[Ship Date]]-Europe_Sales_Records[[#This Row],[Order Date]]</f>
        <v>12</v>
      </c>
      <c r="J465" s="1">
        <v>2819</v>
      </c>
      <c r="K465" s="1">
        <v>668.27</v>
      </c>
      <c r="L465" s="1">
        <v>502.54</v>
      </c>
      <c r="M465" s="1">
        <f>Europe_Sales_Records[[#This Row],[Unit Price]]-Europe_Sales_Records[[#This Row],[Unit Cost]]</f>
        <v>165.72999999999996</v>
      </c>
      <c r="N465" s="1">
        <v>1883853.13</v>
      </c>
      <c r="O465" s="6">
        <v>1416660.26</v>
      </c>
      <c r="P465" s="1">
        <v>467192.87</v>
      </c>
    </row>
    <row r="466" spans="1:16" x14ac:dyDescent="0.3">
      <c r="A466" s="1" t="s">
        <v>14</v>
      </c>
      <c r="B466" s="1" t="s">
        <v>65</v>
      </c>
      <c r="C466" s="1" t="s">
        <v>52</v>
      </c>
      <c r="D466" s="1" t="s">
        <v>17</v>
      </c>
      <c r="E466" s="1" t="s">
        <v>30</v>
      </c>
      <c r="F466" s="7">
        <v>41691</v>
      </c>
      <c r="G466" s="1" t="s">
        <v>545</v>
      </c>
      <c r="H466" s="7">
        <v>41712</v>
      </c>
      <c r="I466" s="1">
        <f>Europe_Sales_Records[[#This Row],[Ship Date]]-Europe_Sales_Records[[#This Row],[Order Date]]</f>
        <v>21</v>
      </c>
      <c r="J466" s="1">
        <v>4780</v>
      </c>
      <c r="K466" s="1">
        <v>255.28</v>
      </c>
      <c r="L466" s="1">
        <v>159.41999999999999</v>
      </c>
      <c r="M466" s="1">
        <f>Europe_Sales_Records[[#This Row],[Unit Price]]-Europe_Sales_Records[[#This Row],[Unit Cost]]</f>
        <v>95.860000000000014</v>
      </c>
      <c r="N466" s="1">
        <v>1220238.3999999999</v>
      </c>
      <c r="O466" s="6">
        <v>762027.6</v>
      </c>
      <c r="P466" s="1">
        <v>458210.8</v>
      </c>
    </row>
    <row r="467" spans="1:16" x14ac:dyDescent="0.3">
      <c r="A467" s="1" t="s">
        <v>14</v>
      </c>
      <c r="B467" s="1" t="s">
        <v>94</v>
      </c>
      <c r="C467" s="1" t="s">
        <v>48</v>
      </c>
      <c r="D467" s="1" t="s">
        <v>22</v>
      </c>
      <c r="E467" s="1" t="s">
        <v>45</v>
      </c>
      <c r="F467" s="7">
        <v>41012</v>
      </c>
      <c r="G467" s="1" t="s">
        <v>546</v>
      </c>
      <c r="H467" s="7">
        <v>41033</v>
      </c>
      <c r="I467" s="1">
        <f>Europe_Sales_Records[[#This Row],[Ship Date]]-Europe_Sales_Records[[#This Row],[Order Date]]</f>
        <v>21</v>
      </c>
      <c r="J467" s="1">
        <v>3734</v>
      </c>
      <c r="K467" s="1">
        <v>152.58000000000001</v>
      </c>
      <c r="L467" s="1">
        <v>97.44</v>
      </c>
      <c r="M467" s="1">
        <f>Europe_Sales_Records[[#This Row],[Unit Price]]-Europe_Sales_Records[[#This Row],[Unit Cost]]</f>
        <v>55.140000000000015</v>
      </c>
      <c r="N467" s="1">
        <v>569733.72</v>
      </c>
      <c r="O467" s="6">
        <v>363840.96</v>
      </c>
      <c r="P467" s="1">
        <v>205892.76</v>
      </c>
    </row>
    <row r="468" spans="1:16" x14ac:dyDescent="0.3">
      <c r="A468" s="1" t="s">
        <v>14</v>
      </c>
      <c r="B468" s="1" t="s">
        <v>131</v>
      </c>
      <c r="C468" s="1" t="s">
        <v>57</v>
      </c>
      <c r="D468" s="1" t="s">
        <v>22</v>
      </c>
      <c r="E468" s="1" t="s">
        <v>18</v>
      </c>
      <c r="F468" s="7">
        <v>42727</v>
      </c>
      <c r="G468" s="1" t="s">
        <v>547</v>
      </c>
      <c r="H468" s="7">
        <v>42759</v>
      </c>
      <c r="I468" s="1">
        <f>Europe_Sales_Records[[#This Row],[Ship Date]]-Europe_Sales_Records[[#This Row],[Order Date]]</f>
        <v>32</v>
      </c>
      <c r="J468" s="1">
        <v>5657</v>
      </c>
      <c r="K468" s="1">
        <v>668.27</v>
      </c>
      <c r="L468" s="1">
        <v>502.54</v>
      </c>
      <c r="M468" s="1">
        <f>Europe_Sales_Records[[#This Row],[Unit Price]]-Europe_Sales_Records[[#This Row],[Unit Cost]]</f>
        <v>165.72999999999996</v>
      </c>
      <c r="N468" s="1">
        <v>3780403.39</v>
      </c>
      <c r="O468" s="6">
        <v>2842868.78</v>
      </c>
      <c r="P468" s="1">
        <v>937534.61</v>
      </c>
    </row>
    <row r="469" spans="1:16" x14ac:dyDescent="0.3">
      <c r="A469" s="1" t="s">
        <v>14</v>
      </c>
      <c r="B469" s="1" t="s">
        <v>152</v>
      </c>
      <c r="C469" s="1" t="s">
        <v>60</v>
      </c>
      <c r="D469" s="1" t="s">
        <v>22</v>
      </c>
      <c r="E469" s="1" t="s">
        <v>23</v>
      </c>
      <c r="F469" s="7">
        <v>40583</v>
      </c>
      <c r="G469" s="1" t="s">
        <v>548</v>
      </c>
      <c r="H469" s="7">
        <v>40631</v>
      </c>
      <c r="I469" s="1">
        <f>Europe_Sales_Records[[#This Row],[Ship Date]]-Europe_Sales_Records[[#This Row],[Order Date]]</f>
        <v>48</v>
      </c>
      <c r="J469" s="1">
        <v>2019</v>
      </c>
      <c r="K469" s="1">
        <v>437.2</v>
      </c>
      <c r="L469" s="1">
        <v>263.33</v>
      </c>
      <c r="M469" s="1">
        <f>Europe_Sales_Records[[#This Row],[Unit Price]]-Europe_Sales_Records[[#This Row],[Unit Cost]]</f>
        <v>173.87</v>
      </c>
      <c r="N469" s="1">
        <v>882706.8</v>
      </c>
      <c r="O469" s="6">
        <v>531663.27</v>
      </c>
      <c r="P469" s="1">
        <v>351043.53</v>
      </c>
    </row>
    <row r="470" spans="1:16" x14ac:dyDescent="0.3">
      <c r="A470" s="1" t="s">
        <v>14</v>
      </c>
      <c r="B470" s="1" t="s">
        <v>97</v>
      </c>
      <c r="C470" s="1" t="s">
        <v>29</v>
      </c>
      <c r="D470" s="1" t="s">
        <v>17</v>
      </c>
      <c r="E470" s="1" t="s">
        <v>45</v>
      </c>
      <c r="F470" s="7">
        <v>42143</v>
      </c>
      <c r="G470" s="1" t="s">
        <v>549</v>
      </c>
      <c r="H470" s="7">
        <v>42176</v>
      </c>
      <c r="I470" s="1">
        <f>Europe_Sales_Records[[#This Row],[Ship Date]]-Europe_Sales_Records[[#This Row],[Order Date]]</f>
        <v>33</v>
      </c>
      <c r="J470" s="1">
        <v>3965</v>
      </c>
      <c r="K470" s="1">
        <v>651.21</v>
      </c>
      <c r="L470" s="1">
        <v>524.96</v>
      </c>
      <c r="M470" s="1">
        <f>Europe_Sales_Records[[#This Row],[Unit Price]]-Europe_Sales_Records[[#This Row],[Unit Cost]]</f>
        <v>126.25</v>
      </c>
      <c r="N470" s="1">
        <v>2582047.65</v>
      </c>
      <c r="O470" s="6">
        <v>2081466.4</v>
      </c>
      <c r="P470" s="1">
        <v>500581.25</v>
      </c>
    </row>
    <row r="471" spans="1:16" x14ac:dyDescent="0.3">
      <c r="A471" s="1" t="s">
        <v>14</v>
      </c>
      <c r="B471" s="1" t="s">
        <v>137</v>
      </c>
      <c r="C471" s="1" t="s">
        <v>29</v>
      </c>
      <c r="D471" s="1" t="s">
        <v>17</v>
      </c>
      <c r="E471" s="1" t="s">
        <v>45</v>
      </c>
      <c r="F471" s="7">
        <v>41627</v>
      </c>
      <c r="G471" s="1" t="s">
        <v>550</v>
      </c>
      <c r="H471" s="7">
        <v>41665</v>
      </c>
      <c r="I471" s="1">
        <f>Europe_Sales_Records[[#This Row],[Ship Date]]-Europe_Sales_Records[[#This Row],[Order Date]]</f>
        <v>38</v>
      </c>
      <c r="J471" s="1">
        <v>9044</v>
      </c>
      <c r="K471" s="1">
        <v>651.21</v>
      </c>
      <c r="L471" s="1">
        <v>524.96</v>
      </c>
      <c r="M471" s="1">
        <f>Europe_Sales_Records[[#This Row],[Unit Price]]-Europe_Sales_Records[[#This Row],[Unit Cost]]</f>
        <v>126.25</v>
      </c>
      <c r="N471" s="1">
        <v>5889543.2400000002</v>
      </c>
      <c r="O471" s="6">
        <v>4747738.24</v>
      </c>
      <c r="P471" s="1">
        <v>1141805</v>
      </c>
    </row>
    <row r="472" spans="1:16" x14ac:dyDescent="0.3">
      <c r="A472" s="1" t="s">
        <v>14</v>
      </c>
      <c r="B472" s="1" t="s">
        <v>131</v>
      </c>
      <c r="C472" s="1" t="s">
        <v>52</v>
      </c>
      <c r="D472" s="1" t="s">
        <v>17</v>
      </c>
      <c r="E472" s="1" t="s">
        <v>30</v>
      </c>
      <c r="F472" s="7">
        <v>41075</v>
      </c>
      <c r="G472" s="1" t="s">
        <v>551</v>
      </c>
      <c r="H472" s="7">
        <v>41102</v>
      </c>
      <c r="I472" s="1">
        <f>Europe_Sales_Records[[#This Row],[Ship Date]]-Europe_Sales_Records[[#This Row],[Order Date]]</f>
        <v>27</v>
      </c>
      <c r="J472" s="1">
        <v>9896</v>
      </c>
      <c r="K472" s="1">
        <v>255.28</v>
      </c>
      <c r="L472" s="1">
        <v>159.41999999999999</v>
      </c>
      <c r="M472" s="1">
        <f>Europe_Sales_Records[[#This Row],[Unit Price]]-Europe_Sales_Records[[#This Row],[Unit Cost]]</f>
        <v>95.860000000000014</v>
      </c>
      <c r="N472" s="1">
        <v>2526250.88</v>
      </c>
      <c r="O472" s="6">
        <v>1577620.32</v>
      </c>
      <c r="P472" s="1">
        <v>948630.56</v>
      </c>
    </row>
    <row r="473" spans="1:16" x14ac:dyDescent="0.3">
      <c r="A473" s="1" t="s">
        <v>14</v>
      </c>
      <c r="B473" s="1" t="s">
        <v>47</v>
      </c>
      <c r="C473" s="1" t="s">
        <v>60</v>
      </c>
      <c r="D473" s="1" t="s">
        <v>17</v>
      </c>
      <c r="E473" s="1" t="s">
        <v>23</v>
      </c>
      <c r="F473" s="7">
        <v>42578</v>
      </c>
      <c r="G473" s="1" t="s">
        <v>552</v>
      </c>
      <c r="H473" s="7">
        <v>42626</v>
      </c>
      <c r="I473" s="1">
        <f>Europe_Sales_Records[[#This Row],[Ship Date]]-Europe_Sales_Records[[#This Row],[Order Date]]</f>
        <v>48</v>
      </c>
      <c r="J473" s="1">
        <v>1799</v>
      </c>
      <c r="K473" s="1">
        <v>437.2</v>
      </c>
      <c r="L473" s="1">
        <v>263.33</v>
      </c>
      <c r="M473" s="1">
        <f>Europe_Sales_Records[[#This Row],[Unit Price]]-Europe_Sales_Records[[#This Row],[Unit Cost]]</f>
        <v>173.87</v>
      </c>
      <c r="N473" s="1">
        <v>786522.8</v>
      </c>
      <c r="O473" s="6">
        <v>473730.67</v>
      </c>
      <c r="P473" s="1">
        <v>312792.13</v>
      </c>
    </row>
    <row r="474" spans="1:16" x14ac:dyDescent="0.3">
      <c r="A474" s="1" t="s">
        <v>14</v>
      </c>
      <c r="B474" s="1" t="s">
        <v>84</v>
      </c>
      <c r="C474" s="1" t="s">
        <v>60</v>
      </c>
      <c r="D474" s="1" t="s">
        <v>17</v>
      </c>
      <c r="E474" s="1" t="s">
        <v>45</v>
      </c>
      <c r="F474" s="7">
        <v>40448</v>
      </c>
      <c r="G474" s="1" t="s">
        <v>553</v>
      </c>
      <c r="H474" s="7">
        <v>40487</v>
      </c>
      <c r="I474" s="1">
        <f>Europe_Sales_Records[[#This Row],[Ship Date]]-Europe_Sales_Records[[#This Row],[Order Date]]</f>
        <v>39</v>
      </c>
      <c r="J474" s="1">
        <v>3206</v>
      </c>
      <c r="K474" s="1">
        <v>437.2</v>
      </c>
      <c r="L474" s="1">
        <v>263.33</v>
      </c>
      <c r="M474" s="1">
        <f>Europe_Sales_Records[[#This Row],[Unit Price]]-Europe_Sales_Records[[#This Row],[Unit Cost]]</f>
        <v>173.87</v>
      </c>
      <c r="N474" s="1">
        <v>1401663.2</v>
      </c>
      <c r="O474" s="6">
        <v>844235.98</v>
      </c>
      <c r="P474" s="1">
        <v>557427.22</v>
      </c>
    </row>
    <row r="475" spans="1:16" x14ac:dyDescent="0.3">
      <c r="A475" s="1" t="s">
        <v>14</v>
      </c>
      <c r="B475" s="1" t="s">
        <v>129</v>
      </c>
      <c r="C475" s="1" t="s">
        <v>26</v>
      </c>
      <c r="D475" s="1" t="s">
        <v>22</v>
      </c>
      <c r="E475" s="1" t="s">
        <v>30</v>
      </c>
      <c r="F475" s="7">
        <v>42242</v>
      </c>
      <c r="G475" s="1" t="s">
        <v>554</v>
      </c>
      <c r="H475" s="7">
        <v>42290</v>
      </c>
      <c r="I475" s="1">
        <f>Europe_Sales_Records[[#This Row],[Ship Date]]-Europe_Sales_Records[[#This Row],[Order Date]]</f>
        <v>48</v>
      </c>
      <c r="J475" s="1">
        <v>2558</v>
      </c>
      <c r="K475" s="1">
        <v>205.7</v>
      </c>
      <c r="L475" s="1">
        <v>117.11</v>
      </c>
      <c r="M475" s="1">
        <f>Europe_Sales_Records[[#This Row],[Unit Price]]-Europe_Sales_Records[[#This Row],[Unit Cost]]</f>
        <v>88.589999999999989</v>
      </c>
      <c r="N475" s="1">
        <v>526180.6</v>
      </c>
      <c r="O475" s="6">
        <v>299567.38</v>
      </c>
      <c r="P475" s="1">
        <v>226613.22</v>
      </c>
    </row>
    <row r="476" spans="1:16" x14ac:dyDescent="0.3">
      <c r="A476" s="1" t="s">
        <v>14</v>
      </c>
      <c r="B476" s="1" t="s">
        <v>41</v>
      </c>
      <c r="C476" s="1" t="s">
        <v>42</v>
      </c>
      <c r="D476" s="1" t="s">
        <v>17</v>
      </c>
      <c r="E476" s="1" t="s">
        <v>30</v>
      </c>
      <c r="F476" s="7">
        <v>41025</v>
      </c>
      <c r="G476" s="1" t="s">
        <v>555</v>
      </c>
      <c r="H476" s="7">
        <v>41025</v>
      </c>
      <c r="I476" s="1">
        <f>Europe_Sales_Records[[#This Row],[Ship Date]]-Europe_Sales_Records[[#This Row],[Order Date]]</f>
        <v>0</v>
      </c>
      <c r="J476" s="1">
        <v>3555</v>
      </c>
      <c r="K476" s="1">
        <v>421.89</v>
      </c>
      <c r="L476" s="1">
        <v>364.69</v>
      </c>
      <c r="M476" s="1">
        <f>Europe_Sales_Records[[#This Row],[Unit Price]]-Europe_Sales_Records[[#This Row],[Unit Cost]]</f>
        <v>57.199999999999989</v>
      </c>
      <c r="N476" s="1">
        <v>1499818.95</v>
      </c>
      <c r="O476" s="6">
        <v>1296472.95</v>
      </c>
      <c r="P476" s="1">
        <v>203346</v>
      </c>
    </row>
    <row r="477" spans="1:16" x14ac:dyDescent="0.3">
      <c r="A477" s="1" t="s">
        <v>14</v>
      </c>
      <c r="B477" s="1" t="s">
        <v>15</v>
      </c>
      <c r="C477" s="1" t="s">
        <v>60</v>
      </c>
      <c r="D477" s="1" t="s">
        <v>22</v>
      </c>
      <c r="E477" s="1" t="s">
        <v>45</v>
      </c>
      <c r="F477" s="7">
        <v>42892</v>
      </c>
      <c r="G477" s="1" t="s">
        <v>556</v>
      </c>
      <c r="H477" s="7">
        <v>42928</v>
      </c>
      <c r="I477" s="1">
        <f>Europe_Sales_Records[[#This Row],[Ship Date]]-Europe_Sales_Records[[#This Row],[Order Date]]</f>
        <v>36</v>
      </c>
      <c r="J477" s="1">
        <v>5581</v>
      </c>
      <c r="K477" s="1">
        <v>437.2</v>
      </c>
      <c r="L477" s="1">
        <v>263.33</v>
      </c>
      <c r="M477" s="1">
        <f>Europe_Sales_Records[[#This Row],[Unit Price]]-Europe_Sales_Records[[#This Row],[Unit Cost]]</f>
        <v>173.87</v>
      </c>
      <c r="N477" s="1">
        <v>2440013.2000000002</v>
      </c>
      <c r="O477" s="6">
        <v>1469644.73</v>
      </c>
      <c r="P477" s="1">
        <v>970368.47</v>
      </c>
    </row>
    <row r="478" spans="1:16" x14ac:dyDescent="0.3">
      <c r="A478" s="1" t="s">
        <v>14</v>
      </c>
      <c r="B478" s="1" t="s">
        <v>25</v>
      </c>
      <c r="C478" s="1" t="s">
        <v>33</v>
      </c>
      <c r="D478" s="1" t="s">
        <v>22</v>
      </c>
      <c r="E478" s="1" t="s">
        <v>23</v>
      </c>
      <c r="F478" s="7">
        <v>41121</v>
      </c>
      <c r="G478" s="1" t="s">
        <v>557</v>
      </c>
      <c r="H478" s="7">
        <v>41170</v>
      </c>
      <c r="I478" s="1">
        <f>Europe_Sales_Records[[#This Row],[Ship Date]]-Europe_Sales_Records[[#This Row],[Order Date]]</f>
        <v>49</v>
      </c>
      <c r="J478" s="1">
        <v>4487</v>
      </c>
      <c r="K478" s="1">
        <v>9.33</v>
      </c>
      <c r="L478" s="1">
        <v>6.92</v>
      </c>
      <c r="M478" s="1">
        <f>Europe_Sales_Records[[#This Row],[Unit Price]]-Europe_Sales_Records[[#This Row],[Unit Cost]]</f>
        <v>2.41</v>
      </c>
      <c r="N478" s="1">
        <v>41863.71</v>
      </c>
      <c r="O478" s="6">
        <v>31050.04</v>
      </c>
      <c r="P478" s="1">
        <v>10813.67</v>
      </c>
    </row>
    <row r="479" spans="1:16" x14ac:dyDescent="0.3">
      <c r="A479" s="1" t="s">
        <v>14</v>
      </c>
      <c r="B479" s="1" t="s">
        <v>41</v>
      </c>
      <c r="C479" s="1" t="s">
        <v>33</v>
      </c>
      <c r="D479" s="1" t="s">
        <v>17</v>
      </c>
      <c r="E479" s="1" t="s">
        <v>30</v>
      </c>
      <c r="F479" s="7">
        <v>42337</v>
      </c>
      <c r="G479" s="1" t="s">
        <v>558</v>
      </c>
      <c r="H479" s="7">
        <v>42347</v>
      </c>
      <c r="I479" s="1">
        <f>Europe_Sales_Records[[#This Row],[Ship Date]]-Europe_Sales_Records[[#This Row],[Order Date]]</f>
        <v>10</v>
      </c>
      <c r="J479" s="1">
        <v>3118</v>
      </c>
      <c r="K479" s="1">
        <v>9.33</v>
      </c>
      <c r="L479" s="1">
        <v>6.92</v>
      </c>
      <c r="M479" s="1">
        <f>Europe_Sales_Records[[#This Row],[Unit Price]]-Europe_Sales_Records[[#This Row],[Unit Cost]]</f>
        <v>2.41</v>
      </c>
      <c r="N479" s="1">
        <v>29090.94</v>
      </c>
      <c r="O479" s="6">
        <v>21576.560000000001</v>
      </c>
      <c r="P479" s="1">
        <v>7514.38</v>
      </c>
    </row>
    <row r="480" spans="1:16" x14ac:dyDescent="0.3">
      <c r="A480" s="1" t="s">
        <v>14</v>
      </c>
      <c r="B480" s="1" t="s">
        <v>172</v>
      </c>
      <c r="C480" s="1" t="s">
        <v>16</v>
      </c>
      <c r="D480" s="1" t="s">
        <v>17</v>
      </c>
      <c r="E480" s="1" t="s">
        <v>45</v>
      </c>
      <c r="F480" s="7">
        <v>40952</v>
      </c>
      <c r="G480" s="1" t="s">
        <v>559</v>
      </c>
      <c r="H480" s="7">
        <v>40953</v>
      </c>
      <c r="I480" s="1">
        <f>Europe_Sales_Records[[#This Row],[Ship Date]]-Europe_Sales_Records[[#This Row],[Order Date]]</f>
        <v>1</v>
      </c>
      <c r="J480" s="1">
        <v>1465</v>
      </c>
      <c r="K480" s="1">
        <v>47.45</v>
      </c>
      <c r="L480" s="1">
        <v>31.79</v>
      </c>
      <c r="M480" s="1">
        <f>Europe_Sales_Records[[#This Row],[Unit Price]]-Europe_Sales_Records[[#This Row],[Unit Cost]]</f>
        <v>15.660000000000004</v>
      </c>
      <c r="N480" s="1">
        <v>69514.25</v>
      </c>
      <c r="O480" s="6">
        <v>46572.35</v>
      </c>
      <c r="P480" s="1">
        <v>22941.9</v>
      </c>
    </row>
    <row r="481" spans="1:16" x14ac:dyDescent="0.3">
      <c r="A481" s="1" t="s">
        <v>14</v>
      </c>
      <c r="B481" s="1" t="s">
        <v>32</v>
      </c>
      <c r="C481" s="1" t="s">
        <v>16</v>
      </c>
      <c r="D481" s="1" t="s">
        <v>22</v>
      </c>
      <c r="E481" s="1" t="s">
        <v>23</v>
      </c>
      <c r="F481" s="7">
        <v>42702</v>
      </c>
      <c r="G481" s="1" t="s">
        <v>560</v>
      </c>
      <c r="H481" s="7">
        <v>42744</v>
      </c>
      <c r="I481" s="1">
        <f>Europe_Sales_Records[[#This Row],[Ship Date]]-Europe_Sales_Records[[#This Row],[Order Date]]</f>
        <v>42</v>
      </c>
      <c r="J481" s="1">
        <v>1027</v>
      </c>
      <c r="K481" s="1">
        <v>47.45</v>
      </c>
      <c r="L481" s="1">
        <v>31.79</v>
      </c>
      <c r="M481" s="1">
        <f>Europe_Sales_Records[[#This Row],[Unit Price]]-Europe_Sales_Records[[#This Row],[Unit Cost]]</f>
        <v>15.660000000000004</v>
      </c>
      <c r="N481" s="1">
        <v>48731.15</v>
      </c>
      <c r="O481" s="6">
        <v>32648.33</v>
      </c>
      <c r="P481" s="1">
        <v>16082.82</v>
      </c>
    </row>
    <row r="482" spans="1:16" x14ac:dyDescent="0.3">
      <c r="A482" s="1" t="s">
        <v>14</v>
      </c>
      <c r="B482" s="1" t="s">
        <v>69</v>
      </c>
      <c r="C482" s="1" t="s">
        <v>16</v>
      </c>
      <c r="D482" s="1" t="s">
        <v>17</v>
      </c>
      <c r="E482" s="1" t="s">
        <v>45</v>
      </c>
      <c r="F482" s="7">
        <v>40729</v>
      </c>
      <c r="G482" s="1" t="s">
        <v>561</v>
      </c>
      <c r="H482" s="7">
        <v>40746</v>
      </c>
      <c r="I482" s="1">
        <f>Europe_Sales_Records[[#This Row],[Ship Date]]-Europe_Sales_Records[[#This Row],[Order Date]]</f>
        <v>17</v>
      </c>
      <c r="J482" s="1">
        <v>3574</v>
      </c>
      <c r="K482" s="1">
        <v>47.45</v>
      </c>
      <c r="L482" s="1">
        <v>31.79</v>
      </c>
      <c r="M482" s="1">
        <f>Europe_Sales_Records[[#This Row],[Unit Price]]-Europe_Sales_Records[[#This Row],[Unit Cost]]</f>
        <v>15.660000000000004</v>
      </c>
      <c r="N482" s="1">
        <v>169586.3</v>
      </c>
      <c r="O482" s="6">
        <v>113617.46</v>
      </c>
      <c r="P482" s="1">
        <v>55968.84</v>
      </c>
    </row>
    <row r="483" spans="1:16" x14ac:dyDescent="0.3">
      <c r="A483" s="1" t="s">
        <v>14</v>
      </c>
      <c r="B483" s="1" t="s">
        <v>50</v>
      </c>
      <c r="C483" s="1" t="s">
        <v>39</v>
      </c>
      <c r="D483" s="1" t="s">
        <v>17</v>
      </c>
      <c r="E483" s="1" t="s">
        <v>30</v>
      </c>
      <c r="F483" s="7">
        <v>41196</v>
      </c>
      <c r="G483" s="1" t="s">
        <v>562</v>
      </c>
      <c r="H483" s="7">
        <v>41240</v>
      </c>
      <c r="I483" s="1">
        <f>Europe_Sales_Records[[#This Row],[Ship Date]]-Europe_Sales_Records[[#This Row],[Order Date]]</f>
        <v>44</v>
      </c>
      <c r="J483" s="1">
        <v>5310</v>
      </c>
      <c r="K483" s="1">
        <v>154.06</v>
      </c>
      <c r="L483" s="1">
        <v>90.93</v>
      </c>
      <c r="M483" s="1">
        <f>Europe_Sales_Records[[#This Row],[Unit Price]]-Europe_Sales_Records[[#This Row],[Unit Cost]]</f>
        <v>63.129999999999995</v>
      </c>
      <c r="N483" s="1">
        <v>818058.6</v>
      </c>
      <c r="O483" s="6">
        <v>482838.3</v>
      </c>
      <c r="P483" s="1">
        <v>335220.3</v>
      </c>
    </row>
    <row r="484" spans="1:16" x14ac:dyDescent="0.3">
      <c r="A484" s="1" t="s">
        <v>14</v>
      </c>
      <c r="B484" s="1" t="s">
        <v>118</v>
      </c>
      <c r="C484" s="1" t="s">
        <v>26</v>
      </c>
      <c r="D484" s="1" t="s">
        <v>17</v>
      </c>
      <c r="E484" s="1" t="s">
        <v>45</v>
      </c>
      <c r="F484" s="7">
        <v>40516</v>
      </c>
      <c r="G484" s="1" t="s">
        <v>563</v>
      </c>
      <c r="H484" s="7">
        <v>40519</v>
      </c>
      <c r="I484" s="1">
        <f>Europe_Sales_Records[[#This Row],[Ship Date]]-Europe_Sales_Records[[#This Row],[Order Date]]</f>
        <v>3</v>
      </c>
      <c r="J484" s="1">
        <v>8186</v>
      </c>
      <c r="K484" s="1">
        <v>205.7</v>
      </c>
      <c r="L484" s="1">
        <v>117.11</v>
      </c>
      <c r="M484" s="1">
        <f>Europe_Sales_Records[[#This Row],[Unit Price]]-Europe_Sales_Records[[#This Row],[Unit Cost]]</f>
        <v>88.589999999999989</v>
      </c>
      <c r="N484" s="1">
        <v>1683860.2</v>
      </c>
      <c r="O484" s="6">
        <v>958662.46</v>
      </c>
      <c r="P484" s="1">
        <v>725197.74</v>
      </c>
    </row>
    <row r="485" spans="1:16" x14ac:dyDescent="0.3">
      <c r="A485" s="1" t="s">
        <v>14</v>
      </c>
      <c r="B485" s="1" t="s">
        <v>54</v>
      </c>
      <c r="C485" s="1" t="s">
        <v>79</v>
      </c>
      <c r="D485" s="1" t="s">
        <v>17</v>
      </c>
      <c r="E485" s="1" t="s">
        <v>18</v>
      </c>
      <c r="F485" s="7">
        <v>41591</v>
      </c>
      <c r="G485" s="1" t="s">
        <v>564</v>
      </c>
      <c r="H485" s="7">
        <v>41602</v>
      </c>
      <c r="I485" s="1">
        <f>Europe_Sales_Records[[#This Row],[Ship Date]]-Europe_Sales_Records[[#This Row],[Order Date]]</f>
        <v>11</v>
      </c>
      <c r="J485" s="1">
        <v>1173</v>
      </c>
      <c r="K485" s="1">
        <v>81.73</v>
      </c>
      <c r="L485" s="1">
        <v>56.67</v>
      </c>
      <c r="M485" s="1">
        <f>Europe_Sales_Records[[#This Row],[Unit Price]]-Europe_Sales_Records[[#This Row],[Unit Cost]]</f>
        <v>25.060000000000002</v>
      </c>
      <c r="N485" s="1">
        <v>95869.29</v>
      </c>
      <c r="O485" s="6">
        <v>66473.91</v>
      </c>
      <c r="P485" s="1">
        <v>29395.38</v>
      </c>
    </row>
    <row r="486" spans="1:16" x14ac:dyDescent="0.3">
      <c r="A486" s="1" t="s">
        <v>14</v>
      </c>
      <c r="B486" s="1" t="s">
        <v>41</v>
      </c>
      <c r="C486" s="1" t="s">
        <v>52</v>
      </c>
      <c r="D486" s="1" t="s">
        <v>17</v>
      </c>
      <c r="E486" s="1" t="s">
        <v>18</v>
      </c>
      <c r="F486" s="7">
        <v>42182</v>
      </c>
      <c r="G486" s="1" t="s">
        <v>565</v>
      </c>
      <c r="H486" s="7">
        <v>42216</v>
      </c>
      <c r="I486" s="1">
        <f>Europe_Sales_Records[[#This Row],[Ship Date]]-Europe_Sales_Records[[#This Row],[Order Date]]</f>
        <v>34</v>
      </c>
      <c r="J486" s="1">
        <v>4429</v>
      </c>
      <c r="K486" s="1">
        <v>255.28</v>
      </c>
      <c r="L486" s="1">
        <v>159.41999999999999</v>
      </c>
      <c r="M486" s="1">
        <f>Europe_Sales_Records[[#This Row],[Unit Price]]-Europe_Sales_Records[[#This Row],[Unit Cost]]</f>
        <v>95.860000000000014</v>
      </c>
      <c r="N486" s="1">
        <v>1130635.1200000001</v>
      </c>
      <c r="O486" s="6">
        <v>706071.18</v>
      </c>
      <c r="P486" s="1">
        <v>424563.94</v>
      </c>
    </row>
    <row r="487" spans="1:16" x14ac:dyDescent="0.3">
      <c r="A487" s="1" t="s">
        <v>14</v>
      </c>
      <c r="B487" s="1" t="s">
        <v>15</v>
      </c>
      <c r="C487" s="1" t="s">
        <v>42</v>
      </c>
      <c r="D487" s="1" t="s">
        <v>22</v>
      </c>
      <c r="E487" s="1" t="s">
        <v>23</v>
      </c>
      <c r="F487" s="7">
        <v>42013</v>
      </c>
      <c r="G487" s="1" t="s">
        <v>566</v>
      </c>
      <c r="H487" s="7">
        <v>42036</v>
      </c>
      <c r="I487" s="1">
        <f>Europe_Sales_Records[[#This Row],[Ship Date]]-Europe_Sales_Records[[#This Row],[Order Date]]</f>
        <v>23</v>
      </c>
      <c r="J487" s="1">
        <v>1336</v>
      </c>
      <c r="K487" s="1">
        <v>421.89</v>
      </c>
      <c r="L487" s="1">
        <v>364.69</v>
      </c>
      <c r="M487" s="1">
        <f>Europe_Sales_Records[[#This Row],[Unit Price]]-Europe_Sales_Records[[#This Row],[Unit Cost]]</f>
        <v>57.199999999999989</v>
      </c>
      <c r="N487" s="1">
        <v>563645.04</v>
      </c>
      <c r="O487" s="6">
        <v>487225.84</v>
      </c>
      <c r="P487" s="1">
        <v>76419.199999999997</v>
      </c>
    </row>
    <row r="488" spans="1:16" x14ac:dyDescent="0.3">
      <c r="A488" s="1" t="s">
        <v>14</v>
      </c>
      <c r="B488" s="1" t="s">
        <v>32</v>
      </c>
      <c r="C488" s="1" t="s">
        <v>39</v>
      </c>
      <c r="D488" s="1" t="s">
        <v>22</v>
      </c>
      <c r="E488" s="1" t="s">
        <v>30</v>
      </c>
      <c r="F488" s="7">
        <v>40602</v>
      </c>
      <c r="G488" s="1" t="s">
        <v>567</v>
      </c>
      <c r="H488" s="7">
        <v>40641</v>
      </c>
      <c r="I488" s="1">
        <f>Europe_Sales_Records[[#This Row],[Ship Date]]-Europe_Sales_Records[[#This Row],[Order Date]]</f>
        <v>39</v>
      </c>
      <c r="J488" s="1">
        <v>8246</v>
      </c>
      <c r="K488" s="1">
        <v>154.06</v>
      </c>
      <c r="L488" s="1">
        <v>90.93</v>
      </c>
      <c r="M488" s="1">
        <f>Europe_Sales_Records[[#This Row],[Unit Price]]-Europe_Sales_Records[[#This Row],[Unit Cost]]</f>
        <v>63.129999999999995</v>
      </c>
      <c r="N488" s="1">
        <v>1270378.76</v>
      </c>
      <c r="O488" s="6">
        <v>749808.78</v>
      </c>
      <c r="P488" s="1">
        <v>520569.98</v>
      </c>
    </row>
    <row r="489" spans="1:16" x14ac:dyDescent="0.3">
      <c r="A489" s="1" t="s">
        <v>14</v>
      </c>
      <c r="B489" s="1" t="s">
        <v>32</v>
      </c>
      <c r="C489" s="1" t="s">
        <v>21</v>
      </c>
      <c r="D489" s="1" t="s">
        <v>17</v>
      </c>
      <c r="E489" s="1" t="s">
        <v>18</v>
      </c>
      <c r="F489" s="7">
        <v>42722</v>
      </c>
      <c r="G489" s="1" t="s">
        <v>568</v>
      </c>
      <c r="H489" s="7">
        <v>42740</v>
      </c>
      <c r="I489" s="1">
        <f>Europe_Sales_Records[[#This Row],[Ship Date]]-Europe_Sales_Records[[#This Row],[Order Date]]</f>
        <v>18</v>
      </c>
      <c r="J489" s="1">
        <v>123</v>
      </c>
      <c r="K489" s="1">
        <v>109.28</v>
      </c>
      <c r="L489" s="1">
        <v>35.840000000000003</v>
      </c>
      <c r="M489" s="1">
        <f>Europe_Sales_Records[[#This Row],[Unit Price]]-Europe_Sales_Records[[#This Row],[Unit Cost]]</f>
        <v>73.44</v>
      </c>
      <c r="N489" s="1">
        <v>13441.44</v>
      </c>
      <c r="O489" s="6">
        <v>4408.32</v>
      </c>
      <c r="P489" s="1">
        <v>9033.1200000000008</v>
      </c>
    </row>
    <row r="490" spans="1:16" x14ac:dyDescent="0.3">
      <c r="A490" s="1" t="s">
        <v>14</v>
      </c>
      <c r="B490" s="1" t="s">
        <v>59</v>
      </c>
      <c r="C490" s="1" t="s">
        <v>60</v>
      </c>
      <c r="D490" s="1" t="s">
        <v>22</v>
      </c>
      <c r="E490" s="1" t="s">
        <v>18</v>
      </c>
      <c r="F490" s="7">
        <v>41828</v>
      </c>
      <c r="G490" s="1" t="s">
        <v>569</v>
      </c>
      <c r="H490" s="7">
        <v>41840</v>
      </c>
      <c r="I490" s="1">
        <f>Europe_Sales_Records[[#This Row],[Ship Date]]-Europe_Sales_Records[[#This Row],[Order Date]]</f>
        <v>12</v>
      </c>
      <c r="J490" s="1">
        <v>4613</v>
      </c>
      <c r="K490" s="1">
        <v>437.2</v>
      </c>
      <c r="L490" s="1">
        <v>263.33</v>
      </c>
      <c r="M490" s="1">
        <f>Europe_Sales_Records[[#This Row],[Unit Price]]-Europe_Sales_Records[[#This Row],[Unit Cost]]</f>
        <v>173.87</v>
      </c>
      <c r="N490" s="1">
        <v>2016803.6</v>
      </c>
      <c r="O490" s="6">
        <v>1214741.29</v>
      </c>
      <c r="P490" s="1">
        <v>802062.31</v>
      </c>
    </row>
    <row r="491" spans="1:16" x14ac:dyDescent="0.3">
      <c r="A491" s="1" t="s">
        <v>14</v>
      </c>
      <c r="B491" s="1" t="s">
        <v>59</v>
      </c>
      <c r="C491" s="1" t="s">
        <v>26</v>
      </c>
      <c r="D491" s="1" t="s">
        <v>17</v>
      </c>
      <c r="E491" s="1" t="s">
        <v>18</v>
      </c>
      <c r="F491" s="7">
        <v>40587</v>
      </c>
      <c r="G491" s="1" t="s">
        <v>570</v>
      </c>
      <c r="H491" s="7">
        <v>40600</v>
      </c>
      <c r="I491" s="1">
        <f>Europe_Sales_Records[[#This Row],[Ship Date]]-Europe_Sales_Records[[#This Row],[Order Date]]</f>
        <v>13</v>
      </c>
      <c r="J491" s="1">
        <v>2771</v>
      </c>
      <c r="K491" s="1">
        <v>205.7</v>
      </c>
      <c r="L491" s="1">
        <v>117.11</v>
      </c>
      <c r="M491" s="1">
        <f>Europe_Sales_Records[[#This Row],[Unit Price]]-Europe_Sales_Records[[#This Row],[Unit Cost]]</f>
        <v>88.589999999999989</v>
      </c>
      <c r="N491" s="1">
        <v>569994.69999999995</v>
      </c>
      <c r="O491" s="6">
        <v>324511.81</v>
      </c>
      <c r="P491" s="1">
        <v>245482.89</v>
      </c>
    </row>
    <row r="492" spans="1:16" x14ac:dyDescent="0.3">
      <c r="A492" s="1" t="s">
        <v>14</v>
      </c>
      <c r="B492" s="1" t="s">
        <v>50</v>
      </c>
      <c r="C492" s="1" t="s">
        <v>48</v>
      </c>
      <c r="D492" s="1" t="s">
        <v>17</v>
      </c>
      <c r="E492" s="1" t="s">
        <v>18</v>
      </c>
      <c r="F492" s="7">
        <v>42938</v>
      </c>
      <c r="G492" s="1" t="s">
        <v>571</v>
      </c>
      <c r="H492" s="7">
        <v>42957</v>
      </c>
      <c r="I492" s="1">
        <f>Europe_Sales_Records[[#This Row],[Ship Date]]-Europe_Sales_Records[[#This Row],[Order Date]]</f>
        <v>19</v>
      </c>
      <c r="J492" s="1">
        <v>2099</v>
      </c>
      <c r="K492" s="1">
        <v>152.58000000000001</v>
      </c>
      <c r="L492" s="1">
        <v>97.44</v>
      </c>
      <c r="M492" s="1">
        <f>Europe_Sales_Records[[#This Row],[Unit Price]]-Europe_Sales_Records[[#This Row],[Unit Cost]]</f>
        <v>55.140000000000015</v>
      </c>
      <c r="N492" s="1">
        <v>320265.42</v>
      </c>
      <c r="O492" s="6">
        <v>204526.56</v>
      </c>
      <c r="P492" s="1">
        <v>115738.86</v>
      </c>
    </row>
    <row r="493" spans="1:16" x14ac:dyDescent="0.3">
      <c r="A493" s="1" t="s">
        <v>14</v>
      </c>
      <c r="B493" s="1" t="s">
        <v>47</v>
      </c>
      <c r="C493" s="1" t="s">
        <v>33</v>
      </c>
      <c r="D493" s="1" t="s">
        <v>22</v>
      </c>
      <c r="E493" s="1" t="s">
        <v>23</v>
      </c>
      <c r="F493" s="7">
        <v>40661</v>
      </c>
      <c r="G493" s="1" t="s">
        <v>572</v>
      </c>
      <c r="H493" s="7">
        <v>40698</v>
      </c>
      <c r="I493" s="1">
        <f>Europe_Sales_Records[[#This Row],[Ship Date]]-Europe_Sales_Records[[#This Row],[Order Date]]</f>
        <v>37</v>
      </c>
      <c r="J493" s="1">
        <v>3015</v>
      </c>
      <c r="K493" s="1">
        <v>9.33</v>
      </c>
      <c r="L493" s="1">
        <v>6.92</v>
      </c>
      <c r="M493" s="1">
        <f>Europe_Sales_Records[[#This Row],[Unit Price]]-Europe_Sales_Records[[#This Row],[Unit Cost]]</f>
        <v>2.41</v>
      </c>
      <c r="N493" s="1">
        <v>28129.95</v>
      </c>
      <c r="O493" s="6">
        <v>20863.8</v>
      </c>
      <c r="P493" s="1">
        <v>7266.15</v>
      </c>
    </row>
    <row r="494" spans="1:16" x14ac:dyDescent="0.3">
      <c r="A494" s="1" t="s">
        <v>14</v>
      </c>
      <c r="B494" s="1" t="s">
        <v>164</v>
      </c>
      <c r="C494" s="1" t="s">
        <v>39</v>
      </c>
      <c r="D494" s="1" t="s">
        <v>22</v>
      </c>
      <c r="E494" s="1" t="s">
        <v>30</v>
      </c>
      <c r="F494" s="7">
        <v>42363</v>
      </c>
      <c r="G494" s="1" t="s">
        <v>573</v>
      </c>
      <c r="H494" s="7">
        <v>42401</v>
      </c>
      <c r="I494" s="1">
        <f>Europe_Sales_Records[[#This Row],[Ship Date]]-Europe_Sales_Records[[#This Row],[Order Date]]</f>
        <v>38</v>
      </c>
      <c r="J494" s="1">
        <v>479</v>
      </c>
      <c r="K494" s="1">
        <v>154.06</v>
      </c>
      <c r="L494" s="1">
        <v>90.93</v>
      </c>
      <c r="M494" s="1">
        <f>Europe_Sales_Records[[#This Row],[Unit Price]]-Europe_Sales_Records[[#This Row],[Unit Cost]]</f>
        <v>63.129999999999995</v>
      </c>
      <c r="N494" s="1">
        <v>73794.740000000005</v>
      </c>
      <c r="O494" s="6">
        <v>43555.47</v>
      </c>
      <c r="P494" s="1">
        <v>30239.27</v>
      </c>
    </row>
    <row r="495" spans="1:16" x14ac:dyDescent="0.3">
      <c r="A495" s="1" t="s">
        <v>14</v>
      </c>
      <c r="B495" s="1" t="s">
        <v>164</v>
      </c>
      <c r="C495" s="1" t="s">
        <v>29</v>
      </c>
      <c r="D495" s="1" t="s">
        <v>17</v>
      </c>
      <c r="E495" s="1" t="s">
        <v>23</v>
      </c>
      <c r="F495" s="7">
        <v>40239</v>
      </c>
      <c r="G495" s="1" t="s">
        <v>574</v>
      </c>
      <c r="H495" s="7">
        <v>40256</v>
      </c>
      <c r="I495" s="1">
        <f>Europe_Sales_Records[[#This Row],[Ship Date]]-Europe_Sales_Records[[#This Row],[Order Date]]</f>
        <v>17</v>
      </c>
      <c r="J495" s="1">
        <v>2787</v>
      </c>
      <c r="K495" s="1">
        <v>651.21</v>
      </c>
      <c r="L495" s="1">
        <v>524.96</v>
      </c>
      <c r="M495" s="1">
        <f>Europe_Sales_Records[[#This Row],[Unit Price]]-Europe_Sales_Records[[#This Row],[Unit Cost]]</f>
        <v>126.25</v>
      </c>
      <c r="N495" s="1">
        <v>1814922.27</v>
      </c>
      <c r="O495" s="6">
        <v>1463063.52</v>
      </c>
      <c r="P495" s="1">
        <v>351858.75</v>
      </c>
    </row>
    <row r="496" spans="1:16" x14ac:dyDescent="0.3">
      <c r="A496" s="1" t="s">
        <v>14</v>
      </c>
      <c r="B496" s="1" t="s">
        <v>20</v>
      </c>
      <c r="C496" s="1" t="s">
        <v>48</v>
      </c>
      <c r="D496" s="1" t="s">
        <v>17</v>
      </c>
      <c r="E496" s="1" t="s">
        <v>30</v>
      </c>
      <c r="F496" s="7">
        <v>40738</v>
      </c>
      <c r="G496" s="1" t="s">
        <v>575</v>
      </c>
      <c r="H496" s="7">
        <v>40782</v>
      </c>
      <c r="I496" s="1">
        <f>Europe_Sales_Records[[#This Row],[Ship Date]]-Europe_Sales_Records[[#This Row],[Order Date]]</f>
        <v>44</v>
      </c>
      <c r="J496" s="1">
        <v>785</v>
      </c>
      <c r="K496" s="1">
        <v>152.58000000000001</v>
      </c>
      <c r="L496" s="1">
        <v>97.44</v>
      </c>
      <c r="M496" s="1">
        <f>Europe_Sales_Records[[#This Row],[Unit Price]]-Europe_Sales_Records[[#This Row],[Unit Cost]]</f>
        <v>55.140000000000015</v>
      </c>
      <c r="N496" s="1">
        <v>119775.3</v>
      </c>
      <c r="O496" s="6">
        <v>76490.399999999994</v>
      </c>
      <c r="P496" s="1">
        <v>43284.9</v>
      </c>
    </row>
    <row r="497" spans="1:16" x14ac:dyDescent="0.3">
      <c r="A497" s="1" t="s">
        <v>14</v>
      </c>
      <c r="B497" s="1" t="s">
        <v>15</v>
      </c>
      <c r="C497" s="1" t="s">
        <v>29</v>
      </c>
      <c r="D497" s="1" t="s">
        <v>22</v>
      </c>
      <c r="E497" s="1" t="s">
        <v>23</v>
      </c>
      <c r="F497" s="7">
        <v>41768</v>
      </c>
      <c r="G497" s="1" t="s">
        <v>576</v>
      </c>
      <c r="H497" s="7">
        <v>41773</v>
      </c>
      <c r="I497" s="1">
        <f>Europe_Sales_Records[[#This Row],[Ship Date]]-Europe_Sales_Records[[#This Row],[Order Date]]</f>
        <v>5</v>
      </c>
      <c r="J497" s="1">
        <v>5479</v>
      </c>
      <c r="K497" s="1">
        <v>651.21</v>
      </c>
      <c r="L497" s="1">
        <v>524.96</v>
      </c>
      <c r="M497" s="1">
        <f>Europe_Sales_Records[[#This Row],[Unit Price]]-Europe_Sales_Records[[#This Row],[Unit Cost]]</f>
        <v>126.25</v>
      </c>
      <c r="N497" s="1">
        <v>3567979.59</v>
      </c>
      <c r="O497" s="6">
        <v>2876255.84</v>
      </c>
      <c r="P497" s="1">
        <v>691723.75</v>
      </c>
    </row>
    <row r="498" spans="1:16" x14ac:dyDescent="0.3">
      <c r="A498" s="1" t="s">
        <v>14</v>
      </c>
      <c r="B498" s="1" t="s">
        <v>47</v>
      </c>
      <c r="C498" s="1" t="s">
        <v>21</v>
      </c>
      <c r="D498" s="1" t="s">
        <v>17</v>
      </c>
      <c r="E498" s="1" t="s">
        <v>23</v>
      </c>
      <c r="F498" s="7">
        <v>42633</v>
      </c>
      <c r="G498" s="1" t="s">
        <v>577</v>
      </c>
      <c r="H498" s="7">
        <v>42657</v>
      </c>
      <c r="I498" s="1">
        <f>Europe_Sales_Records[[#This Row],[Ship Date]]-Europe_Sales_Records[[#This Row],[Order Date]]</f>
        <v>24</v>
      </c>
      <c r="J498" s="1">
        <v>8181</v>
      </c>
      <c r="K498" s="1">
        <v>109.28</v>
      </c>
      <c r="L498" s="1">
        <v>35.840000000000003</v>
      </c>
      <c r="M498" s="1">
        <f>Europe_Sales_Records[[#This Row],[Unit Price]]-Europe_Sales_Records[[#This Row],[Unit Cost]]</f>
        <v>73.44</v>
      </c>
      <c r="N498" s="1">
        <v>894019.68</v>
      </c>
      <c r="O498" s="6">
        <v>293207.03999999998</v>
      </c>
      <c r="P498" s="1">
        <v>600812.64</v>
      </c>
    </row>
    <row r="499" spans="1:16" x14ac:dyDescent="0.3">
      <c r="A499" s="1" t="s">
        <v>14</v>
      </c>
      <c r="B499" s="1" t="s">
        <v>219</v>
      </c>
      <c r="C499" s="1" t="s">
        <v>29</v>
      </c>
      <c r="D499" s="1" t="s">
        <v>22</v>
      </c>
      <c r="E499" s="1" t="s">
        <v>30</v>
      </c>
      <c r="F499" s="7">
        <v>42274</v>
      </c>
      <c r="G499" s="1" t="s">
        <v>578</v>
      </c>
      <c r="H499" s="7">
        <v>42307</v>
      </c>
      <c r="I499" s="1">
        <f>Europe_Sales_Records[[#This Row],[Ship Date]]-Europe_Sales_Records[[#This Row],[Order Date]]</f>
        <v>33</v>
      </c>
      <c r="J499" s="1">
        <v>7679</v>
      </c>
      <c r="K499" s="1">
        <v>651.21</v>
      </c>
      <c r="L499" s="1">
        <v>524.96</v>
      </c>
      <c r="M499" s="1">
        <f>Europe_Sales_Records[[#This Row],[Unit Price]]-Europe_Sales_Records[[#This Row],[Unit Cost]]</f>
        <v>126.25</v>
      </c>
      <c r="N499" s="1">
        <v>5000641.59</v>
      </c>
      <c r="O499" s="6">
        <v>4031167.84</v>
      </c>
      <c r="P499" s="1">
        <v>969473.75</v>
      </c>
    </row>
    <row r="500" spans="1:16" x14ac:dyDescent="0.3">
      <c r="A500" s="1" t="s">
        <v>14</v>
      </c>
      <c r="B500" s="1" t="s">
        <v>65</v>
      </c>
      <c r="C500" s="1" t="s">
        <v>39</v>
      </c>
      <c r="D500" s="1" t="s">
        <v>17</v>
      </c>
      <c r="E500" s="1" t="s">
        <v>23</v>
      </c>
      <c r="F500" s="7">
        <v>40610</v>
      </c>
      <c r="G500" s="1" t="s">
        <v>579</v>
      </c>
      <c r="H500" s="7">
        <v>40611</v>
      </c>
      <c r="I500" s="1">
        <f>Europe_Sales_Records[[#This Row],[Ship Date]]-Europe_Sales_Records[[#This Row],[Order Date]]</f>
        <v>1</v>
      </c>
      <c r="J500" s="1">
        <v>7454</v>
      </c>
      <c r="K500" s="1">
        <v>154.06</v>
      </c>
      <c r="L500" s="1">
        <v>90.93</v>
      </c>
      <c r="M500" s="1">
        <f>Europe_Sales_Records[[#This Row],[Unit Price]]-Europe_Sales_Records[[#This Row],[Unit Cost]]</f>
        <v>63.129999999999995</v>
      </c>
      <c r="N500" s="1">
        <v>1148363.24</v>
      </c>
      <c r="O500" s="6">
        <v>677792.22</v>
      </c>
      <c r="P500" s="1">
        <v>470571.02</v>
      </c>
    </row>
    <row r="501" spans="1:16" x14ac:dyDescent="0.3">
      <c r="A501" s="1" t="s">
        <v>14</v>
      </c>
      <c r="B501" s="1" t="s">
        <v>164</v>
      </c>
      <c r="C501" s="1" t="s">
        <v>21</v>
      </c>
      <c r="D501" s="1" t="s">
        <v>22</v>
      </c>
      <c r="E501" s="1" t="s">
        <v>23</v>
      </c>
      <c r="F501" s="7">
        <v>42133</v>
      </c>
      <c r="G501" s="1" t="s">
        <v>580</v>
      </c>
      <c r="H501" s="7">
        <v>42140</v>
      </c>
      <c r="I501" s="1">
        <f>Europe_Sales_Records[[#This Row],[Ship Date]]-Europe_Sales_Records[[#This Row],[Order Date]]</f>
        <v>7</v>
      </c>
      <c r="J501" s="1">
        <v>6311</v>
      </c>
      <c r="K501" s="1">
        <v>109.28</v>
      </c>
      <c r="L501" s="1">
        <v>35.840000000000003</v>
      </c>
      <c r="M501" s="1">
        <f>Europe_Sales_Records[[#This Row],[Unit Price]]-Europe_Sales_Records[[#This Row],[Unit Cost]]</f>
        <v>73.44</v>
      </c>
      <c r="N501" s="1">
        <v>689666.08</v>
      </c>
      <c r="O501" s="6">
        <v>226186.23999999999</v>
      </c>
      <c r="P501" s="1">
        <v>463479.84</v>
      </c>
    </row>
    <row r="502" spans="1:16" x14ac:dyDescent="0.3">
      <c r="A502" s="1" t="s">
        <v>14</v>
      </c>
      <c r="B502" s="1" t="s">
        <v>101</v>
      </c>
      <c r="C502" s="1" t="s">
        <v>60</v>
      </c>
      <c r="D502" s="1" t="s">
        <v>22</v>
      </c>
      <c r="E502" s="1" t="s">
        <v>23</v>
      </c>
      <c r="F502" s="7">
        <v>42457</v>
      </c>
      <c r="G502" s="1" t="s">
        <v>581</v>
      </c>
      <c r="H502" s="7">
        <v>42479</v>
      </c>
      <c r="I502" s="1">
        <f>Europe_Sales_Records[[#This Row],[Ship Date]]-Europe_Sales_Records[[#This Row],[Order Date]]</f>
        <v>22</v>
      </c>
      <c r="J502" s="1">
        <v>884</v>
      </c>
      <c r="K502" s="1">
        <v>437.2</v>
      </c>
      <c r="L502" s="1">
        <v>263.33</v>
      </c>
      <c r="M502" s="1">
        <f>Europe_Sales_Records[[#This Row],[Unit Price]]-Europe_Sales_Records[[#This Row],[Unit Cost]]</f>
        <v>173.87</v>
      </c>
      <c r="N502" s="1">
        <v>386484.8</v>
      </c>
      <c r="O502" s="6">
        <v>232783.72</v>
      </c>
      <c r="P502" s="1">
        <v>153701.07999999999</v>
      </c>
    </row>
    <row r="503" spans="1:16" x14ac:dyDescent="0.3">
      <c r="A503" s="1" t="s">
        <v>14</v>
      </c>
      <c r="B503" s="1" t="s">
        <v>127</v>
      </c>
      <c r="C503" s="1" t="s">
        <v>48</v>
      </c>
      <c r="D503" s="1" t="s">
        <v>17</v>
      </c>
      <c r="E503" s="1" t="s">
        <v>23</v>
      </c>
      <c r="F503" s="7">
        <v>41158</v>
      </c>
      <c r="G503" s="1" t="s">
        <v>582</v>
      </c>
      <c r="H503" s="7">
        <v>41202</v>
      </c>
      <c r="I503" s="1">
        <f>Europe_Sales_Records[[#This Row],[Ship Date]]-Europe_Sales_Records[[#This Row],[Order Date]]</f>
        <v>44</v>
      </c>
      <c r="J503" s="1">
        <v>5639</v>
      </c>
      <c r="K503" s="1">
        <v>152.58000000000001</v>
      </c>
      <c r="L503" s="1">
        <v>97.44</v>
      </c>
      <c r="M503" s="1">
        <f>Europe_Sales_Records[[#This Row],[Unit Price]]-Europe_Sales_Records[[#This Row],[Unit Cost]]</f>
        <v>55.140000000000015</v>
      </c>
      <c r="N503" s="1">
        <v>860398.62</v>
      </c>
      <c r="O503" s="6">
        <v>549464.16</v>
      </c>
      <c r="P503" s="1">
        <v>310934.46000000002</v>
      </c>
    </row>
    <row r="504" spans="1:16" x14ac:dyDescent="0.3">
      <c r="A504" s="1" t="s">
        <v>14</v>
      </c>
      <c r="B504" s="1" t="s">
        <v>150</v>
      </c>
      <c r="C504" s="1" t="s">
        <v>33</v>
      </c>
      <c r="D504" s="1" t="s">
        <v>17</v>
      </c>
      <c r="E504" s="1" t="s">
        <v>30</v>
      </c>
      <c r="F504" s="7">
        <v>42433</v>
      </c>
      <c r="G504" s="1" t="s">
        <v>583</v>
      </c>
      <c r="H504" s="7">
        <v>42455</v>
      </c>
      <c r="I504" s="1">
        <f>Europe_Sales_Records[[#This Row],[Ship Date]]-Europe_Sales_Records[[#This Row],[Order Date]]</f>
        <v>22</v>
      </c>
      <c r="J504" s="1">
        <v>5258</v>
      </c>
      <c r="K504" s="1">
        <v>9.33</v>
      </c>
      <c r="L504" s="1">
        <v>6.92</v>
      </c>
      <c r="M504" s="1">
        <f>Europe_Sales_Records[[#This Row],[Unit Price]]-Europe_Sales_Records[[#This Row],[Unit Cost]]</f>
        <v>2.41</v>
      </c>
      <c r="N504" s="1">
        <v>49057.14</v>
      </c>
      <c r="O504" s="6">
        <v>36385.360000000001</v>
      </c>
      <c r="P504" s="1">
        <v>12671.78</v>
      </c>
    </row>
    <row r="505" spans="1:16" x14ac:dyDescent="0.3">
      <c r="A505" s="1" t="s">
        <v>14</v>
      </c>
      <c r="B505" s="1" t="s">
        <v>25</v>
      </c>
      <c r="C505" s="1" t="s">
        <v>29</v>
      </c>
      <c r="D505" s="1" t="s">
        <v>17</v>
      </c>
      <c r="E505" s="1" t="s">
        <v>18</v>
      </c>
      <c r="F505" s="7">
        <v>42084</v>
      </c>
      <c r="G505" s="1" t="s">
        <v>584</v>
      </c>
      <c r="H505" s="7">
        <v>42131</v>
      </c>
      <c r="I505" s="1">
        <f>Europe_Sales_Records[[#This Row],[Ship Date]]-Europe_Sales_Records[[#This Row],[Order Date]]</f>
        <v>47</v>
      </c>
      <c r="J505" s="1">
        <v>5839</v>
      </c>
      <c r="K505" s="1">
        <v>651.21</v>
      </c>
      <c r="L505" s="1">
        <v>524.96</v>
      </c>
      <c r="M505" s="1">
        <f>Europe_Sales_Records[[#This Row],[Unit Price]]-Europe_Sales_Records[[#This Row],[Unit Cost]]</f>
        <v>126.25</v>
      </c>
      <c r="N505" s="1">
        <v>3802415.19</v>
      </c>
      <c r="O505" s="6">
        <v>3065241.44</v>
      </c>
      <c r="P505" s="1">
        <v>737173.75</v>
      </c>
    </row>
    <row r="506" spans="1:16" x14ac:dyDescent="0.3">
      <c r="A506" s="1" t="s">
        <v>14</v>
      </c>
      <c r="B506" s="1" t="s">
        <v>44</v>
      </c>
      <c r="C506" s="1" t="s">
        <v>52</v>
      </c>
      <c r="D506" s="1" t="s">
        <v>17</v>
      </c>
      <c r="E506" s="1" t="s">
        <v>18</v>
      </c>
      <c r="F506" s="7">
        <v>41889</v>
      </c>
      <c r="G506" s="1" t="s">
        <v>585</v>
      </c>
      <c r="H506" s="7">
        <v>41928</v>
      </c>
      <c r="I506" s="1">
        <f>Europe_Sales_Records[[#This Row],[Ship Date]]-Europe_Sales_Records[[#This Row],[Order Date]]</f>
        <v>39</v>
      </c>
      <c r="J506" s="1">
        <v>8678</v>
      </c>
      <c r="K506" s="1">
        <v>255.28</v>
      </c>
      <c r="L506" s="1">
        <v>159.41999999999999</v>
      </c>
      <c r="M506" s="1">
        <f>Europe_Sales_Records[[#This Row],[Unit Price]]-Europe_Sales_Records[[#This Row],[Unit Cost]]</f>
        <v>95.860000000000014</v>
      </c>
      <c r="N506" s="1">
        <v>2215319.84</v>
      </c>
      <c r="O506" s="6">
        <v>1383446.76</v>
      </c>
      <c r="P506" s="1">
        <v>831873.08</v>
      </c>
    </row>
    <row r="507" spans="1:16" x14ac:dyDescent="0.3">
      <c r="A507" s="1" t="s">
        <v>14</v>
      </c>
      <c r="B507" s="1" t="s">
        <v>150</v>
      </c>
      <c r="C507" s="1" t="s">
        <v>57</v>
      </c>
      <c r="D507" s="1" t="s">
        <v>22</v>
      </c>
      <c r="E507" s="1" t="s">
        <v>18</v>
      </c>
      <c r="F507" s="7">
        <v>41781</v>
      </c>
      <c r="G507" s="1" t="s">
        <v>586</v>
      </c>
      <c r="H507" s="7">
        <v>41809</v>
      </c>
      <c r="I507" s="1">
        <f>Europe_Sales_Records[[#This Row],[Ship Date]]-Europe_Sales_Records[[#This Row],[Order Date]]</f>
        <v>28</v>
      </c>
      <c r="J507" s="1">
        <v>3227</v>
      </c>
      <c r="K507" s="1">
        <v>668.27</v>
      </c>
      <c r="L507" s="1">
        <v>502.54</v>
      </c>
      <c r="M507" s="1">
        <f>Europe_Sales_Records[[#This Row],[Unit Price]]-Europe_Sales_Records[[#This Row],[Unit Cost]]</f>
        <v>165.72999999999996</v>
      </c>
      <c r="N507" s="1">
        <v>2156507.29</v>
      </c>
      <c r="O507" s="6">
        <v>1621696.58</v>
      </c>
      <c r="P507" s="1">
        <v>534810.71</v>
      </c>
    </row>
    <row r="508" spans="1:16" x14ac:dyDescent="0.3">
      <c r="A508" s="1" t="s">
        <v>14</v>
      </c>
      <c r="B508" s="1" t="s">
        <v>106</v>
      </c>
      <c r="C508" s="1" t="s">
        <v>42</v>
      </c>
      <c r="D508" s="1" t="s">
        <v>22</v>
      </c>
      <c r="E508" s="1" t="s">
        <v>45</v>
      </c>
      <c r="F508" s="7">
        <v>41169</v>
      </c>
      <c r="G508" s="1" t="s">
        <v>587</v>
      </c>
      <c r="H508" s="7">
        <v>41197</v>
      </c>
      <c r="I508" s="1">
        <f>Europe_Sales_Records[[#This Row],[Ship Date]]-Europe_Sales_Records[[#This Row],[Order Date]]</f>
        <v>28</v>
      </c>
      <c r="J508" s="1">
        <v>306</v>
      </c>
      <c r="K508" s="1">
        <v>421.89</v>
      </c>
      <c r="L508" s="1">
        <v>364.69</v>
      </c>
      <c r="M508" s="1">
        <f>Europe_Sales_Records[[#This Row],[Unit Price]]-Europe_Sales_Records[[#This Row],[Unit Cost]]</f>
        <v>57.199999999999989</v>
      </c>
      <c r="N508" s="1">
        <v>129098.34</v>
      </c>
      <c r="O508" s="6">
        <v>111595.14</v>
      </c>
      <c r="P508" s="1">
        <v>17503.2</v>
      </c>
    </row>
    <row r="509" spans="1:16" x14ac:dyDescent="0.3">
      <c r="A509" s="1" t="s">
        <v>14</v>
      </c>
      <c r="B509" s="1" t="s">
        <v>41</v>
      </c>
      <c r="C509" s="1" t="s">
        <v>60</v>
      </c>
      <c r="D509" s="1" t="s">
        <v>22</v>
      </c>
      <c r="E509" s="1" t="s">
        <v>23</v>
      </c>
      <c r="F509" s="7">
        <v>42109</v>
      </c>
      <c r="G509" s="1" t="s">
        <v>588</v>
      </c>
      <c r="H509" s="7">
        <v>42152</v>
      </c>
      <c r="I509" s="1">
        <f>Europe_Sales_Records[[#This Row],[Ship Date]]-Europe_Sales_Records[[#This Row],[Order Date]]</f>
        <v>43</v>
      </c>
      <c r="J509" s="1">
        <v>905</v>
      </c>
      <c r="K509" s="1">
        <v>437.2</v>
      </c>
      <c r="L509" s="1">
        <v>263.33</v>
      </c>
      <c r="M509" s="1">
        <f>Europe_Sales_Records[[#This Row],[Unit Price]]-Europe_Sales_Records[[#This Row],[Unit Cost]]</f>
        <v>173.87</v>
      </c>
      <c r="N509" s="1">
        <v>395666</v>
      </c>
      <c r="O509" s="6">
        <v>238313.65</v>
      </c>
      <c r="P509" s="1">
        <v>157352.35</v>
      </c>
    </row>
    <row r="510" spans="1:16" x14ac:dyDescent="0.3">
      <c r="A510" s="1" t="s">
        <v>14</v>
      </c>
      <c r="B510" s="1" t="s">
        <v>54</v>
      </c>
      <c r="C510" s="1" t="s">
        <v>42</v>
      </c>
      <c r="D510" s="1" t="s">
        <v>22</v>
      </c>
      <c r="E510" s="1" t="s">
        <v>23</v>
      </c>
      <c r="F510" s="7">
        <v>40460</v>
      </c>
      <c r="G510" s="1" t="s">
        <v>589</v>
      </c>
      <c r="H510" s="7">
        <v>40502</v>
      </c>
      <c r="I510" s="1">
        <f>Europe_Sales_Records[[#This Row],[Ship Date]]-Europe_Sales_Records[[#This Row],[Order Date]]</f>
        <v>42</v>
      </c>
      <c r="J510" s="1">
        <v>3664</v>
      </c>
      <c r="K510" s="1">
        <v>421.89</v>
      </c>
      <c r="L510" s="1">
        <v>364.69</v>
      </c>
      <c r="M510" s="1">
        <f>Europe_Sales_Records[[#This Row],[Unit Price]]-Europe_Sales_Records[[#This Row],[Unit Cost]]</f>
        <v>57.199999999999989</v>
      </c>
      <c r="N510" s="1">
        <v>1545804.96</v>
      </c>
      <c r="O510" s="6">
        <v>1336224.1599999999</v>
      </c>
      <c r="P510" s="1">
        <v>209580.79999999999</v>
      </c>
    </row>
    <row r="511" spans="1:16" x14ac:dyDescent="0.3">
      <c r="A511" s="1" t="s">
        <v>14</v>
      </c>
      <c r="B511" s="1" t="s">
        <v>56</v>
      </c>
      <c r="C511" s="1" t="s">
        <v>57</v>
      </c>
      <c r="D511" s="1" t="s">
        <v>22</v>
      </c>
      <c r="E511" s="1" t="s">
        <v>45</v>
      </c>
      <c r="F511" s="7">
        <v>42828</v>
      </c>
      <c r="G511" s="1" t="s">
        <v>590</v>
      </c>
      <c r="H511" s="7">
        <v>42866</v>
      </c>
      <c r="I511" s="1">
        <f>Europe_Sales_Records[[#This Row],[Ship Date]]-Europe_Sales_Records[[#This Row],[Order Date]]</f>
        <v>38</v>
      </c>
      <c r="J511" s="1">
        <v>7416</v>
      </c>
      <c r="K511" s="1">
        <v>668.27</v>
      </c>
      <c r="L511" s="1">
        <v>502.54</v>
      </c>
      <c r="M511" s="1">
        <f>Europe_Sales_Records[[#This Row],[Unit Price]]-Europe_Sales_Records[[#This Row],[Unit Cost]]</f>
        <v>165.72999999999996</v>
      </c>
      <c r="N511" s="1">
        <v>4955890.32</v>
      </c>
      <c r="O511" s="6">
        <v>3726836.64</v>
      </c>
      <c r="P511" s="1">
        <v>1229053.68</v>
      </c>
    </row>
    <row r="512" spans="1:16" x14ac:dyDescent="0.3">
      <c r="A512" s="1" t="s">
        <v>14</v>
      </c>
      <c r="B512" s="1" t="s">
        <v>129</v>
      </c>
      <c r="C512" s="1" t="s">
        <v>42</v>
      </c>
      <c r="D512" s="1" t="s">
        <v>22</v>
      </c>
      <c r="E512" s="1" t="s">
        <v>45</v>
      </c>
      <c r="F512" s="7">
        <v>41590</v>
      </c>
      <c r="G512" s="1" t="s">
        <v>591</v>
      </c>
      <c r="H512" s="7">
        <v>41615</v>
      </c>
      <c r="I512" s="1">
        <f>Europe_Sales_Records[[#This Row],[Ship Date]]-Europe_Sales_Records[[#This Row],[Order Date]]</f>
        <v>25</v>
      </c>
      <c r="J512" s="1">
        <v>6666</v>
      </c>
      <c r="K512" s="1">
        <v>421.89</v>
      </c>
      <c r="L512" s="1">
        <v>364.69</v>
      </c>
      <c r="M512" s="1">
        <f>Europe_Sales_Records[[#This Row],[Unit Price]]-Europe_Sales_Records[[#This Row],[Unit Cost]]</f>
        <v>57.199999999999989</v>
      </c>
      <c r="N512" s="1">
        <v>2812318.74</v>
      </c>
      <c r="O512" s="6">
        <v>2431023.54</v>
      </c>
      <c r="P512" s="1">
        <v>381295.2</v>
      </c>
    </row>
    <row r="513" spans="1:16" x14ac:dyDescent="0.3">
      <c r="A513" s="1" t="s">
        <v>14</v>
      </c>
      <c r="B513" s="1" t="s">
        <v>118</v>
      </c>
      <c r="C513" s="1" t="s">
        <v>52</v>
      </c>
      <c r="D513" s="1" t="s">
        <v>17</v>
      </c>
      <c r="E513" s="1" t="s">
        <v>30</v>
      </c>
      <c r="F513" s="7">
        <v>40685</v>
      </c>
      <c r="G513" s="1" t="s">
        <v>592</v>
      </c>
      <c r="H513" s="7">
        <v>40711</v>
      </c>
      <c r="I513" s="1">
        <f>Europe_Sales_Records[[#This Row],[Ship Date]]-Europe_Sales_Records[[#This Row],[Order Date]]</f>
        <v>26</v>
      </c>
      <c r="J513" s="1">
        <v>6285</v>
      </c>
      <c r="K513" s="1">
        <v>255.28</v>
      </c>
      <c r="L513" s="1">
        <v>159.41999999999999</v>
      </c>
      <c r="M513" s="1">
        <f>Europe_Sales_Records[[#This Row],[Unit Price]]-Europe_Sales_Records[[#This Row],[Unit Cost]]</f>
        <v>95.860000000000014</v>
      </c>
      <c r="N513" s="1">
        <v>1604434.8</v>
      </c>
      <c r="O513" s="6">
        <v>1001954.7</v>
      </c>
      <c r="P513" s="1">
        <v>602480.1</v>
      </c>
    </row>
    <row r="514" spans="1:16" x14ac:dyDescent="0.3">
      <c r="A514" s="1" t="s">
        <v>14</v>
      </c>
      <c r="B514" s="1" t="s">
        <v>59</v>
      </c>
      <c r="C514" s="1" t="s">
        <v>16</v>
      </c>
      <c r="D514" s="1" t="s">
        <v>22</v>
      </c>
      <c r="E514" s="1" t="s">
        <v>45</v>
      </c>
      <c r="F514" s="7">
        <v>42087</v>
      </c>
      <c r="G514" s="1" t="s">
        <v>593</v>
      </c>
      <c r="H514" s="7">
        <v>42091</v>
      </c>
      <c r="I514" s="1">
        <f>Europe_Sales_Records[[#This Row],[Ship Date]]-Europe_Sales_Records[[#This Row],[Order Date]]</f>
        <v>4</v>
      </c>
      <c r="J514" s="1">
        <v>1797</v>
      </c>
      <c r="K514" s="1">
        <v>47.45</v>
      </c>
      <c r="L514" s="1">
        <v>31.79</v>
      </c>
      <c r="M514" s="1">
        <f>Europe_Sales_Records[[#This Row],[Unit Price]]-Europe_Sales_Records[[#This Row],[Unit Cost]]</f>
        <v>15.660000000000004</v>
      </c>
      <c r="N514" s="1">
        <v>85267.65</v>
      </c>
      <c r="O514" s="6">
        <v>57126.63</v>
      </c>
      <c r="P514" s="1">
        <v>28141.02</v>
      </c>
    </row>
    <row r="515" spans="1:16" x14ac:dyDescent="0.3">
      <c r="A515" s="1" t="s">
        <v>14</v>
      </c>
      <c r="B515" s="1" t="s">
        <v>131</v>
      </c>
      <c r="C515" s="1" t="s">
        <v>52</v>
      </c>
      <c r="D515" s="1" t="s">
        <v>17</v>
      </c>
      <c r="E515" s="1" t="s">
        <v>18</v>
      </c>
      <c r="F515" s="7">
        <v>40355</v>
      </c>
      <c r="G515" s="1" t="s">
        <v>594</v>
      </c>
      <c r="H515" s="7">
        <v>40379</v>
      </c>
      <c r="I515" s="1">
        <f>Europe_Sales_Records[[#This Row],[Ship Date]]-Europe_Sales_Records[[#This Row],[Order Date]]</f>
        <v>24</v>
      </c>
      <c r="J515" s="1">
        <v>4377</v>
      </c>
      <c r="K515" s="1">
        <v>255.28</v>
      </c>
      <c r="L515" s="1">
        <v>159.41999999999999</v>
      </c>
      <c r="M515" s="1">
        <f>Europe_Sales_Records[[#This Row],[Unit Price]]-Europe_Sales_Records[[#This Row],[Unit Cost]]</f>
        <v>95.860000000000014</v>
      </c>
      <c r="N515" s="1">
        <v>1117360.56</v>
      </c>
      <c r="O515" s="6">
        <v>697781.34</v>
      </c>
      <c r="P515" s="1">
        <v>419579.22</v>
      </c>
    </row>
    <row r="516" spans="1:16" x14ac:dyDescent="0.3">
      <c r="A516" s="1" t="s">
        <v>14</v>
      </c>
      <c r="B516" s="1" t="s">
        <v>32</v>
      </c>
      <c r="C516" s="1" t="s">
        <v>33</v>
      </c>
      <c r="D516" s="1" t="s">
        <v>17</v>
      </c>
      <c r="E516" s="1" t="s">
        <v>30</v>
      </c>
      <c r="F516" s="7">
        <v>41330</v>
      </c>
      <c r="G516" s="1" t="s">
        <v>595</v>
      </c>
      <c r="H516" s="7">
        <v>41345</v>
      </c>
      <c r="I516" s="1">
        <f>Europe_Sales_Records[[#This Row],[Ship Date]]-Europe_Sales_Records[[#This Row],[Order Date]]</f>
        <v>15</v>
      </c>
      <c r="J516" s="1">
        <v>9616</v>
      </c>
      <c r="K516" s="1">
        <v>9.33</v>
      </c>
      <c r="L516" s="1">
        <v>6.92</v>
      </c>
      <c r="M516" s="1">
        <f>Europe_Sales_Records[[#This Row],[Unit Price]]-Europe_Sales_Records[[#This Row],[Unit Cost]]</f>
        <v>2.41</v>
      </c>
      <c r="N516" s="1">
        <v>89717.28</v>
      </c>
      <c r="O516" s="6">
        <v>66542.720000000001</v>
      </c>
      <c r="P516" s="1">
        <v>23174.560000000001</v>
      </c>
    </row>
    <row r="517" spans="1:16" x14ac:dyDescent="0.3">
      <c r="A517" s="1" t="s">
        <v>14</v>
      </c>
      <c r="B517" s="1" t="s">
        <v>180</v>
      </c>
      <c r="C517" s="1" t="s">
        <v>29</v>
      </c>
      <c r="D517" s="1" t="s">
        <v>17</v>
      </c>
      <c r="E517" s="1" t="s">
        <v>18</v>
      </c>
      <c r="F517" s="7">
        <v>41805</v>
      </c>
      <c r="G517" s="1" t="s">
        <v>596</v>
      </c>
      <c r="H517" s="7">
        <v>41825</v>
      </c>
      <c r="I517" s="1">
        <f>Europe_Sales_Records[[#This Row],[Ship Date]]-Europe_Sales_Records[[#This Row],[Order Date]]</f>
        <v>20</v>
      </c>
      <c r="J517" s="1">
        <v>6707</v>
      </c>
      <c r="K517" s="1">
        <v>651.21</v>
      </c>
      <c r="L517" s="1">
        <v>524.96</v>
      </c>
      <c r="M517" s="1">
        <f>Europe_Sales_Records[[#This Row],[Unit Price]]-Europe_Sales_Records[[#This Row],[Unit Cost]]</f>
        <v>126.25</v>
      </c>
      <c r="N517" s="1">
        <v>4367665.47</v>
      </c>
      <c r="O517" s="6">
        <v>3520906.72</v>
      </c>
      <c r="P517" s="1">
        <v>846758.75</v>
      </c>
    </row>
    <row r="518" spans="1:16" x14ac:dyDescent="0.3">
      <c r="A518" s="1" t="s">
        <v>14</v>
      </c>
      <c r="B518" s="1" t="s">
        <v>87</v>
      </c>
      <c r="C518" s="1" t="s">
        <v>33</v>
      </c>
      <c r="D518" s="1" t="s">
        <v>17</v>
      </c>
      <c r="E518" s="1" t="s">
        <v>23</v>
      </c>
      <c r="F518" s="7">
        <v>40897</v>
      </c>
      <c r="G518" s="1" t="s">
        <v>597</v>
      </c>
      <c r="H518" s="7">
        <v>40901</v>
      </c>
      <c r="I518" s="1">
        <f>Europe_Sales_Records[[#This Row],[Ship Date]]-Europe_Sales_Records[[#This Row],[Order Date]]</f>
        <v>4</v>
      </c>
      <c r="J518" s="1">
        <v>3229</v>
      </c>
      <c r="K518" s="1">
        <v>9.33</v>
      </c>
      <c r="L518" s="1">
        <v>6.92</v>
      </c>
      <c r="M518" s="1">
        <f>Europe_Sales_Records[[#This Row],[Unit Price]]-Europe_Sales_Records[[#This Row],[Unit Cost]]</f>
        <v>2.41</v>
      </c>
      <c r="N518" s="1">
        <v>30126.57</v>
      </c>
      <c r="O518" s="6">
        <v>22344.68</v>
      </c>
      <c r="P518" s="1">
        <v>7781.89</v>
      </c>
    </row>
    <row r="519" spans="1:16" x14ac:dyDescent="0.3">
      <c r="A519" s="1" t="s">
        <v>14</v>
      </c>
      <c r="B519" s="1" t="s">
        <v>63</v>
      </c>
      <c r="C519" s="1" t="s">
        <v>79</v>
      </c>
      <c r="D519" s="1" t="s">
        <v>17</v>
      </c>
      <c r="E519" s="1" t="s">
        <v>18</v>
      </c>
      <c r="F519" s="7">
        <v>40845</v>
      </c>
      <c r="G519" s="1" t="s">
        <v>598</v>
      </c>
      <c r="H519" s="7">
        <v>40860</v>
      </c>
      <c r="I519" s="1">
        <f>Europe_Sales_Records[[#This Row],[Ship Date]]-Europe_Sales_Records[[#This Row],[Order Date]]</f>
        <v>15</v>
      </c>
      <c r="J519" s="1">
        <v>8732</v>
      </c>
      <c r="K519" s="1">
        <v>81.73</v>
      </c>
      <c r="L519" s="1">
        <v>56.67</v>
      </c>
      <c r="M519" s="1">
        <f>Europe_Sales_Records[[#This Row],[Unit Price]]-Europe_Sales_Records[[#This Row],[Unit Cost]]</f>
        <v>25.060000000000002</v>
      </c>
      <c r="N519" s="1">
        <v>713666.36</v>
      </c>
      <c r="O519" s="6">
        <v>494842.44</v>
      </c>
      <c r="P519" s="1">
        <v>218823.92</v>
      </c>
    </row>
    <row r="520" spans="1:16" x14ac:dyDescent="0.3">
      <c r="A520" s="1" t="s">
        <v>14</v>
      </c>
      <c r="B520" s="1" t="s">
        <v>127</v>
      </c>
      <c r="C520" s="1" t="s">
        <v>57</v>
      </c>
      <c r="D520" s="1" t="s">
        <v>22</v>
      </c>
      <c r="E520" s="1" t="s">
        <v>45</v>
      </c>
      <c r="F520" s="7">
        <v>42788</v>
      </c>
      <c r="G520" s="1" t="s">
        <v>599</v>
      </c>
      <c r="H520" s="7">
        <v>42810</v>
      </c>
      <c r="I520" s="1">
        <f>Europe_Sales_Records[[#This Row],[Ship Date]]-Europe_Sales_Records[[#This Row],[Order Date]]</f>
        <v>22</v>
      </c>
      <c r="J520" s="1">
        <v>2304</v>
      </c>
      <c r="K520" s="1">
        <v>668.27</v>
      </c>
      <c r="L520" s="1">
        <v>502.54</v>
      </c>
      <c r="M520" s="1">
        <f>Europe_Sales_Records[[#This Row],[Unit Price]]-Europe_Sales_Records[[#This Row],[Unit Cost]]</f>
        <v>165.72999999999996</v>
      </c>
      <c r="N520" s="1">
        <v>1539694.08</v>
      </c>
      <c r="O520" s="6">
        <v>1157852.1599999999</v>
      </c>
      <c r="P520" s="1">
        <v>381841.91999999998</v>
      </c>
    </row>
    <row r="521" spans="1:16" x14ac:dyDescent="0.3">
      <c r="A521" s="1" t="s">
        <v>14</v>
      </c>
      <c r="B521" s="1" t="s">
        <v>77</v>
      </c>
      <c r="C521" s="1" t="s">
        <v>42</v>
      </c>
      <c r="D521" s="1" t="s">
        <v>22</v>
      </c>
      <c r="E521" s="1" t="s">
        <v>45</v>
      </c>
      <c r="F521" s="7">
        <v>42087</v>
      </c>
      <c r="G521" s="1" t="s">
        <v>600</v>
      </c>
      <c r="H521" s="7">
        <v>42129</v>
      </c>
      <c r="I521" s="1">
        <f>Europe_Sales_Records[[#This Row],[Ship Date]]-Europe_Sales_Records[[#This Row],[Order Date]]</f>
        <v>42</v>
      </c>
      <c r="J521" s="1">
        <v>8509</v>
      </c>
      <c r="K521" s="1">
        <v>421.89</v>
      </c>
      <c r="L521" s="1">
        <v>364.69</v>
      </c>
      <c r="M521" s="1">
        <f>Europe_Sales_Records[[#This Row],[Unit Price]]-Europe_Sales_Records[[#This Row],[Unit Cost]]</f>
        <v>57.199999999999989</v>
      </c>
      <c r="N521" s="1">
        <v>3589862.01</v>
      </c>
      <c r="O521" s="6">
        <v>3103147.21</v>
      </c>
      <c r="P521" s="1">
        <v>486714.8</v>
      </c>
    </row>
    <row r="522" spans="1:16" x14ac:dyDescent="0.3">
      <c r="A522" s="1" t="s">
        <v>14</v>
      </c>
      <c r="B522" s="1" t="s">
        <v>67</v>
      </c>
      <c r="C522" s="1" t="s">
        <v>29</v>
      </c>
      <c r="D522" s="1" t="s">
        <v>22</v>
      </c>
      <c r="E522" s="1" t="s">
        <v>23</v>
      </c>
      <c r="F522" s="7">
        <v>42695</v>
      </c>
      <c r="G522" s="1" t="s">
        <v>601</v>
      </c>
      <c r="H522" s="7">
        <v>42726</v>
      </c>
      <c r="I522" s="1">
        <f>Europe_Sales_Records[[#This Row],[Ship Date]]-Europe_Sales_Records[[#This Row],[Order Date]]</f>
        <v>31</v>
      </c>
      <c r="J522" s="1">
        <v>4832</v>
      </c>
      <c r="K522" s="1">
        <v>651.21</v>
      </c>
      <c r="L522" s="1">
        <v>524.96</v>
      </c>
      <c r="M522" s="1">
        <f>Europe_Sales_Records[[#This Row],[Unit Price]]-Europe_Sales_Records[[#This Row],[Unit Cost]]</f>
        <v>126.25</v>
      </c>
      <c r="N522" s="1">
        <v>3146646.72</v>
      </c>
      <c r="O522" s="6">
        <v>2536606.7200000002</v>
      </c>
      <c r="P522" s="1">
        <v>610040</v>
      </c>
    </row>
    <row r="523" spans="1:16" x14ac:dyDescent="0.3">
      <c r="A523" s="1" t="s">
        <v>14</v>
      </c>
      <c r="B523" s="1" t="s">
        <v>41</v>
      </c>
      <c r="C523" s="1" t="s">
        <v>16</v>
      </c>
      <c r="D523" s="1" t="s">
        <v>22</v>
      </c>
      <c r="E523" s="1" t="s">
        <v>30</v>
      </c>
      <c r="F523" s="7">
        <v>42829</v>
      </c>
      <c r="G523" s="1" t="s">
        <v>602</v>
      </c>
      <c r="H523" s="7">
        <v>42871</v>
      </c>
      <c r="I523" s="1">
        <f>Europe_Sales_Records[[#This Row],[Ship Date]]-Europe_Sales_Records[[#This Row],[Order Date]]</f>
        <v>42</v>
      </c>
      <c r="J523" s="1">
        <v>4133</v>
      </c>
      <c r="K523" s="1">
        <v>47.45</v>
      </c>
      <c r="L523" s="1">
        <v>31.79</v>
      </c>
      <c r="M523" s="1">
        <f>Europe_Sales_Records[[#This Row],[Unit Price]]-Europe_Sales_Records[[#This Row],[Unit Cost]]</f>
        <v>15.660000000000004</v>
      </c>
      <c r="N523" s="1">
        <v>196110.85</v>
      </c>
      <c r="O523" s="6">
        <v>131388.07</v>
      </c>
      <c r="P523" s="1">
        <v>64722.78</v>
      </c>
    </row>
    <row r="524" spans="1:16" x14ac:dyDescent="0.3">
      <c r="A524" s="1" t="s">
        <v>14</v>
      </c>
      <c r="B524" s="1" t="s">
        <v>164</v>
      </c>
      <c r="C524" s="1" t="s">
        <v>57</v>
      </c>
      <c r="D524" s="1" t="s">
        <v>22</v>
      </c>
      <c r="E524" s="1" t="s">
        <v>18</v>
      </c>
      <c r="F524" s="7">
        <v>42399</v>
      </c>
      <c r="G524" s="1" t="s">
        <v>603</v>
      </c>
      <c r="H524" s="7">
        <v>42430</v>
      </c>
      <c r="I524" s="1">
        <f>Europe_Sales_Records[[#This Row],[Ship Date]]-Europe_Sales_Records[[#This Row],[Order Date]]</f>
        <v>31</v>
      </c>
      <c r="J524" s="1">
        <v>5124</v>
      </c>
      <c r="K524" s="1">
        <v>668.27</v>
      </c>
      <c r="L524" s="1">
        <v>502.54</v>
      </c>
      <c r="M524" s="1">
        <f>Europe_Sales_Records[[#This Row],[Unit Price]]-Europe_Sales_Records[[#This Row],[Unit Cost]]</f>
        <v>165.72999999999996</v>
      </c>
      <c r="N524" s="1">
        <v>3424215.48</v>
      </c>
      <c r="O524" s="6">
        <v>2575014.96</v>
      </c>
      <c r="P524" s="1">
        <v>849200.52</v>
      </c>
    </row>
    <row r="525" spans="1:16" x14ac:dyDescent="0.3">
      <c r="A525" s="1" t="s">
        <v>14</v>
      </c>
      <c r="B525" s="1" t="s">
        <v>25</v>
      </c>
      <c r="C525" s="1" t="s">
        <v>48</v>
      </c>
      <c r="D525" s="1" t="s">
        <v>17</v>
      </c>
      <c r="E525" s="1" t="s">
        <v>23</v>
      </c>
      <c r="F525" s="7">
        <v>41466</v>
      </c>
      <c r="G525" s="1" t="s">
        <v>604</v>
      </c>
      <c r="H525" s="7">
        <v>41475</v>
      </c>
      <c r="I525" s="1">
        <f>Europe_Sales_Records[[#This Row],[Ship Date]]-Europe_Sales_Records[[#This Row],[Order Date]]</f>
        <v>9</v>
      </c>
      <c r="J525" s="1">
        <v>6873</v>
      </c>
      <c r="K525" s="1">
        <v>152.58000000000001</v>
      </c>
      <c r="L525" s="1">
        <v>97.44</v>
      </c>
      <c r="M525" s="1">
        <f>Europe_Sales_Records[[#This Row],[Unit Price]]-Europe_Sales_Records[[#This Row],[Unit Cost]]</f>
        <v>55.140000000000015</v>
      </c>
      <c r="N525" s="1">
        <v>1048682.3400000001</v>
      </c>
      <c r="O525" s="6">
        <v>669705.12</v>
      </c>
      <c r="P525" s="1">
        <v>378977.22</v>
      </c>
    </row>
    <row r="526" spans="1:16" x14ac:dyDescent="0.3">
      <c r="A526" s="1" t="s">
        <v>14</v>
      </c>
      <c r="B526" s="1" t="s">
        <v>116</v>
      </c>
      <c r="C526" s="1" t="s">
        <v>42</v>
      </c>
      <c r="D526" s="1" t="s">
        <v>22</v>
      </c>
      <c r="E526" s="1" t="s">
        <v>18</v>
      </c>
      <c r="F526" s="7">
        <v>41778</v>
      </c>
      <c r="G526" s="1" t="s">
        <v>605</v>
      </c>
      <c r="H526" s="7">
        <v>41793</v>
      </c>
      <c r="I526" s="1">
        <f>Europe_Sales_Records[[#This Row],[Ship Date]]-Europe_Sales_Records[[#This Row],[Order Date]]</f>
        <v>15</v>
      </c>
      <c r="J526" s="1">
        <v>6986</v>
      </c>
      <c r="K526" s="1">
        <v>421.89</v>
      </c>
      <c r="L526" s="1">
        <v>364.69</v>
      </c>
      <c r="M526" s="1">
        <f>Europe_Sales_Records[[#This Row],[Unit Price]]-Europe_Sales_Records[[#This Row],[Unit Cost]]</f>
        <v>57.199999999999989</v>
      </c>
      <c r="N526" s="1">
        <v>2947323.54</v>
      </c>
      <c r="O526" s="6">
        <v>2547724.34</v>
      </c>
      <c r="P526" s="1">
        <v>399599.2</v>
      </c>
    </row>
    <row r="527" spans="1:16" x14ac:dyDescent="0.3">
      <c r="A527" s="1" t="s">
        <v>14</v>
      </c>
      <c r="B527" s="1" t="s">
        <v>129</v>
      </c>
      <c r="C527" s="1" t="s">
        <v>60</v>
      </c>
      <c r="D527" s="1" t="s">
        <v>22</v>
      </c>
      <c r="E527" s="1" t="s">
        <v>18</v>
      </c>
      <c r="F527" s="7">
        <v>42906</v>
      </c>
      <c r="G527" s="1" t="s">
        <v>606</v>
      </c>
      <c r="H527" s="7">
        <v>42914</v>
      </c>
      <c r="I527" s="1">
        <f>Europe_Sales_Records[[#This Row],[Ship Date]]-Europe_Sales_Records[[#This Row],[Order Date]]</f>
        <v>8</v>
      </c>
      <c r="J527" s="1">
        <v>8196</v>
      </c>
      <c r="K527" s="1">
        <v>437.2</v>
      </c>
      <c r="L527" s="1">
        <v>263.33</v>
      </c>
      <c r="M527" s="1">
        <f>Europe_Sales_Records[[#This Row],[Unit Price]]-Europe_Sales_Records[[#This Row],[Unit Cost]]</f>
        <v>173.87</v>
      </c>
      <c r="N527" s="1">
        <v>3583291.2</v>
      </c>
      <c r="O527" s="6">
        <v>2158252.6800000002</v>
      </c>
      <c r="P527" s="1">
        <v>1425038.52</v>
      </c>
    </row>
    <row r="528" spans="1:16" x14ac:dyDescent="0.3">
      <c r="A528" s="1" t="s">
        <v>14</v>
      </c>
      <c r="B528" s="1" t="s">
        <v>15</v>
      </c>
      <c r="C528" s="1" t="s">
        <v>42</v>
      </c>
      <c r="D528" s="1" t="s">
        <v>22</v>
      </c>
      <c r="E528" s="1" t="s">
        <v>45</v>
      </c>
      <c r="F528" s="7">
        <v>42026</v>
      </c>
      <c r="G528" s="1" t="s">
        <v>607</v>
      </c>
      <c r="H528" s="7">
        <v>42076</v>
      </c>
      <c r="I528" s="1">
        <f>Europe_Sales_Records[[#This Row],[Ship Date]]-Europe_Sales_Records[[#This Row],[Order Date]]</f>
        <v>50</v>
      </c>
      <c r="J528" s="1">
        <v>3013</v>
      </c>
      <c r="K528" s="1">
        <v>421.89</v>
      </c>
      <c r="L528" s="1">
        <v>364.69</v>
      </c>
      <c r="M528" s="1">
        <f>Europe_Sales_Records[[#This Row],[Unit Price]]-Europe_Sales_Records[[#This Row],[Unit Cost]]</f>
        <v>57.199999999999989</v>
      </c>
      <c r="N528" s="1">
        <v>1271154.57</v>
      </c>
      <c r="O528" s="6">
        <v>1098810.97</v>
      </c>
      <c r="P528" s="1">
        <v>172343.6</v>
      </c>
    </row>
    <row r="529" spans="1:16" x14ac:dyDescent="0.3">
      <c r="A529" s="1" t="s">
        <v>14</v>
      </c>
      <c r="B529" s="1" t="s">
        <v>180</v>
      </c>
      <c r="C529" s="1" t="s">
        <v>21</v>
      </c>
      <c r="D529" s="1" t="s">
        <v>22</v>
      </c>
      <c r="E529" s="1" t="s">
        <v>18</v>
      </c>
      <c r="F529" s="7">
        <v>41184</v>
      </c>
      <c r="G529" s="1" t="s">
        <v>608</v>
      </c>
      <c r="H529" s="7">
        <v>41185</v>
      </c>
      <c r="I529" s="1">
        <f>Europe_Sales_Records[[#This Row],[Ship Date]]-Europe_Sales_Records[[#This Row],[Order Date]]</f>
        <v>1</v>
      </c>
      <c r="J529" s="1">
        <v>9996</v>
      </c>
      <c r="K529" s="1">
        <v>109.28</v>
      </c>
      <c r="L529" s="1">
        <v>35.840000000000003</v>
      </c>
      <c r="M529" s="1">
        <f>Europe_Sales_Records[[#This Row],[Unit Price]]-Europe_Sales_Records[[#This Row],[Unit Cost]]</f>
        <v>73.44</v>
      </c>
      <c r="N529" s="1">
        <v>1092362.8799999999</v>
      </c>
      <c r="O529" s="6">
        <v>358256.64000000001</v>
      </c>
      <c r="P529" s="1">
        <v>734106.24</v>
      </c>
    </row>
    <row r="530" spans="1:16" x14ac:dyDescent="0.3">
      <c r="A530" s="1" t="s">
        <v>14</v>
      </c>
      <c r="B530" s="1" t="s">
        <v>75</v>
      </c>
      <c r="C530" s="1" t="s">
        <v>21</v>
      </c>
      <c r="D530" s="1" t="s">
        <v>17</v>
      </c>
      <c r="E530" s="1" t="s">
        <v>30</v>
      </c>
      <c r="F530" s="7">
        <v>41775</v>
      </c>
      <c r="G530" s="1" t="s">
        <v>609</v>
      </c>
      <c r="H530" s="7">
        <v>41779</v>
      </c>
      <c r="I530" s="1">
        <f>Europe_Sales_Records[[#This Row],[Ship Date]]-Europe_Sales_Records[[#This Row],[Order Date]]</f>
        <v>4</v>
      </c>
      <c r="J530" s="1">
        <v>8750</v>
      </c>
      <c r="K530" s="1">
        <v>109.28</v>
      </c>
      <c r="L530" s="1">
        <v>35.840000000000003</v>
      </c>
      <c r="M530" s="1">
        <f>Europe_Sales_Records[[#This Row],[Unit Price]]-Europe_Sales_Records[[#This Row],[Unit Cost]]</f>
        <v>73.44</v>
      </c>
      <c r="N530" s="1">
        <v>956200</v>
      </c>
      <c r="O530" s="6">
        <v>313600</v>
      </c>
      <c r="P530" s="1">
        <v>642600</v>
      </c>
    </row>
    <row r="531" spans="1:16" x14ac:dyDescent="0.3">
      <c r="A531" s="1" t="s">
        <v>14</v>
      </c>
      <c r="B531" s="1" t="s">
        <v>81</v>
      </c>
      <c r="C531" s="1" t="s">
        <v>57</v>
      </c>
      <c r="D531" s="1" t="s">
        <v>22</v>
      </c>
      <c r="E531" s="1" t="s">
        <v>18</v>
      </c>
      <c r="F531" s="7">
        <v>41078</v>
      </c>
      <c r="G531" s="1" t="s">
        <v>610</v>
      </c>
      <c r="H531" s="7">
        <v>41123</v>
      </c>
      <c r="I531" s="1">
        <f>Europe_Sales_Records[[#This Row],[Ship Date]]-Europe_Sales_Records[[#This Row],[Order Date]]</f>
        <v>45</v>
      </c>
      <c r="J531" s="1">
        <v>8778</v>
      </c>
      <c r="K531" s="1">
        <v>668.27</v>
      </c>
      <c r="L531" s="1">
        <v>502.54</v>
      </c>
      <c r="M531" s="1">
        <f>Europe_Sales_Records[[#This Row],[Unit Price]]-Europe_Sales_Records[[#This Row],[Unit Cost]]</f>
        <v>165.72999999999996</v>
      </c>
      <c r="N531" s="1">
        <v>5866074.0599999996</v>
      </c>
      <c r="O531" s="6">
        <v>4411296.12</v>
      </c>
      <c r="P531" s="1">
        <v>1454777.94</v>
      </c>
    </row>
    <row r="532" spans="1:16" x14ac:dyDescent="0.3">
      <c r="A532" s="1" t="s">
        <v>14</v>
      </c>
      <c r="B532" s="1" t="s">
        <v>176</v>
      </c>
      <c r="C532" s="1" t="s">
        <v>26</v>
      </c>
      <c r="D532" s="1" t="s">
        <v>22</v>
      </c>
      <c r="E532" s="1" t="s">
        <v>30</v>
      </c>
      <c r="F532" s="7">
        <v>41258</v>
      </c>
      <c r="G532" s="1" t="s">
        <v>611</v>
      </c>
      <c r="H532" s="7">
        <v>41260</v>
      </c>
      <c r="I532" s="1">
        <f>Europe_Sales_Records[[#This Row],[Ship Date]]-Europe_Sales_Records[[#This Row],[Order Date]]</f>
        <v>2</v>
      </c>
      <c r="J532" s="1">
        <v>8315</v>
      </c>
      <c r="K532" s="1">
        <v>205.7</v>
      </c>
      <c r="L532" s="1">
        <v>117.11</v>
      </c>
      <c r="M532" s="1">
        <f>Europe_Sales_Records[[#This Row],[Unit Price]]-Europe_Sales_Records[[#This Row],[Unit Cost]]</f>
        <v>88.589999999999989</v>
      </c>
      <c r="N532" s="1">
        <v>1710395.5</v>
      </c>
      <c r="O532" s="6">
        <v>973769.65</v>
      </c>
      <c r="P532" s="1">
        <v>736625.85</v>
      </c>
    </row>
    <row r="533" spans="1:16" x14ac:dyDescent="0.3">
      <c r="A533" s="1" t="s">
        <v>14</v>
      </c>
      <c r="B533" s="1" t="s">
        <v>50</v>
      </c>
      <c r="C533" s="1" t="s">
        <v>60</v>
      </c>
      <c r="D533" s="1" t="s">
        <v>17</v>
      </c>
      <c r="E533" s="1" t="s">
        <v>18</v>
      </c>
      <c r="F533" s="7">
        <v>42670</v>
      </c>
      <c r="G533" s="1" t="s">
        <v>612</v>
      </c>
      <c r="H533" s="7">
        <v>42672</v>
      </c>
      <c r="I533" s="1">
        <f>Europe_Sales_Records[[#This Row],[Ship Date]]-Europe_Sales_Records[[#This Row],[Order Date]]</f>
        <v>2</v>
      </c>
      <c r="J533" s="1">
        <v>7122</v>
      </c>
      <c r="K533" s="1">
        <v>437.2</v>
      </c>
      <c r="L533" s="1">
        <v>263.33</v>
      </c>
      <c r="M533" s="1">
        <f>Europe_Sales_Records[[#This Row],[Unit Price]]-Europe_Sales_Records[[#This Row],[Unit Cost]]</f>
        <v>173.87</v>
      </c>
      <c r="N533" s="1">
        <v>3113738.4</v>
      </c>
      <c r="O533" s="6">
        <v>1875436.26</v>
      </c>
      <c r="P533" s="1">
        <v>1238302.1399999999</v>
      </c>
    </row>
    <row r="534" spans="1:16" x14ac:dyDescent="0.3">
      <c r="A534" s="1" t="s">
        <v>14</v>
      </c>
      <c r="B534" s="1" t="s">
        <v>152</v>
      </c>
      <c r="C534" s="1" t="s">
        <v>52</v>
      </c>
      <c r="D534" s="1" t="s">
        <v>17</v>
      </c>
      <c r="E534" s="1" t="s">
        <v>18</v>
      </c>
      <c r="F534" s="7">
        <v>42496</v>
      </c>
      <c r="G534" s="1" t="s">
        <v>613</v>
      </c>
      <c r="H534" s="7">
        <v>42502</v>
      </c>
      <c r="I534" s="1">
        <f>Europe_Sales_Records[[#This Row],[Ship Date]]-Europe_Sales_Records[[#This Row],[Order Date]]</f>
        <v>6</v>
      </c>
      <c r="J534" s="1">
        <v>6918</v>
      </c>
      <c r="K534" s="1">
        <v>255.28</v>
      </c>
      <c r="L534" s="1">
        <v>159.41999999999999</v>
      </c>
      <c r="M534" s="1">
        <f>Europe_Sales_Records[[#This Row],[Unit Price]]-Europe_Sales_Records[[#This Row],[Unit Cost]]</f>
        <v>95.860000000000014</v>
      </c>
      <c r="N534" s="1">
        <v>1766027.04</v>
      </c>
      <c r="O534" s="6">
        <v>1102867.56</v>
      </c>
      <c r="P534" s="1">
        <v>663159.48</v>
      </c>
    </row>
    <row r="535" spans="1:16" x14ac:dyDescent="0.3">
      <c r="A535" s="1" t="s">
        <v>14</v>
      </c>
      <c r="B535" s="1" t="s">
        <v>38</v>
      </c>
      <c r="C535" s="1" t="s">
        <v>48</v>
      </c>
      <c r="D535" s="1" t="s">
        <v>22</v>
      </c>
      <c r="E535" s="1" t="s">
        <v>30</v>
      </c>
      <c r="F535" s="7">
        <v>41326</v>
      </c>
      <c r="G535" s="1" t="s">
        <v>614</v>
      </c>
      <c r="H535" s="7">
        <v>41371</v>
      </c>
      <c r="I535" s="1">
        <f>Europe_Sales_Records[[#This Row],[Ship Date]]-Europe_Sales_Records[[#This Row],[Order Date]]</f>
        <v>45</v>
      </c>
      <c r="J535" s="1">
        <v>5655</v>
      </c>
      <c r="K535" s="1">
        <v>152.58000000000001</v>
      </c>
      <c r="L535" s="1">
        <v>97.44</v>
      </c>
      <c r="M535" s="1">
        <f>Europe_Sales_Records[[#This Row],[Unit Price]]-Europe_Sales_Records[[#This Row],[Unit Cost]]</f>
        <v>55.140000000000015</v>
      </c>
      <c r="N535" s="1">
        <v>862839.9</v>
      </c>
      <c r="O535" s="6">
        <v>551023.19999999995</v>
      </c>
      <c r="P535" s="1">
        <v>311816.7</v>
      </c>
    </row>
    <row r="536" spans="1:16" x14ac:dyDescent="0.3">
      <c r="A536" s="1" t="s">
        <v>14</v>
      </c>
      <c r="B536" s="1" t="s">
        <v>131</v>
      </c>
      <c r="C536" s="1" t="s">
        <v>16</v>
      </c>
      <c r="D536" s="1" t="s">
        <v>17</v>
      </c>
      <c r="E536" s="1" t="s">
        <v>45</v>
      </c>
      <c r="F536" s="7">
        <v>41978</v>
      </c>
      <c r="G536" s="1" t="s">
        <v>615</v>
      </c>
      <c r="H536" s="7">
        <v>42006</v>
      </c>
      <c r="I536" s="1">
        <f>Europe_Sales_Records[[#This Row],[Ship Date]]-Europe_Sales_Records[[#This Row],[Order Date]]</f>
        <v>28</v>
      </c>
      <c r="J536" s="1">
        <v>5192</v>
      </c>
      <c r="K536" s="1">
        <v>47.45</v>
      </c>
      <c r="L536" s="1">
        <v>31.79</v>
      </c>
      <c r="M536" s="1">
        <f>Europe_Sales_Records[[#This Row],[Unit Price]]-Europe_Sales_Records[[#This Row],[Unit Cost]]</f>
        <v>15.660000000000004</v>
      </c>
      <c r="N536" s="1">
        <v>246360.4</v>
      </c>
      <c r="O536" s="6">
        <v>165053.68</v>
      </c>
      <c r="P536" s="1">
        <v>81306.720000000001</v>
      </c>
    </row>
    <row r="537" spans="1:16" x14ac:dyDescent="0.3">
      <c r="A537" s="1" t="s">
        <v>14</v>
      </c>
      <c r="B537" s="1" t="s">
        <v>129</v>
      </c>
      <c r="C537" s="1" t="s">
        <v>16</v>
      </c>
      <c r="D537" s="1" t="s">
        <v>17</v>
      </c>
      <c r="E537" s="1" t="s">
        <v>45</v>
      </c>
      <c r="F537" s="7">
        <v>42855</v>
      </c>
      <c r="G537" s="1" t="s">
        <v>616</v>
      </c>
      <c r="H537" s="7">
        <v>42891</v>
      </c>
      <c r="I537" s="1">
        <f>Europe_Sales_Records[[#This Row],[Ship Date]]-Europe_Sales_Records[[#This Row],[Order Date]]</f>
        <v>36</v>
      </c>
      <c r="J537" s="1">
        <v>7990</v>
      </c>
      <c r="K537" s="1">
        <v>47.45</v>
      </c>
      <c r="L537" s="1">
        <v>31.79</v>
      </c>
      <c r="M537" s="1">
        <f>Europe_Sales_Records[[#This Row],[Unit Price]]-Europe_Sales_Records[[#This Row],[Unit Cost]]</f>
        <v>15.660000000000004</v>
      </c>
      <c r="N537" s="1">
        <v>379125.5</v>
      </c>
      <c r="O537" s="6">
        <v>254002.1</v>
      </c>
      <c r="P537" s="1">
        <v>125123.4</v>
      </c>
    </row>
    <row r="538" spans="1:16" x14ac:dyDescent="0.3">
      <c r="A538" s="1" t="s">
        <v>14</v>
      </c>
      <c r="B538" s="1" t="s">
        <v>35</v>
      </c>
      <c r="C538" s="1" t="s">
        <v>79</v>
      </c>
      <c r="D538" s="1" t="s">
        <v>22</v>
      </c>
      <c r="E538" s="1" t="s">
        <v>45</v>
      </c>
      <c r="F538" s="7">
        <v>41018</v>
      </c>
      <c r="G538" s="1" t="s">
        <v>617</v>
      </c>
      <c r="H538" s="7">
        <v>41048</v>
      </c>
      <c r="I538" s="1">
        <f>Europe_Sales_Records[[#This Row],[Ship Date]]-Europe_Sales_Records[[#This Row],[Order Date]]</f>
        <v>30</v>
      </c>
      <c r="J538" s="1">
        <v>4282</v>
      </c>
      <c r="K538" s="1">
        <v>81.73</v>
      </c>
      <c r="L538" s="1">
        <v>56.67</v>
      </c>
      <c r="M538" s="1">
        <f>Europe_Sales_Records[[#This Row],[Unit Price]]-Europe_Sales_Records[[#This Row],[Unit Cost]]</f>
        <v>25.060000000000002</v>
      </c>
      <c r="N538" s="1">
        <v>349967.86</v>
      </c>
      <c r="O538" s="6">
        <v>242660.94</v>
      </c>
      <c r="P538" s="1">
        <v>107306.92</v>
      </c>
    </row>
    <row r="539" spans="1:16" x14ac:dyDescent="0.3">
      <c r="A539" s="1" t="s">
        <v>14</v>
      </c>
      <c r="B539" s="1" t="s">
        <v>131</v>
      </c>
      <c r="C539" s="1" t="s">
        <v>29</v>
      </c>
      <c r="D539" s="1" t="s">
        <v>17</v>
      </c>
      <c r="E539" s="1" t="s">
        <v>23</v>
      </c>
      <c r="F539" s="7">
        <v>42530</v>
      </c>
      <c r="G539" s="1" t="s">
        <v>618</v>
      </c>
      <c r="H539" s="7">
        <v>42570</v>
      </c>
      <c r="I539" s="1">
        <f>Europe_Sales_Records[[#This Row],[Ship Date]]-Europe_Sales_Records[[#This Row],[Order Date]]</f>
        <v>40</v>
      </c>
      <c r="J539" s="1">
        <v>8764</v>
      </c>
      <c r="K539" s="1">
        <v>651.21</v>
      </c>
      <c r="L539" s="1">
        <v>524.96</v>
      </c>
      <c r="M539" s="1">
        <f>Europe_Sales_Records[[#This Row],[Unit Price]]-Europe_Sales_Records[[#This Row],[Unit Cost]]</f>
        <v>126.25</v>
      </c>
      <c r="N539" s="1">
        <v>5707204.4400000004</v>
      </c>
      <c r="O539" s="6">
        <v>4600749.4400000004</v>
      </c>
      <c r="P539" s="1">
        <v>1106455</v>
      </c>
    </row>
    <row r="540" spans="1:16" x14ac:dyDescent="0.3">
      <c r="A540" s="1" t="s">
        <v>14</v>
      </c>
      <c r="B540" s="1" t="s">
        <v>99</v>
      </c>
      <c r="C540" s="1" t="s">
        <v>21</v>
      </c>
      <c r="D540" s="1" t="s">
        <v>17</v>
      </c>
      <c r="E540" s="1" t="s">
        <v>18</v>
      </c>
      <c r="F540" s="7">
        <v>41450</v>
      </c>
      <c r="G540" s="1" t="s">
        <v>619</v>
      </c>
      <c r="H540" s="7">
        <v>41460</v>
      </c>
      <c r="I540" s="1">
        <f>Europe_Sales_Records[[#This Row],[Ship Date]]-Europe_Sales_Records[[#This Row],[Order Date]]</f>
        <v>10</v>
      </c>
      <c r="J540" s="1">
        <v>8098</v>
      </c>
      <c r="K540" s="1">
        <v>109.28</v>
      </c>
      <c r="L540" s="1">
        <v>35.840000000000003</v>
      </c>
      <c r="M540" s="1">
        <f>Europe_Sales_Records[[#This Row],[Unit Price]]-Europe_Sales_Records[[#This Row],[Unit Cost]]</f>
        <v>73.44</v>
      </c>
      <c r="N540" s="1">
        <v>884949.44</v>
      </c>
      <c r="O540" s="6">
        <v>290232.32000000001</v>
      </c>
      <c r="P540" s="1">
        <v>594717.12</v>
      </c>
    </row>
    <row r="541" spans="1:16" x14ac:dyDescent="0.3">
      <c r="A541" s="1" t="s">
        <v>14</v>
      </c>
      <c r="B541" s="1" t="s">
        <v>137</v>
      </c>
      <c r="C541" s="1" t="s">
        <v>16</v>
      </c>
      <c r="D541" s="1" t="s">
        <v>17</v>
      </c>
      <c r="E541" s="1" t="s">
        <v>30</v>
      </c>
      <c r="F541" s="7">
        <v>42334</v>
      </c>
      <c r="G541" s="1" t="s">
        <v>620</v>
      </c>
      <c r="H541" s="7">
        <v>42358</v>
      </c>
      <c r="I541" s="1">
        <f>Europe_Sales_Records[[#This Row],[Ship Date]]-Europe_Sales_Records[[#This Row],[Order Date]]</f>
        <v>24</v>
      </c>
      <c r="J541" s="1">
        <v>956</v>
      </c>
      <c r="K541" s="1">
        <v>47.45</v>
      </c>
      <c r="L541" s="1">
        <v>31.79</v>
      </c>
      <c r="M541" s="1">
        <f>Europe_Sales_Records[[#This Row],[Unit Price]]-Europe_Sales_Records[[#This Row],[Unit Cost]]</f>
        <v>15.660000000000004</v>
      </c>
      <c r="N541" s="1">
        <v>45362.2</v>
      </c>
      <c r="O541" s="6">
        <v>30391.24</v>
      </c>
      <c r="P541" s="1">
        <v>14970.96</v>
      </c>
    </row>
    <row r="542" spans="1:16" x14ac:dyDescent="0.3">
      <c r="A542" s="1" t="s">
        <v>14</v>
      </c>
      <c r="B542" s="1" t="s">
        <v>118</v>
      </c>
      <c r="C542" s="1" t="s">
        <v>48</v>
      </c>
      <c r="D542" s="1" t="s">
        <v>22</v>
      </c>
      <c r="E542" s="1" t="s">
        <v>18</v>
      </c>
      <c r="F542" s="7">
        <v>42685</v>
      </c>
      <c r="G542" s="1" t="s">
        <v>621</v>
      </c>
      <c r="H542" s="7">
        <v>42718</v>
      </c>
      <c r="I542" s="1">
        <f>Europe_Sales_Records[[#This Row],[Ship Date]]-Europe_Sales_Records[[#This Row],[Order Date]]</f>
        <v>33</v>
      </c>
      <c r="J542" s="1">
        <v>245</v>
      </c>
      <c r="K542" s="1">
        <v>152.58000000000001</v>
      </c>
      <c r="L542" s="1">
        <v>97.44</v>
      </c>
      <c r="M542" s="1">
        <f>Europe_Sales_Records[[#This Row],[Unit Price]]-Europe_Sales_Records[[#This Row],[Unit Cost]]</f>
        <v>55.140000000000015</v>
      </c>
      <c r="N542" s="1">
        <v>37382.1</v>
      </c>
      <c r="O542" s="6">
        <v>23872.799999999999</v>
      </c>
      <c r="P542" s="1">
        <v>13509.3</v>
      </c>
    </row>
    <row r="543" spans="1:16" x14ac:dyDescent="0.3">
      <c r="A543" s="1" t="s">
        <v>14</v>
      </c>
      <c r="B543" s="1" t="s">
        <v>54</v>
      </c>
      <c r="C543" s="1" t="s">
        <v>16</v>
      </c>
      <c r="D543" s="1" t="s">
        <v>22</v>
      </c>
      <c r="E543" s="1" t="s">
        <v>18</v>
      </c>
      <c r="F543" s="7">
        <v>40241</v>
      </c>
      <c r="G543" s="1" t="s">
        <v>622</v>
      </c>
      <c r="H543" s="7">
        <v>40257</v>
      </c>
      <c r="I543" s="1">
        <f>Europe_Sales_Records[[#This Row],[Ship Date]]-Europe_Sales_Records[[#This Row],[Order Date]]</f>
        <v>16</v>
      </c>
      <c r="J543" s="1">
        <v>3092</v>
      </c>
      <c r="K543" s="1">
        <v>47.45</v>
      </c>
      <c r="L543" s="1">
        <v>31.79</v>
      </c>
      <c r="M543" s="1">
        <f>Europe_Sales_Records[[#This Row],[Unit Price]]-Europe_Sales_Records[[#This Row],[Unit Cost]]</f>
        <v>15.660000000000004</v>
      </c>
      <c r="N543" s="1">
        <v>146715.4</v>
      </c>
      <c r="O543" s="6">
        <v>98294.68</v>
      </c>
      <c r="P543" s="1">
        <v>48420.72</v>
      </c>
    </row>
    <row r="544" spans="1:16" x14ac:dyDescent="0.3">
      <c r="A544" s="1" t="s">
        <v>14</v>
      </c>
      <c r="B544" s="1" t="s">
        <v>103</v>
      </c>
      <c r="C544" s="1" t="s">
        <v>57</v>
      </c>
      <c r="D544" s="1" t="s">
        <v>17</v>
      </c>
      <c r="E544" s="1" t="s">
        <v>23</v>
      </c>
      <c r="F544" s="7">
        <v>40999</v>
      </c>
      <c r="G544" s="1" t="s">
        <v>623</v>
      </c>
      <c r="H544" s="7">
        <v>41035</v>
      </c>
      <c r="I544" s="1">
        <f>Europe_Sales_Records[[#This Row],[Ship Date]]-Europe_Sales_Records[[#This Row],[Order Date]]</f>
        <v>36</v>
      </c>
      <c r="J544" s="1">
        <v>5486</v>
      </c>
      <c r="K544" s="1">
        <v>668.27</v>
      </c>
      <c r="L544" s="1">
        <v>502.54</v>
      </c>
      <c r="M544" s="1">
        <f>Europe_Sales_Records[[#This Row],[Unit Price]]-Europe_Sales_Records[[#This Row],[Unit Cost]]</f>
        <v>165.72999999999996</v>
      </c>
      <c r="N544" s="1">
        <v>3666129.22</v>
      </c>
      <c r="O544" s="6">
        <v>2756934.44</v>
      </c>
      <c r="P544" s="1">
        <v>909194.78</v>
      </c>
    </row>
    <row r="545" spans="1:16" x14ac:dyDescent="0.3">
      <c r="A545" s="1" t="s">
        <v>14</v>
      </c>
      <c r="B545" s="1" t="s">
        <v>63</v>
      </c>
      <c r="C545" s="1" t="s">
        <v>60</v>
      </c>
      <c r="D545" s="1" t="s">
        <v>17</v>
      </c>
      <c r="E545" s="1" t="s">
        <v>45</v>
      </c>
      <c r="F545" s="7">
        <v>40973</v>
      </c>
      <c r="G545" s="1" t="s">
        <v>624</v>
      </c>
      <c r="H545" s="7">
        <v>41014</v>
      </c>
      <c r="I545" s="1">
        <f>Europe_Sales_Records[[#This Row],[Ship Date]]-Europe_Sales_Records[[#This Row],[Order Date]]</f>
        <v>41</v>
      </c>
      <c r="J545" s="1">
        <v>4417</v>
      </c>
      <c r="K545" s="1">
        <v>437.2</v>
      </c>
      <c r="L545" s="1">
        <v>263.33</v>
      </c>
      <c r="M545" s="1">
        <f>Europe_Sales_Records[[#This Row],[Unit Price]]-Europe_Sales_Records[[#This Row],[Unit Cost]]</f>
        <v>173.87</v>
      </c>
      <c r="N545" s="1">
        <v>1931112.4</v>
      </c>
      <c r="O545" s="6">
        <v>1163128.6100000001</v>
      </c>
      <c r="P545" s="1">
        <v>767983.79</v>
      </c>
    </row>
    <row r="546" spans="1:16" x14ac:dyDescent="0.3">
      <c r="A546" s="1" t="s">
        <v>14</v>
      </c>
      <c r="B546" s="1" t="s">
        <v>164</v>
      </c>
      <c r="C546" s="1" t="s">
        <v>16</v>
      </c>
      <c r="D546" s="1" t="s">
        <v>22</v>
      </c>
      <c r="E546" s="1" t="s">
        <v>30</v>
      </c>
      <c r="F546" s="7">
        <v>41570</v>
      </c>
      <c r="G546" s="1" t="s">
        <v>625</v>
      </c>
      <c r="H546" s="7">
        <v>41573</v>
      </c>
      <c r="I546" s="1">
        <f>Europe_Sales_Records[[#This Row],[Ship Date]]-Europe_Sales_Records[[#This Row],[Order Date]]</f>
        <v>3</v>
      </c>
      <c r="J546" s="1">
        <v>9505</v>
      </c>
      <c r="K546" s="1">
        <v>47.45</v>
      </c>
      <c r="L546" s="1">
        <v>31.79</v>
      </c>
      <c r="M546" s="1">
        <f>Europe_Sales_Records[[#This Row],[Unit Price]]-Europe_Sales_Records[[#This Row],[Unit Cost]]</f>
        <v>15.660000000000004</v>
      </c>
      <c r="N546" s="1">
        <v>451012.25</v>
      </c>
      <c r="O546" s="6">
        <v>302163.95</v>
      </c>
      <c r="P546" s="1">
        <v>148848.29999999999</v>
      </c>
    </row>
    <row r="547" spans="1:16" x14ac:dyDescent="0.3">
      <c r="A547" s="1" t="s">
        <v>14</v>
      </c>
      <c r="B547" s="1" t="s">
        <v>97</v>
      </c>
      <c r="C547" s="1" t="s">
        <v>26</v>
      </c>
      <c r="D547" s="1" t="s">
        <v>17</v>
      </c>
      <c r="E547" s="1" t="s">
        <v>45</v>
      </c>
      <c r="F547" s="7">
        <v>42934</v>
      </c>
      <c r="G547" s="1" t="s">
        <v>626</v>
      </c>
      <c r="H547" s="7">
        <v>42952</v>
      </c>
      <c r="I547" s="1">
        <f>Europe_Sales_Records[[#This Row],[Ship Date]]-Europe_Sales_Records[[#This Row],[Order Date]]</f>
        <v>18</v>
      </c>
      <c r="J547" s="1">
        <v>3346</v>
      </c>
      <c r="K547" s="1">
        <v>205.7</v>
      </c>
      <c r="L547" s="1">
        <v>117.11</v>
      </c>
      <c r="M547" s="1">
        <f>Europe_Sales_Records[[#This Row],[Unit Price]]-Europe_Sales_Records[[#This Row],[Unit Cost]]</f>
        <v>88.589999999999989</v>
      </c>
      <c r="N547" s="1">
        <v>688272.2</v>
      </c>
      <c r="O547" s="6">
        <v>391850.06</v>
      </c>
      <c r="P547" s="1">
        <v>296422.14</v>
      </c>
    </row>
    <row r="548" spans="1:16" x14ac:dyDescent="0.3">
      <c r="A548" s="1" t="s">
        <v>14</v>
      </c>
      <c r="B548" s="1" t="s">
        <v>91</v>
      </c>
      <c r="C548" s="1" t="s">
        <v>79</v>
      </c>
      <c r="D548" s="1" t="s">
        <v>22</v>
      </c>
      <c r="E548" s="1" t="s">
        <v>18</v>
      </c>
      <c r="F548" s="7">
        <v>40522</v>
      </c>
      <c r="G548" s="1" t="s">
        <v>627</v>
      </c>
      <c r="H548" s="7">
        <v>40538</v>
      </c>
      <c r="I548" s="1">
        <f>Europe_Sales_Records[[#This Row],[Ship Date]]-Europe_Sales_Records[[#This Row],[Order Date]]</f>
        <v>16</v>
      </c>
      <c r="J548" s="1">
        <v>4593</v>
      </c>
      <c r="K548" s="1">
        <v>81.73</v>
      </c>
      <c r="L548" s="1">
        <v>56.67</v>
      </c>
      <c r="M548" s="1">
        <f>Europe_Sales_Records[[#This Row],[Unit Price]]-Europe_Sales_Records[[#This Row],[Unit Cost]]</f>
        <v>25.060000000000002</v>
      </c>
      <c r="N548" s="1">
        <v>375385.89</v>
      </c>
      <c r="O548" s="6">
        <v>260285.31</v>
      </c>
      <c r="P548" s="1">
        <v>115100.58</v>
      </c>
    </row>
    <row r="549" spans="1:16" x14ac:dyDescent="0.3">
      <c r="A549" s="1" t="s">
        <v>14</v>
      </c>
      <c r="B549" s="1" t="s">
        <v>20</v>
      </c>
      <c r="C549" s="1" t="s">
        <v>60</v>
      </c>
      <c r="D549" s="1" t="s">
        <v>17</v>
      </c>
      <c r="E549" s="1" t="s">
        <v>45</v>
      </c>
      <c r="F549" s="7">
        <v>40951</v>
      </c>
      <c r="G549" s="1" t="s">
        <v>628</v>
      </c>
      <c r="H549" s="7">
        <v>40959</v>
      </c>
      <c r="I549" s="1">
        <f>Europe_Sales_Records[[#This Row],[Ship Date]]-Europe_Sales_Records[[#This Row],[Order Date]]</f>
        <v>8</v>
      </c>
      <c r="J549" s="1">
        <v>7811</v>
      </c>
      <c r="K549" s="1">
        <v>437.2</v>
      </c>
      <c r="L549" s="1">
        <v>263.33</v>
      </c>
      <c r="M549" s="1">
        <f>Europe_Sales_Records[[#This Row],[Unit Price]]-Europe_Sales_Records[[#This Row],[Unit Cost]]</f>
        <v>173.87</v>
      </c>
      <c r="N549" s="1">
        <v>3414969.2</v>
      </c>
      <c r="O549" s="6">
        <v>2056870.63</v>
      </c>
      <c r="P549" s="1">
        <v>1358098.57</v>
      </c>
    </row>
    <row r="550" spans="1:16" x14ac:dyDescent="0.3">
      <c r="A550" s="1" t="s">
        <v>14</v>
      </c>
      <c r="B550" s="1" t="s">
        <v>44</v>
      </c>
      <c r="C550" s="1" t="s">
        <v>26</v>
      </c>
      <c r="D550" s="1" t="s">
        <v>22</v>
      </c>
      <c r="E550" s="1" t="s">
        <v>45</v>
      </c>
      <c r="F550" s="7">
        <v>40740</v>
      </c>
      <c r="G550" s="1" t="s">
        <v>629</v>
      </c>
      <c r="H550" s="7">
        <v>40783</v>
      </c>
      <c r="I550" s="1">
        <f>Europe_Sales_Records[[#This Row],[Ship Date]]-Europe_Sales_Records[[#This Row],[Order Date]]</f>
        <v>43</v>
      </c>
      <c r="J550" s="1">
        <v>4016</v>
      </c>
      <c r="K550" s="1">
        <v>205.7</v>
      </c>
      <c r="L550" s="1">
        <v>117.11</v>
      </c>
      <c r="M550" s="1">
        <f>Europe_Sales_Records[[#This Row],[Unit Price]]-Europe_Sales_Records[[#This Row],[Unit Cost]]</f>
        <v>88.589999999999989</v>
      </c>
      <c r="N550" s="1">
        <v>826091.2</v>
      </c>
      <c r="O550" s="6">
        <v>470313.76</v>
      </c>
      <c r="P550" s="1">
        <v>355777.44</v>
      </c>
    </row>
    <row r="551" spans="1:16" x14ac:dyDescent="0.3">
      <c r="A551" s="1" t="s">
        <v>14</v>
      </c>
      <c r="B551" s="1" t="s">
        <v>137</v>
      </c>
      <c r="C551" s="1" t="s">
        <v>39</v>
      </c>
      <c r="D551" s="1" t="s">
        <v>17</v>
      </c>
      <c r="E551" s="1" t="s">
        <v>18</v>
      </c>
      <c r="F551" s="7">
        <v>40616</v>
      </c>
      <c r="G551" s="1" t="s">
        <v>630</v>
      </c>
      <c r="H551" s="7">
        <v>40616</v>
      </c>
      <c r="I551" s="1">
        <f>Europe_Sales_Records[[#This Row],[Ship Date]]-Europe_Sales_Records[[#This Row],[Order Date]]</f>
        <v>0</v>
      </c>
      <c r="J551" s="1">
        <v>5579</v>
      </c>
      <c r="K551" s="1">
        <v>154.06</v>
      </c>
      <c r="L551" s="1">
        <v>90.93</v>
      </c>
      <c r="M551" s="1">
        <f>Europe_Sales_Records[[#This Row],[Unit Price]]-Europe_Sales_Records[[#This Row],[Unit Cost]]</f>
        <v>63.129999999999995</v>
      </c>
      <c r="N551" s="1">
        <v>859500.74</v>
      </c>
      <c r="O551" s="6">
        <v>507298.47</v>
      </c>
      <c r="P551" s="1">
        <v>352202.27</v>
      </c>
    </row>
    <row r="552" spans="1:16" x14ac:dyDescent="0.3">
      <c r="A552" s="1" t="s">
        <v>14</v>
      </c>
      <c r="B552" s="1" t="s">
        <v>120</v>
      </c>
      <c r="C552" s="1" t="s">
        <v>79</v>
      </c>
      <c r="D552" s="1" t="s">
        <v>22</v>
      </c>
      <c r="E552" s="1" t="s">
        <v>18</v>
      </c>
      <c r="F552" s="7">
        <v>40659</v>
      </c>
      <c r="G552" s="1" t="s">
        <v>631</v>
      </c>
      <c r="H552" s="7">
        <v>40687</v>
      </c>
      <c r="I552" s="1">
        <f>Europe_Sales_Records[[#This Row],[Ship Date]]-Europe_Sales_Records[[#This Row],[Order Date]]</f>
        <v>28</v>
      </c>
      <c r="J552" s="1">
        <v>5572</v>
      </c>
      <c r="K552" s="1">
        <v>81.73</v>
      </c>
      <c r="L552" s="1">
        <v>56.67</v>
      </c>
      <c r="M552" s="1">
        <f>Europe_Sales_Records[[#This Row],[Unit Price]]-Europe_Sales_Records[[#This Row],[Unit Cost]]</f>
        <v>25.060000000000002</v>
      </c>
      <c r="N552" s="1">
        <v>455399.56</v>
      </c>
      <c r="O552" s="6">
        <v>315765.24</v>
      </c>
      <c r="P552" s="1">
        <v>139634.32</v>
      </c>
    </row>
    <row r="553" spans="1:16" x14ac:dyDescent="0.3">
      <c r="A553" s="1" t="s">
        <v>14</v>
      </c>
      <c r="B553" s="1" t="s">
        <v>91</v>
      </c>
      <c r="C553" s="1" t="s">
        <v>26</v>
      </c>
      <c r="D553" s="1" t="s">
        <v>17</v>
      </c>
      <c r="E553" s="1" t="s">
        <v>45</v>
      </c>
      <c r="F553" s="7">
        <v>40796</v>
      </c>
      <c r="G553" s="1" t="s">
        <v>632</v>
      </c>
      <c r="H553" s="7">
        <v>40830</v>
      </c>
      <c r="I553" s="1">
        <f>Europe_Sales_Records[[#This Row],[Ship Date]]-Europe_Sales_Records[[#This Row],[Order Date]]</f>
        <v>34</v>
      </c>
      <c r="J553" s="1">
        <v>5046</v>
      </c>
      <c r="K553" s="1">
        <v>205.7</v>
      </c>
      <c r="L553" s="1">
        <v>117.11</v>
      </c>
      <c r="M553" s="1">
        <f>Europe_Sales_Records[[#This Row],[Unit Price]]-Europe_Sales_Records[[#This Row],[Unit Cost]]</f>
        <v>88.589999999999989</v>
      </c>
      <c r="N553" s="1">
        <v>1037962.2</v>
      </c>
      <c r="O553" s="6">
        <v>590937.06000000006</v>
      </c>
      <c r="P553" s="1">
        <v>447025.14</v>
      </c>
    </row>
    <row r="554" spans="1:16" x14ac:dyDescent="0.3">
      <c r="A554" s="1" t="s">
        <v>14</v>
      </c>
      <c r="B554" s="1" t="s">
        <v>41</v>
      </c>
      <c r="C554" s="1" t="s">
        <v>42</v>
      </c>
      <c r="D554" s="1" t="s">
        <v>22</v>
      </c>
      <c r="E554" s="1" t="s">
        <v>18</v>
      </c>
      <c r="F554" s="7">
        <v>41020</v>
      </c>
      <c r="G554" s="1" t="s">
        <v>633</v>
      </c>
      <c r="H554" s="7">
        <v>41069</v>
      </c>
      <c r="I554" s="1">
        <f>Europe_Sales_Records[[#This Row],[Ship Date]]-Europe_Sales_Records[[#This Row],[Order Date]]</f>
        <v>49</v>
      </c>
      <c r="J554" s="1">
        <v>7728</v>
      </c>
      <c r="K554" s="1">
        <v>421.89</v>
      </c>
      <c r="L554" s="1">
        <v>364.69</v>
      </c>
      <c r="M554" s="1">
        <f>Europe_Sales_Records[[#This Row],[Unit Price]]-Europe_Sales_Records[[#This Row],[Unit Cost]]</f>
        <v>57.199999999999989</v>
      </c>
      <c r="N554" s="1">
        <v>3260365.92</v>
      </c>
      <c r="O554" s="6">
        <v>2818324.32</v>
      </c>
      <c r="P554" s="1">
        <v>442041.59999999998</v>
      </c>
    </row>
    <row r="555" spans="1:16" x14ac:dyDescent="0.3">
      <c r="A555" s="1" t="s">
        <v>14</v>
      </c>
      <c r="B555" s="1" t="s">
        <v>87</v>
      </c>
      <c r="C555" s="1" t="s">
        <v>21</v>
      </c>
      <c r="D555" s="1" t="s">
        <v>22</v>
      </c>
      <c r="E555" s="1" t="s">
        <v>18</v>
      </c>
      <c r="F555" s="7">
        <v>41028</v>
      </c>
      <c r="G555" s="1" t="s">
        <v>634</v>
      </c>
      <c r="H555" s="7">
        <v>41030</v>
      </c>
      <c r="I555" s="1">
        <f>Europe_Sales_Records[[#This Row],[Ship Date]]-Europe_Sales_Records[[#This Row],[Order Date]]</f>
        <v>2</v>
      </c>
      <c r="J555" s="1">
        <v>8938</v>
      </c>
      <c r="K555" s="1">
        <v>109.28</v>
      </c>
      <c r="L555" s="1">
        <v>35.840000000000003</v>
      </c>
      <c r="M555" s="1">
        <f>Europe_Sales_Records[[#This Row],[Unit Price]]-Europe_Sales_Records[[#This Row],[Unit Cost]]</f>
        <v>73.44</v>
      </c>
      <c r="N555" s="1">
        <v>976744.64</v>
      </c>
      <c r="O555" s="6">
        <v>320337.91999999998</v>
      </c>
      <c r="P555" s="1">
        <v>656406.72</v>
      </c>
    </row>
    <row r="556" spans="1:16" x14ac:dyDescent="0.3">
      <c r="A556" s="1" t="s">
        <v>14</v>
      </c>
      <c r="B556" s="1" t="s">
        <v>50</v>
      </c>
      <c r="C556" s="1" t="s">
        <v>42</v>
      </c>
      <c r="D556" s="1" t="s">
        <v>22</v>
      </c>
      <c r="E556" s="1" t="s">
        <v>45</v>
      </c>
      <c r="F556" s="7">
        <v>42513</v>
      </c>
      <c r="G556" s="1" t="s">
        <v>635</v>
      </c>
      <c r="H556" s="7">
        <v>42556</v>
      </c>
      <c r="I556" s="1">
        <f>Europe_Sales_Records[[#This Row],[Ship Date]]-Europe_Sales_Records[[#This Row],[Order Date]]</f>
        <v>43</v>
      </c>
      <c r="J556" s="1">
        <v>339</v>
      </c>
      <c r="K556" s="1">
        <v>421.89</v>
      </c>
      <c r="L556" s="1">
        <v>364.69</v>
      </c>
      <c r="M556" s="1">
        <f>Europe_Sales_Records[[#This Row],[Unit Price]]-Europe_Sales_Records[[#This Row],[Unit Cost]]</f>
        <v>57.199999999999989</v>
      </c>
      <c r="N556" s="1">
        <v>143020.71</v>
      </c>
      <c r="O556" s="6">
        <v>123629.91</v>
      </c>
      <c r="P556" s="1">
        <v>19390.8</v>
      </c>
    </row>
    <row r="557" spans="1:16" x14ac:dyDescent="0.3">
      <c r="A557" s="1" t="s">
        <v>14</v>
      </c>
      <c r="B557" s="1" t="s">
        <v>59</v>
      </c>
      <c r="C557" s="1" t="s">
        <v>60</v>
      </c>
      <c r="D557" s="1" t="s">
        <v>22</v>
      </c>
      <c r="E557" s="1" t="s">
        <v>30</v>
      </c>
      <c r="F557" s="7">
        <v>40561</v>
      </c>
      <c r="G557" s="1" t="s">
        <v>636</v>
      </c>
      <c r="H557" s="7">
        <v>40566</v>
      </c>
      <c r="I557" s="1">
        <f>Europe_Sales_Records[[#This Row],[Ship Date]]-Europe_Sales_Records[[#This Row],[Order Date]]</f>
        <v>5</v>
      </c>
      <c r="J557" s="1">
        <v>3988</v>
      </c>
      <c r="K557" s="1">
        <v>437.2</v>
      </c>
      <c r="L557" s="1">
        <v>263.33</v>
      </c>
      <c r="M557" s="1">
        <f>Europe_Sales_Records[[#This Row],[Unit Price]]-Europe_Sales_Records[[#This Row],[Unit Cost]]</f>
        <v>173.87</v>
      </c>
      <c r="N557" s="1">
        <v>1743553.6</v>
      </c>
      <c r="O557" s="6">
        <v>1050160.04</v>
      </c>
      <c r="P557" s="1">
        <v>693393.56</v>
      </c>
    </row>
    <row r="558" spans="1:16" x14ac:dyDescent="0.3">
      <c r="A558" s="1" t="s">
        <v>14</v>
      </c>
      <c r="B558" s="1" t="s">
        <v>180</v>
      </c>
      <c r="C558" s="1" t="s">
        <v>33</v>
      </c>
      <c r="D558" s="1" t="s">
        <v>22</v>
      </c>
      <c r="E558" s="1" t="s">
        <v>30</v>
      </c>
      <c r="F558" s="7">
        <v>40328</v>
      </c>
      <c r="G558" s="1" t="s">
        <v>637</v>
      </c>
      <c r="H558" s="7">
        <v>40356</v>
      </c>
      <c r="I558" s="1">
        <f>Europe_Sales_Records[[#This Row],[Ship Date]]-Europe_Sales_Records[[#This Row],[Order Date]]</f>
        <v>28</v>
      </c>
      <c r="J558" s="1">
        <v>6801</v>
      </c>
      <c r="K558" s="1">
        <v>9.33</v>
      </c>
      <c r="L558" s="1">
        <v>6.92</v>
      </c>
      <c r="M558" s="1">
        <f>Europe_Sales_Records[[#This Row],[Unit Price]]-Europe_Sales_Records[[#This Row],[Unit Cost]]</f>
        <v>2.41</v>
      </c>
      <c r="N558" s="1">
        <v>63453.33</v>
      </c>
      <c r="O558" s="6">
        <v>47062.92</v>
      </c>
      <c r="P558" s="1">
        <v>16390.41</v>
      </c>
    </row>
    <row r="559" spans="1:16" x14ac:dyDescent="0.3">
      <c r="A559" s="1" t="s">
        <v>14</v>
      </c>
      <c r="B559" s="1" t="s">
        <v>15</v>
      </c>
      <c r="C559" s="1" t="s">
        <v>29</v>
      </c>
      <c r="D559" s="1" t="s">
        <v>17</v>
      </c>
      <c r="E559" s="1" t="s">
        <v>45</v>
      </c>
      <c r="F559" s="7">
        <v>41040</v>
      </c>
      <c r="G559" s="1" t="s">
        <v>638</v>
      </c>
      <c r="H559" s="7">
        <v>41090</v>
      </c>
      <c r="I559" s="1">
        <f>Europe_Sales_Records[[#This Row],[Ship Date]]-Europe_Sales_Records[[#This Row],[Order Date]]</f>
        <v>50</v>
      </c>
      <c r="J559" s="1">
        <v>249</v>
      </c>
      <c r="K559" s="1">
        <v>651.21</v>
      </c>
      <c r="L559" s="1">
        <v>524.96</v>
      </c>
      <c r="M559" s="1">
        <f>Europe_Sales_Records[[#This Row],[Unit Price]]-Europe_Sales_Records[[#This Row],[Unit Cost]]</f>
        <v>126.25</v>
      </c>
      <c r="N559" s="1">
        <v>162151.29</v>
      </c>
      <c r="O559" s="6">
        <v>130715.04</v>
      </c>
      <c r="P559" s="1">
        <v>31436.25</v>
      </c>
    </row>
    <row r="560" spans="1:16" x14ac:dyDescent="0.3">
      <c r="A560" s="1" t="s">
        <v>14</v>
      </c>
      <c r="B560" s="1" t="s">
        <v>120</v>
      </c>
      <c r="C560" s="1" t="s">
        <v>33</v>
      </c>
      <c r="D560" s="1" t="s">
        <v>17</v>
      </c>
      <c r="E560" s="1" t="s">
        <v>30</v>
      </c>
      <c r="F560" s="7">
        <v>42018</v>
      </c>
      <c r="G560" s="1" t="s">
        <v>639</v>
      </c>
      <c r="H560" s="7">
        <v>42045</v>
      </c>
      <c r="I560" s="1">
        <f>Europe_Sales_Records[[#This Row],[Ship Date]]-Europe_Sales_Records[[#This Row],[Order Date]]</f>
        <v>27</v>
      </c>
      <c r="J560" s="1">
        <v>5306</v>
      </c>
      <c r="K560" s="1">
        <v>9.33</v>
      </c>
      <c r="L560" s="1">
        <v>6.92</v>
      </c>
      <c r="M560" s="1">
        <f>Europe_Sales_Records[[#This Row],[Unit Price]]-Europe_Sales_Records[[#This Row],[Unit Cost]]</f>
        <v>2.41</v>
      </c>
      <c r="N560" s="1">
        <v>49504.98</v>
      </c>
      <c r="O560" s="6">
        <v>36717.519999999997</v>
      </c>
      <c r="P560" s="1">
        <v>12787.46</v>
      </c>
    </row>
    <row r="561" spans="1:16" x14ac:dyDescent="0.3">
      <c r="A561" s="1" t="s">
        <v>14</v>
      </c>
      <c r="B561" s="1" t="s">
        <v>137</v>
      </c>
      <c r="C561" s="1" t="s">
        <v>26</v>
      </c>
      <c r="D561" s="1" t="s">
        <v>17</v>
      </c>
      <c r="E561" s="1" t="s">
        <v>23</v>
      </c>
      <c r="F561" s="7">
        <v>42490</v>
      </c>
      <c r="G561" s="1" t="s">
        <v>640</v>
      </c>
      <c r="H561" s="7">
        <v>42534</v>
      </c>
      <c r="I561" s="1">
        <f>Europe_Sales_Records[[#This Row],[Ship Date]]-Europe_Sales_Records[[#This Row],[Order Date]]</f>
        <v>44</v>
      </c>
      <c r="J561" s="1">
        <v>3867</v>
      </c>
      <c r="K561" s="1">
        <v>205.7</v>
      </c>
      <c r="L561" s="1">
        <v>117.11</v>
      </c>
      <c r="M561" s="1">
        <f>Europe_Sales_Records[[#This Row],[Unit Price]]-Europe_Sales_Records[[#This Row],[Unit Cost]]</f>
        <v>88.589999999999989</v>
      </c>
      <c r="N561" s="1">
        <v>795441.9</v>
      </c>
      <c r="O561" s="6">
        <v>452864.37</v>
      </c>
      <c r="P561" s="1">
        <v>342577.53</v>
      </c>
    </row>
    <row r="562" spans="1:16" x14ac:dyDescent="0.3">
      <c r="A562" s="1" t="s">
        <v>14</v>
      </c>
      <c r="B562" s="1" t="s">
        <v>137</v>
      </c>
      <c r="C562" s="1" t="s">
        <v>42</v>
      </c>
      <c r="D562" s="1" t="s">
        <v>22</v>
      </c>
      <c r="E562" s="1" t="s">
        <v>45</v>
      </c>
      <c r="F562" s="7">
        <v>42883</v>
      </c>
      <c r="G562" s="1" t="s">
        <v>641</v>
      </c>
      <c r="H562" s="7">
        <v>42897</v>
      </c>
      <c r="I562" s="1">
        <f>Europe_Sales_Records[[#This Row],[Ship Date]]-Europe_Sales_Records[[#This Row],[Order Date]]</f>
        <v>14</v>
      </c>
      <c r="J562" s="1">
        <v>4505</v>
      </c>
      <c r="K562" s="1">
        <v>421.89</v>
      </c>
      <c r="L562" s="1">
        <v>364.69</v>
      </c>
      <c r="M562" s="1">
        <f>Europe_Sales_Records[[#This Row],[Unit Price]]-Europe_Sales_Records[[#This Row],[Unit Cost]]</f>
        <v>57.199999999999989</v>
      </c>
      <c r="N562" s="1">
        <v>1900614.45</v>
      </c>
      <c r="O562" s="6">
        <v>1642928.45</v>
      </c>
      <c r="P562" s="1">
        <v>257686</v>
      </c>
    </row>
    <row r="563" spans="1:16" x14ac:dyDescent="0.3">
      <c r="A563" s="1" t="s">
        <v>14</v>
      </c>
      <c r="B563" s="1" t="s">
        <v>75</v>
      </c>
      <c r="C563" s="1" t="s">
        <v>79</v>
      </c>
      <c r="D563" s="1" t="s">
        <v>17</v>
      </c>
      <c r="E563" s="1" t="s">
        <v>30</v>
      </c>
      <c r="F563" s="7">
        <v>40945</v>
      </c>
      <c r="G563" s="1" t="s">
        <v>642</v>
      </c>
      <c r="H563" s="7">
        <v>40961</v>
      </c>
      <c r="I563" s="1">
        <f>Europe_Sales_Records[[#This Row],[Ship Date]]-Europe_Sales_Records[[#This Row],[Order Date]]</f>
        <v>16</v>
      </c>
      <c r="J563" s="1">
        <v>3119</v>
      </c>
      <c r="K563" s="1">
        <v>81.73</v>
      </c>
      <c r="L563" s="1">
        <v>56.67</v>
      </c>
      <c r="M563" s="1">
        <f>Europe_Sales_Records[[#This Row],[Unit Price]]-Europe_Sales_Records[[#This Row],[Unit Cost]]</f>
        <v>25.060000000000002</v>
      </c>
      <c r="N563" s="1">
        <v>254915.87</v>
      </c>
      <c r="O563" s="6">
        <v>176753.73</v>
      </c>
      <c r="P563" s="1">
        <v>78162.14</v>
      </c>
    </row>
    <row r="564" spans="1:16" x14ac:dyDescent="0.3">
      <c r="A564" s="1" t="s">
        <v>14</v>
      </c>
      <c r="B564" s="1" t="s">
        <v>150</v>
      </c>
      <c r="C564" s="1" t="s">
        <v>52</v>
      </c>
      <c r="D564" s="1" t="s">
        <v>17</v>
      </c>
      <c r="E564" s="1" t="s">
        <v>18</v>
      </c>
      <c r="F564" s="7">
        <v>42910</v>
      </c>
      <c r="G564" s="1" t="s">
        <v>643</v>
      </c>
      <c r="H564" s="7">
        <v>42960</v>
      </c>
      <c r="I564" s="1">
        <f>Europe_Sales_Records[[#This Row],[Ship Date]]-Europe_Sales_Records[[#This Row],[Order Date]]</f>
        <v>50</v>
      </c>
      <c r="J564" s="1">
        <v>1085</v>
      </c>
      <c r="K564" s="1">
        <v>255.28</v>
      </c>
      <c r="L564" s="1">
        <v>159.41999999999999</v>
      </c>
      <c r="M564" s="1">
        <f>Europe_Sales_Records[[#This Row],[Unit Price]]-Europe_Sales_Records[[#This Row],[Unit Cost]]</f>
        <v>95.860000000000014</v>
      </c>
      <c r="N564" s="1">
        <v>276978.8</v>
      </c>
      <c r="O564" s="6">
        <v>172970.7</v>
      </c>
      <c r="P564" s="1">
        <v>104008.1</v>
      </c>
    </row>
    <row r="565" spans="1:16" x14ac:dyDescent="0.3">
      <c r="A565" s="1" t="s">
        <v>14</v>
      </c>
      <c r="B565" s="1" t="s">
        <v>172</v>
      </c>
      <c r="C565" s="1" t="s">
        <v>48</v>
      </c>
      <c r="D565" s="1" t="s">
        <v>17</v>
      </c>
      <c r="E565" s="1" t="s">
        <v>30</v>
      </c>
      <c r="F565" s="7">
        <v>40696</v>
      </c>
      <c r="G565" s="1" t="s">
        <v>644</v>
      </c>
      <c r="H565" s="7">
        <v>40725</v>
      </c>
      <c r="I565" s="1">
        <f>Europe_Sales_Records[[#This Row],[Ship Date]]-Europe_Sales_Records[[#This Row],[Order Date]]</f>
        <v>29</v>
      </c>
      <c r="J565" s="1">
        <v>2013</v>
      </c>
      <c r="K565" s="1">
        <v>152.58000000000001</v>
      </c>
      <c r="L565" s="1">
        <v>97.44</v>
      </c>
      <c r="M565" s="1">
        <f>Europe_Sales_Records[[#This Row],[Unit Price]]-Europe_Sales_Records[[#This Row],[Unit Cost]]</f>
        <v>55.140000000000015</v>
      </c>
      <c r="N565" s="1">
        <v>307143.53999999998</v>
      </c>
      <c r="O565" s="6">
        <v>196146.72</v>
      </c>
      <c r="P565" s="1">
        <v>110996.82</v>
      </c>
    </row>
    <row r="566" spans="1:16" x14ac:dyDescent="0.3">
      <c r="A566" s="1" t="s">
        <v>14</v>
      </c>
      <c r="B566" s="1" t="s">
        <v>176</v>
      </c>
      <c r="C566" s="1" t="s">
        <v>60</v>
      </c>
      <c r="D566" s="1" t="s">
        <v>17</v>
      </c>
      <c r="E566" s="1" t="s">
        <v>45</v>
      </c>
      <c r="F566" s="7">
        <v>42215</v>
      </c>
      <c r="G566" s="1" t="s">
        <v>645</v>
      </c>
      <c r="H566" s="7">
        <v>42263</v>
      </c>
      <c r="I566" s="1">
        <f>Europe_Sales_Records[[#This Row],[Ship Date]]-Europe_Sales_Records[[#This Row],[Order Date]]</f>
        <v>48</v>
      </c>
      <c r="J566" s="1">
        <v>3840</v>
      </c>
      <c r="K566" s="1">
        <v>437.2</v>
      </c>
      <c r="L566" s="1">
        <v>263.33</v>
      </c>
      <c r="M566" s="1">
        <f>Europe_Sales_Records[[#This Row],[Unit Price]]-Europe_Sales_Records[[#This Row],[Unit Cost]]</f>
        <v>173.87</v>
      </c>
      <c r="N566" s="1">
        <v>1678848</v>
      </c>
      <c r="O566" s="6">
        <v>1011187.2</v>
      </c>
      <c r="P566" s="1">
        <v>667660.80000000005</v>
      </c>
    </row>
    <row r="567" spans="1:16" x14ac:dyDescent="0.3">
      <c r="A567" s="1" t="s">
        <v>14</v>
      </c>
      <c r="B567" s="1" t="s">
        <v>73</v>
      </c>
      <c r="C567" s="1" t="s">
        <v>79</v>
      </c>
      <c r="D567" s="1" t="s">
        <v>22</v>
      </c>
      <c r="E567" s="1" t="s">
        <v>23</v>
      </c>
      <c r="F567" s="7">
        <v>41077</v>
      </c>
      <c r="G567" s="1" t="s">
        <v>646</v>
      </c>
      <c r="H567" s="7">
        <v>41086</v>
      </c>
      <c r="I567" s="1">
        <f>Europe_Sales_Records[[#This Row],[Ship Date]]-Europe_Sales_Records[[#This Row],[Order Date]]</f>
        <v>9</v>
      </c>
      <c r="J567" s="1">
        <v>2554</v>
      </c>
      <c r="K567" s="1">
        <v>81.73</v>
      </c>
      <c r="L567" s="1">
        <v>56.67</v>
      </c>
      <c r="M567" s="1">
        <f>Europe_Sales_Records[[#This Row],[Unit Price]]-Europe_Sales_Records[[#This Row],[Unit Cost]]</f>
        <v>25.060000000000002</v>
      </c>
      <c r="N567" s="1">
        <v>208738.42</v>
      </c>
      <c r="O567" s="6">
        <v>144735.18</v>
      </c>
      <c r="P567" s="1">
        <v>64003.24</v>
      </c>
    </row>
    <row r="568" spans="1:16" x14ac:dyDescent="0.3">
      <c r="A568" s="1" t="s">
        <v>14</v>
      </c>
      <c r="B568" s="1" t="s">
        <v>106</v>
      </c>
      <c r="C568" s="1" t="s">
        <v>57</v>
      </c>
      <c r="D568" s="1" t="s">
        <v>22</v>
      </c>
      <c r="E568" s="1" t="s">
        <v>23</v>
      </c>
      <c r="F568" s="7">
        <v>40574</v>
      </c>
      <c r="G568" s="1" t="s">
        <v>647</v>
      </c>
      <c r="H568" s="7">
        <v>40593</v>
      </c>
      <c r="I568" s="1">
        <f>Europe_Sales_Records[[#This Row],[Ship Date]]-Europe_Sales_Records[[#This Row],[Order Date]]</f>
        <v>19</v>
      </c>
      <c r="J568" s="1">
        <v>2378</v>
      </c>
      <c r="K568" s="1">
        <v>668.27</v>
      </c>
      <c r="L568" s="1">
        <v>502.54</v>
      </c>
      <c r="M568" s="1">
        <f>Europe_Sales_Records[[#This Row],[Unit Price]]-Europe_Sales_Records[[#This Row],[Unit Cost]]</f>
        <v>165.72999999999996</v>
      </c>
      <c r="N568" s="1">
        <v>1589146.06</v>
      </c>
      <c r="O568" s="6">
        <v>1195040.1200000001</v>
      </c>
      <c r="P568" s="1">
        <v>394105.94</v>
      </c>
    </row>
    <row r="569" spans="1:16" x14ac:dyDescent="0.3">
      <c r="A569" s="1" t="s">
        <v>14</v>
      </c>
      <c r="B569" s="1" t="s">
        <v>63</v>
      </c>
      <c r="C569" s="1" t="s">
        <v>48</v>
      </c>
      <c r="D569" s="1" t="s">
        <v>22</v>
      </c>
      <c r="E569" s="1" t="s">
        <v>23</v>
      </c>
      <c r="F569" s="7">
        <v>41313</v>
      </c>
      <c r="G569" s="1" t="s">
        <v>648</v>
      </c>
      <c r="H569" s="7">
        <v>41341</v>
      </c>
      <c r="I569" s="1">
        <f>Europe_Sales_Records[[#This Row],[Ship Date]]-Europe_Sales_Records[[#This Row],[Order Date]]</f>
        <v>28</v>
      </c>
      <c r="J569" s="1">
        <v>4836</v>
      </c>
      <c r="K569" s="1">
        <v>152.58000000000001</v>
      </c>
      <c r="L569" s="1">
        <v>97.44</v>
      </c>
      <c r="M569" s="1">
        <f>Europe_Sales_Records[[#This Row],[Unit Price]]-Europe_Sales_Records[[#This Row],[Unit Cost]]</f>
        <v>55.140000000000015</v>
      </c>
      <c r="N569" s="1">
        <v>737876.88</v>
      </c>
      <c r="O569" s="6">
        <v>471219.84</v>
      </c>
      <c r="P569" s="1">
        <v>266657.03999999998</v>
      </c>
    </row>
    <row r="570" spans="1:16" x14ac:dyDescent="0.3">
      <c r="A570" s="1" t="s">
        <v>14</v>
      </c>
      <c r="B570" s="1" t="s">
        <v>99</v>
      </c>
      <c r="C570" s="1" t="s">
        <v>29</v>
      </c>
      <c r="D570" s="1" t="s">
        <v>22</v>
      </c>
      <c r="E570" s="1" t="s">
        <v>45</v>
      </c>
      <c r="F570" s="7">
        <v>40517</v>
      </c>
      <c r="G570" s="1" t="s">
        <v>649</v>
      </c>
      <c r="H570" s="7">
        <v>40560</v>
      </c>
      <c r="I570" s="1">
        <f>Europe_Sales_Records[[#This Row],[Ship Date]]-Europe_Sales_Records[[#This Row],[Order Date]]</f>
        <v>43</v>
      </c>
      <c r="J570" s="1">
        <v>5552</v>
      </c>
      <c r="K570" s="1">
        <v>651.21</v>
      </c>
      <c r="L570" s="1">
        <v>524.96</v>
      </c>
      <c r="M570" s="1">
        <f>Europe_Sales_Records[[#This Row],[Unit Price]]-Europe_Sales_Records[[#This Row],[Unit Cost]]</f>
        <v>126.25</v>
      </c>
      <c r="N570" s="1">
        <v>3615517.92</v>
      </c>
      <c r="O570" s="6">
        <v>2914577.92</v>
      </c>
      <c r="P570" s="1">
        <v>700940</v>
      </c>
    </row>
    <row r="571" spans="1:16" x14ac:dyDescent="0.3">
      <c r="A571" s="1" t="s">
        <v>14</v>
      </c>
      <c r="B571" s="1" t="s">
        <v>164</v>
      </c>
      <c r="C571" s="1" t="s">
        <v>16</v>
      </c>
      <c r="D571" s="1" t="s">
        <v>22</v>
      </c>
      <c r="E571" s="1" t="s">
        <v>23</v>
      </c>
      <c r="F571" s="7">
        <v>42249</v>
      </c>
      <c r="G571" s="1" t="s">
        <v>650</v>
      </c>
      <c r="H571" s="7">
        <v>42296</v>
      </c>
      <c r="I571" s="1">
        <f>Europe_Sales_Records[[#This Row],[Ship Date]]-Europe_Sales_Records[[#This Row],[Order Date]]</f>
        <v>47</v>
      </c>
      <c r="J571" s="1">
        <v>4191</v>
      </c>
      <c r="K571" s="1">
        <v>47.45</v>
      </c>
      <c r="L571" s="1">
        <v>31.79</v>
      </c>
      <c r="M571" s="1">
        <f>Europe_Sales_Records[[#This Row],[Unit Price]]-Europe_Sales_Records[[#This Row],[Unit Cost]]</f>
        <v>15.660000000000004</v>
      </c>
      <c r="N571" s="1">
        <v>198862.95</v>
      </c>
      <c r="O571" s="6">
        <v>133231.89000000001</v>
      </c>
      <c r="P571" s="1">
        <v>65631.06</v>
      </c>
    </row>
    <row r="572" spans="1:16" x14ac:dyDescent="0.3">
      <c r="A572" s="1" t="s">
        <v>14</v>
      </c>
      <c r="B572" s="1" t="s">
        <v>20</v>
      </c>
      <c r="C572" s="1" t="s">
        <v>57</v>
      </c>
      <c r="D572" s="1" t="s">
        <v>22</v>
      </c>
      <c r="E572" s="1" t="s">
        <v>18</v>
      </c>
      <c r="F572" s="7">
        <v>40905</v>
      </c>
      <c r="G572" s="1" t="s">
        <v>651</v>
      </c>
      <c r="H572" s="7">
        <v>40941</v>
      </c>
      <c r="I572" s="1">
        <f>Europe_Sales_Records[[#This Row],[Ship Date]]-Europe_Sales_Records[[#This Row],[Order Date]]</f>
        <v>36</v>
      </c>
      <c r="J572" s="1">
        <v>3082</v>
      </c>
      <c r="K572" s="1">
        <v>668.27</v>
      </c>
      <c r="L572" s="1">
        <v>502.54</v>
      </c>
      <c r="M572" s="1">
        <f>Europe_Sales_Records[[#This Row],[Unit Price]]-Europe_Sales_Records[[#This Row],[Unit Cost]]</f>
        <v>165.72999999999996</v>
      </c>
      <c r="N572" s="1">
        <v>2059608.14</v>
      </c>
      <c r="O572" s="6">
        <v>1548828.28</v>
      </c>
      <c r="P572" s="1">
        <v>510779.86</v>
      </c>
    </row>
    <row r="573" spans="1:16" x14ac:dyDescent="0.3">
      <c r="A573" s="1" t="s">
        <v>14</v>
      </c>
      <c r="B573" s="1" t="s">
        <v>87</v>
      </c>
      <c r="C573" s="1" t="s">
        <v>48</v>
      </c>
      <c r="D573" s="1" t="s">
        <v>17</v>
      </c>
      <c r="E573" s="1" t="s">
        <v>23</v>
      </c>
      <c r="F573" s="7">
        <v>40741</v>
      </c>
      <c r="G573" s="1" t="s">
        <v>652</v>
      </c>
      <c r="H573" s="7">
        <v>40790</v>
      </c>
      <c r="I573" s="1">
        <f>Europe_Sales_Records[[#This Row],[Ship Date]]-Europe_Sales_Records[[#This Row],[Order Date]]</f>
        <v>49</v>
      </c>
      <c r="J573" s="1">
        <v>8738</v>
      </c>
      <c r="K573" s="1">
        <v>152.58000000000001</v>
      </c>
      <c r="L573" s="1">
        <v>97.44</v>
      </c>
      <c r="M573" s="1">
        <f>Europe_Sales_Records[[#This Row],[Unit Price]]-Europe_Sales_Records[[#This Row],[Unit Cost]]</f>
        <v>55.140000000000015</v>
      </c>
      <c r="N573" s="1">
        <v>1333244.04</v>
      </c>
      <c r="O573" s="6">
        <v>851430.72</v>
      </c>
      <c r="P573" s="1">
        <v>481813.32</v>
      </c>
    </row>
    <row r="574" spans="1:16" x14ac:dyDescent="0.3">
      <c r="A574" s="1" t="s">
        <v>14</v>
      </c>
      <c r="B574" s="1" t="s">
        <v>131</v>
      </c>
      <c r="C574" s="1" t="s">
        <v>42</v>
      </c>
      <c r="D574" s="1" t="s">
        <v>22</v>
      </c>
      <c r="E574" s="1" t="s">
        <v>23</v>
      </c>
      <c r="F574" s="7">
        <v>42421</v>
      </c>
      <c r="G574" s="1" t="s">
        <v>653</v>
      </c>
      <c r="H574" s="7">
        <v>42462</v>
      </c>
      <c r="I574" s="1">
        <f>Europe_Sales_Records[[#This Row],[Ship Date]]-Europe_Sales_Records[[#This Row],[Order Date]]</f>
        <v>41</v>
      </c>
      <c r="J574" s="1">
        <v>233</v>
      </c>
      <c r="K574" s="1">
        <v>421.89</v>
      </c>
      <c r="L574" s="1">
        <v>364.69</v>
      </c>
      <c r="M574" s="1">
        <f>Europe_Sales_Records[[#This Row],[Unit Price]]-Europe_Sales_Records[[#This Row],[Unit Cost]]</f>
        <v>57.199999999999989</v>
      </c>
      <c r="N574" s="1">
        <v>98300.37</v>
      </c>
      <c r="O574" s="6">
        <v>84972.77</v>
      </c>
      <c r="P574" s="1">
        <v>13327.6</v>
      </c>
    </row>
    <row r="575" spans="1:16" x14ac:dyDescent="0.3">
      <c r="A575" s="1" t="s">
        <v>14</v>
      </c>
      <c r="B575" s="1" t="s">
        <v>75</v>
      </c>
      <c r="C575" s="1" t="s">
        <v>21</v>
      </c>
      <c r="D575" s="1" t="s">
        <v>17</v>
      </c>
      <c r="E575" s="1" t="s">
        <v>18</v>
      </c>
      <c r="F575" s="7">
        <v>42523</v>
      </c>
      <c r="G575" s="1" t="s">
        <v>654</v>
      </c>
      <c r="H575" s="7">
        <v>42534</v>
      </c>
      <c r="I575" s="1">
        <f>Europe_Sales_Records[[#This Row],[Ship Date]]-Europe_Sales_Records[[#This Row],[Order Date]]</f>
        <v>11</v>
      </c>
      <c r="J575" s="1">
        <v>9566</v>
      </c>
      <c r="K575" s="1">
        <v>109.28</v>
      </c>
      <c r="L575" s="1">
        <v>35.840000000000003</v>
      </c>
      <c r="M575" s="1">
        <f>Europe_Sales_Records[[#This Row],[Unit Price]]-Europe_Sales_Records[[#This Row],[Unit Cost]]</f>
        <v>73.44</v>
      </c>
      <c r="N575" s="1">
        <v>1045372.48</v>
      </c>
      <c r="O575" s="6">
        <v>342845.44</v>
      </c>
      <c r="P575" s="1">
        <v>702527.04</v>
      </c>
    </row>
    <row r="576" spans="1:16" x14ac:dyDescent="0.3">
      <c r="A576" s="1" t="s">
        <v>14</v>
      </c>
      <c r="B576" s="1" t="s">
        <v>47</v>
      </c>
      <c r="C576" s="1" t="s">
        <v>16</v>
      </c>
      <c r="D576" s="1" t="s">
        <v>22</v>
      </c>
      <c r="E576" s="1" t="s">
        <v>45</v>
      </c>
      <c r="F576" s="7">
        <v>42247</v>
      </c>
      <c r="G576" s="1" t="s">
        <v>655</v>
      </c>
      <c r="H576" s="7">
        <v>42293</v>
      </c>
      <c r="I576" s="1">
        <f>Europe_Sales_Records[[#This Row],[Ship Date]]-Europe_Sales_Records[[#This Row],[Order Date]]</f>
        <v>46</v>
      </c>
      <c r="J576" s="1">
        <v>7242</v>
      </c>
      <c r="K576" s="1">
        <v>47.45</v>
      </c>
      <c r="L576" s="1">
        <v>31.79</v>
      </c>
      <c r="M576" s="1">
        <f>Europe_Sales_Records[[#This Row],[Unit Price]]-Europe_Sales_Records[[#This Row],[Unit Cost]]</f>
        <v>15.660000000000004</v>
      </c>
      <c r="N576" s="1">
        <v>343632.9</v>
      </c>
      <c r="O576" s="6">
        <v>230223.18</v>
      </c>
      <c r="P576" s="1">
        <v>113409.72</v>
      </c>
    </row>
    <row r="577" spans="1:16" x14ac:dyDescent="0.3">
      <c r="A577" s="1" t="s">
        <v>14</v>
      </c>
      <c r="B577" s="1" t="s">
        <v>99</v>
      </c>
      <c r="C577" s="1" t="s">
        <v>60</v>
      </c>
      <c r="D577" s="1" t="s">
        <v>17</v>
      </c>
      <c r="E577" s="1" t="s">
        <v>30</v>
      </c>
      <c r="F577" s="7">
        <v>41786</v>
      </c>
      <c r="G577" s="1" t="s">
        <v>656</v>
      </c>
      <c r="H577" s="7">
        <v>41829</v>
      </c>
      <c r="I577" s="1">
        <f>Europe_Sales_Records[[#This Row],[Ship Date]]-Europe_Sales_Records[[#This Row],[Order Date]]</f>
        <v>43</v>
      </c>
      <c r="J577" s="1">
        <v>2341</v>
      </c>
      <c r="K577" s="1">
        <v>437.2</v>
      </c>
      <c r="L577" s="1">
        <v>263.33</v>
      </c>
      <c r="M577" s="1">
        <f>Europe_Sales_Records[[#This Row],[Unit Price]]-Europe_Sales_Records[[#This Row],[Unit Cost]]</f>
        <v>173.87</v>
      </c>
      <c r="N577" s="1">
        <v>1023485.2</v>
      </c>
      <c r="O577" s="6">
        <v>616455.53</v>
      </c>
      <c r="P577" s="1">
        <v>407029.67</v>
      </c>
    </row>
    <row r="578" spans="1:16" x14ac:dyDescent="0.3">
      <c r="A578" s="1" t="s">
        <v>14</v>
      </c>
      <c r="B578" s="1" t="s">
        <v>180</v>
      </c>
      <c r="C578" s="1" t="s">
        <v>29</v>
      </c>
      <c r="D578" s="1" t="s">
        <v>17</v>
      </c>
      <c r="E578" s="1" t="s">
        <v>45</v>
      </c>
      <c r="F578" s="7">
        <v>42719</v>
      </c>
      <c r="G578" s="1" t="s">
        <v>657</v>
      </c>
      <c r="H578" s="7">
        <v>42745</v>
      </c>
      <c r="I578" s="1">
        <f>Europe_Sales_Records[[#This Row],[Ship Date]]-Europe_Sales_Records[[#This Row],[Order Date]]</f>
        <v>26</v>
      </c>
      <c r="J578" s="1">
        <v>5597</v>
      </c>
      <c r="K578" s="1">
        <v>651.21</v>
      </c>
      <c r="L578" s="1">
        <v>524.96</v>
      </c>
      <c r="M578" s="1">
        <f>Europe_Sales_Records[[#This Row],[Unit Price]]-Europe_Sales_Records[[#This Row],[Unit Cost]]</f>
        <v>126.25</v>
      </c>
      <c r="N578" s="1">
        <v>3644822.37</v>
      </c>
      <c r="O578" s="6">
        <v>2938201.12</v>
      </c>
      <c r="P578" s="1">
        <v>706621.25</v>
      </c>
    </row>
    <row r="579" spans="1:16" x14ac:dyDescent="0.3">
      <c r="A579" s="1" t="s">
        <v>14</v>
      </c>
      <c r="B579" s="1" t="s">
        <v>35</v>
      </c>
      <c r="C579" s="1" t="s">
        <v>29</v>
      </c>
      <c r="D579" s="1" t="s">
        <v>17</v>
      </c>
      <c r="E579" s="1" t="s">
        <v>45</v>
      </c>
      <c r="F579" s="7">
        <v>40656</v>
      </c>
      <c r="G579" s="1" t="s">
        <v>658</v>
      </c>
      <c r="H579" s="7">
        <v>40657</v>
      </c>
      <c r="I579" s="1">
        <f>Europe_Sales_Records[[#This Row],[Ship Date]]-Europe_Sales_Records[[#This Row],[Order Date]]</f>
        <v>1</v>
      </c>
      <c r="J579" s="1">
        <v>4406</v>
      </c>
      <c r="K579" s="1">
        <v>651.21</v>
      </c>
      <c r="L579" s="1">
        <v>524.96</v>
      </c>
      <c r="M579" s="1">
        <f>Europe_Sales_Records[[#This Row],[Unit Price]]-Europe_Sales_Records[[#This Row],[Unit Cost]]</f>
        <v>126.25</v>
      </c>
      <c r="N579" s="1">
        <v>2869231.26</v>
      </c>
      <c r="O579" s="6">
        <v>2312973.7599999998</v>
      </c>
      <c r="P579" s="1">
        <v>556257.5</v>
      </c>
    </row>
    <row r="580" spans="1:16" x14ac:dyDescent="0.3">
      <c r="A580" s="1" t="s">
        <v>14</v>
      </c>
      <c r="B580" s="1" t="s">
        <v>116</v>
      </c>
      <c r="C580" s="1" t="s">
        <v>79</v>
      </c>
      <c r="D580" s="1" t="s">
        <v>17</v>
      </c>
      <c r="E580" s="1" t="s">
        <v>18</v>
      </c>
      <c r="F580" s="7">
        <v>42229</v>
      </c>
      <c r="G580" s="1" t="s">
        <v>659</v>
      </c>
      <c r="H580" s="7">
        <v>42271</v>
      </c>
      <c r="I580" s="1">
        <f>Europe_Sales_Records[[#This Row],[Ship Date]]-Europe_Sales_Records[[#This Row],[Order Date]]</f>
        <v>42</v>
      </c>
      <c r="J580" s="1">
        <v>9808</v>
      </c>
      <c r="K580" s="1">
        <v>81.73</v>
      </c>
      <c r="L580" s="1">
        <v>56.67</v>
      </c>
      <c r="M580" s="1">
        <f>Europe_Sales_Records[[#This Row],[Unit Price]]-Europe_Sales_Records[[#This Row],[Unit Cost]]</f>
        <v>25.060000000000002</v>
      </c>
      <c r="N580" s="1">
        <v>801607.84</v>
      </c>
      <c r="O580" s="6">
        <v>555819.36</v>
      </c>
      <c r="P580" s="1">
        <v>245788.48</v>
      </c>
    </row>
    <row r="581" spans="1:16" x14ac:dyDescent="0.3">
      <c r="A581" s="1" t="s">
        <v>14</v>
      </c>
      <c r="B581" s="1" t="s">
        <v>150</v>
      </c>
      <c r="C581" s="1" t="s">
        <v>21</v>
      </c>
      <c r="D581" s="1" t="s">
        <v>17</v>
      </c>
      <c r="E581" s="1" t="s">
        <v>30</v>
      </c>
      <c r="F581" s="7">
        <v>40681</v>
      </c>
      <c r="G581" s="1" t="s">
        <v>660</v>
      </c>
      <c r="H581" s="7">
        <v>40702</v>
      </c>
      <c r="I581" s="1">
        <f>Europe_Sales_Records[[#This Row],[Ship Date]]-Europe_Sales_Records[[#This Row],[Order Date]]</f>
        <v>21</v>
      </c>
      <c r="J581" s="1">
        <v>677</v>
      </c>
      <c r="K581" s="1">
        <v>109.28</v>
      </c>
      <c r="L581" s="1">
        <v>35.840000000000003</v>
      </c>
      <c r="M581" s="1">
        <f>Europe_Sales_Records[[#This Row],[Unit Price]]-Europe_Sales_Records[[#This Row],[Unit Cost]]</f>
        <v>73.44</v>
      </c>
      <c r="N581" s="1">
        <v>73982.559999999998</v>
      </c>
      <c r="O581" s="6">
        <v>24263.68</v>
      </c>
      <c r="P581" s="1">
        <v>49718.879999999997</v>
      </c>
    </row>
    <row r="582" spans="1:16" x14ac:dyDescent="0.3">
      <c r="A582" s="1" t="s">
        <v>14</v>
      </c>
      <c r="B582" s="1" t="s">
        <v>44</v>
      </c>
      <c r="C582" s="1" t="s">
        <v>29</v>
      </c>
      <c r="D582" s="1" t="s">
        <v>22</v>
      </c>
      <c r="E582" s="1" t="s">
        <v>45</v>
      </c>
      <c r="F582" s="7">
        <v>40898</v>
      </c>
      <c r="G582" s="1" t="s">
        <v>661</v>
      </c>
      <c r="H582" s="7">
        <v>40918</v>
      </c>
      <c r="I582" s="1">
        <f>Europe_Sales_Records[[#This Row],[Ship Date]]-Europe_Sales_Records[[#This Row],[Order Date]]</f>
        <v>20</v>
      </c>
      <c r="J582" s="1">
        <v>6589</v>
      </c>
      <c r="K582" s="1">
        <v>651.21</v>
      </c>
      <c r="L582" s="1">
        <v>524.96</v>
      </c>
      <c r="M582" s="1">
        <f>Europe_Sales_Records[[#This Row],[Unit Price]]-Europe_Sales_Records[[#This Row],[Unit Cost]]</f>
        <v>126.25</v>
      </c>
      <c r="N582" s="1">
        <v>4290822.6900000004</v>
      </c>
      <c r="O582" s="6">
        <v>3458961.44</v>
      </c>
      <c r="P582" s="1">
        <v>831861.25</v>
      </c>
    </row>
    <row r="583" spans="1:16" x14ac:dyDescent="0.3">
      <c r="A583" s="1" t="s">
        <v>14</v>
      </c>
      <c r="B583" s="1" t="s">
        <v>232</v>
      </c>
      <c r="C583" s="1" t="s">
        <v>79</v>
      </c>
      <c r="D583" s="1" t="s">
        <v>17</v>
      </c>
      <c r="E583" s="1" t="s">
        <v>30</v>
      </c>
      <c r="F583" s="7">
        <v>42209</v>
      </c>
      <c r="G583" s="1" t="s">
        <v>662</v>
      </c>
      <c r="H583" s="7">
        <v>42216</v>
      </c>
      <c r="I583" s="1">
        <f>Europe_Sales_Records[[#This Row],[Ship Date]]-Europe_Sales_Records[[#This Row],[Order Date]]</f>
        <v>7</v>
      </c>
      <c r="J583" s="1">
        <v>4934</v>
      </c>
      <c r="K583" s="1">
        <v>81.73</v>
      </c>
      <c r="L583" s="1">
        <v>56.67</v>
      </c>
      <c r="M583" s="1">
        <f>Europe_Sales_Records[[#This Row],[Unit Price]]-Europe_Sales_Records[[#This Row],[Unit Cost]]</f>
        <v>25.060000000000002</v>
      </c>
      <c r="N583" s="1">
        <v>403255.82</v>
      </c>
      <c r="O583" s="6">
        <v>279609.78000000003</v>
      </c>
      <c r="P583" s="1">
        <v>123646.04</v>
      </c>
    </row>
    <row r="584" spans="1:16" x14ac:dyDescent="0.3">
      <c r="A584" s="1" t="s">
        <v>14</v>
      </c>
      <c r="B584" s="1" t="s">
        <v>91</v>
      </c>
      <c r="C584" s="1" t="s">
        <v>42</v>
      </c>
      <c r="D584" s="1" t="s">
        <v>17</v>
      </c>
      <c r="E584" s="1" t="s">
        <v>18</v>
      </c>
      <c r="F584" s="7">
        <v>42644</v>
      </c>
      <c r="G584" s="1" t="s">
        <v>663</v>
      </c>
      <c r="H584" s="7">
        <v>42680</v>
      </c>
      <c r="I584" s="1">
        <f>Europe_Sales_Records[[#This Row],[Ship Date]]-Europe_Sales_Records[[#This Row],[Order Date]]</f>
        <v>36</v>
      </c>
      <c r="J584" s="1">
        <v>342</v>
      </c>
      <c r="K584" s="1">
        <v>421.89</v>
      </c>
      <c r="L584" s="1">
        <v>364.69</v>
      </c>
      <c r="M584" s="1">
        <f>Europe_Sales_Records[[#This Row],[Unit Price]]-Europe_Sales_Records[[#This Row],[Unit Cost]]</f>
        <v>57.199999999999989</v>
      </c>
      <c r="N584" s="1">
        <v>144286.38</v>
      </c>
      <c r="O584" s="6">
        <v>124723.98</v>
      </c>
      <c r="P584" s="1">
        <v>19562.400000000001</v>
      </c>
    </row>
    <row r="585" spans="1:16" x14ac:dyDescent="0.3">
      <c r="A585" s="1" t="s">
        <v>14</v>
      </c>
      <c r="B585" s="1" t="s">
        <v>77</v>
      </c>
      <c r="C585" s="1" t="s">
        <v>26</v>
      </c>
      <c r="D585" s="1" t="s">
        <v>17</v>
      </c>
      <c r="E585" s="1" t="s">
        <v>23</v>
      </c>
      <c r="F585" s="7">
        <v>41475</v>
      </c>
      <c r="G585" s="1" t="s">
        <v>664</v>
      </c>
      <c r="H585" s="7">
        <v>41510</v>
      </c>
      <c r="I585" s="1">
        <f>Europe_Sales_Records[[#This Row],[Ship Date]]-Europe_Sales_Records[[#This Row],[Order Date]]</f>
        <v>35</v>
      </c>
      <c r="J585" s="1">
        <v>9229</v>
      </c>
      <c r="K585" s="1">
        <v>205.7</v>
      </c>
      <c r="L585" s="1">
        <v>117.11</v>
      </c>
      <c r="M585" s="1">
        <f>Europe_Sales_Records[[#This Row],[Unit Price]]-Europe_Sales_Records[[#This Row],[Unit Cost]]</f>
        <v>88.589999999999989</v>
      </c>
      <c r="N585" s="1">
        <v>1898405.3</v>
      </c>
      <c r="O585" s="6">
        <v>1080808.19</v>
      </c>
      <c r="P585" s="1">
        <v>817597.11</v>
      </c>
    </row>
    <row r="586" spans="1:16" x14ac:dyDescent="0.3">
      <c r="A586" s="1" t="s">
        <v>14</v>
      </c>
      <c r="B586" s="1" t="s">
        <v>87</v>
      </c>
      <c r="C586" s="1" t="s">
        <v>60</v>
      </c>
      <c r="D586" s="1" t="s">
        <v>22</v>
      </c>
      <c r="E586" s="1" t="s">
        <v>30</v>
      </c>
      <c r="F586" s="7">
        <v>40744</v>
      </c>
      <c r="G586" s="1" t="s">
        <v>665</v>
      </c>
      <c r="H586" s="7">
        <v>40781</v>
      </c>
      <c r="I586" s="1">
        <f>Europe_Sales_Records[[#This Row],[Ship Date]]-Europe_Sales_Records[[#This Row],[Order Date]]</f>
        <v>37</v>
      </c>
      <c r="J586" s="1">
        <v>2260</v>
      </c>
      <c r="K586" s="1">
        <v>437.2</v>
      </c>
      <c r="L586" s="1">
        <v>263.33</v>
      </c>
      <c r="M586" s="1">
        <f>Europe_Sales_Records[[#This Row],[Unit Price]]-Europe_Sales_Records[[#This Row],[Unit Cost]]</f>
        <v>173.87</v>
      </c>
      <c r="N586" s="1">
        <v>988072</v>
      </c>
      <c r="O586" s="6">
        <v>595125.80000000005</v>
      </c>
      <c r="P586" s="1">
        <v>392946.2</v>
      </c>
    </row>
    <row r="587" spans="1:16" x14ac:dyDescent="0.3">
      <c r="A587" s="1" t="s">
        <v>14</v>
      </c>
      <c r="B587" s="1" t="s">
        <v>25</v>
      </c>
      <c r="C587" s="1" t="s">
        <v>57</v>
      </c>
      <c r="D587" s="1" t="s">
        <v>17</v>
      </c>
      <c r="E587" s="1" t="s">
        <v>23</v>
      </c>
      <c r="F587" s="7">
        <v>40417</v>
      </c>
      <c r="G587" s="1" t="s">
        <v>666</v>
      </c>
      <c r="H587" s="7">
        <v>40452</v>
      </c>
      <c r="I587" s="1">
        <f>Europe_Sales_Records[[#This Row],[Ship Date]]-Europe_Sales_Records[[#This Row],[Order Date]]</f>
        <v>35</v>
      </c>
      <c r="J587" s="1">
        <v>2599</v>
      </c>
      <c r="K587" s="1">
        <v>668.27</v>
      </c>
      <c r="L587" s="1">
        <v>502.54</v>
      </c>
      <c r="M587" s="1">
        <f>Europe_Sales_Records[[#This Row],[Unit Price]]-Europe_Sales_Records[[#This Row],[Unit Cost]]</f>
        <v>165.72999999999996</v>
      </c>
      <c r="N587" s="1">
        <v>1736833.73</v>
      </c>
      <c r="O587" s="6">
        <v>1306101.46</v>
      </c>
      <c r="P587" s="1">
        <v>430732.27</v>
      </c>
    </row>
    <row r="588" spans="1:16" x14ac:dyDescent="0.3">
      <c r="A588" s="1" t="s">
        <v>14</v>
      </c>
      <c r="B588" s="1" t="s">
        <v>129</v>
      </c>
      <c r="C588" s="1" t="s">
        <v>57</v>
      </c>
      <c r="D588" s="1" t="s">
        <v>22</v>
      </c>
      <c r="E588" s="1" t="s">
        <v>30</v>
      </c>
      <c r="F588" s="7">
        <v>41543</v>
      </c>
      <c r="G588" s="1" t="s">
        <v>667</v>
      </c>
      <c r="H588" s="7">
        <v>41558</v>
      </c>
      <c r="I588" s="1">
        <f>Europe_Sales_Records[[#This Row],[Ship Date]]-Europe_Sales_Records[[#This Row],[Order Date]]</f>
        <v>15</v>
      </c>
      <c r="J588" s="1">
        <v>356</v>
      </c>
      <c r="K588" s="1">
        <v>668.27</v>
      </c>
      <c r="L588" s="1">
        <v>502.54</v>
      </c>
      <c r="M588" s="1">
        <f>Europe_Sales_Records[[#This Row],[Unit Price]]-Europe_Sales_Records[[#This Row],[Unit Cost]]</f>
        <v>165.72999999999996</v>
      </c>
      <c r="N588" s="1">
        <v>237904.12</v>
      </c>
      <c r="O588" s="6">
        <v>178904.24</v>
      </c>
      <c r="P588" s="1">
        <v>58999.88</v>
      </c>
    </row>
    <row r="589" spans="1:16" x14ac:dyDescent="0.3">
      <c r="A589" s="1" t="s">
        <v>14</v>
      </c>
      <c r="B589" s="1" t="s">
        <v>81</v>
      </c>
      <c r="C589" s="1" t="s">
        <v>21</v>
      </c>
      <c r="D589" s="1" t="s">
        <v>22</v>
      </c>
      <c r="E589" s="1" t="s">
        <v>18</v>
      </c>
      <c r="F589" s="7">
        <v>41046</v>
      </c>
      <c r="G589" s="1" t="s">
        <v>668</v>
      </c>
      <c r="H589" s="7">
        <v>41085</v>
      </c>
      <c r="I589" s="1">
        <f>Europe_Sales_Records[[#This Row],[Ship Date]]-Europe_Sales_Records[[#This Row],[Order Date]]</f>
        <v>39</v>
      </c>
      <c r="J589" s="1">
        <v>7656</v>
      </c>
      <c r="K589" s="1">
        <v>109.28</v>
      </c>
      <c r="L589" s="1">
        <v>35.840000000000003</v>
      </c>
      <c r="M589" s="1">
        <f>Europe_Sales_Records[[#This Row],[Unit Price]]-Europe_Sales_Records[[#This Row],[Unit Cost]]</f>
        <v>73.44</v>
      </c>
      <c r="N589" s="1">
        <v>836647.68</v>
      </c>
      <c r="O589" s="6">
        <v>274391.03999999998</v>
      </c>
      <c r="P589" s="1">
        <v>562256.64000000001</v>
      </c>
    </row>
    <row r="590" spans="1:16" x14ac:dyDescent="0.3">
      <c r="A590" s="1" t="s">
        <v>14</v>
      </c>
      <c r="B590" s="1" t="s">
        <v>65</v>
      </c>
      <c r="C590" s="1" t="s">
        <v>39</v>
      </c>
      <c r="D590" s="1" t="s">
        <v>17</v>
      </c>
      <c r="E590" s="1" t="s">
        <v>18</v>
      </c>
      <c r="F590" s="7">
        <v>41720</v>
      </c>
      <c r="G590" s="1" t="s">
        <v>669</v>
      </c>
      <c r="H590" s="7">
        <v>41732</v>
      </c>
      <c r="I590" s="1">
        <f>Europe_Sales_Records[[#This Row],[Ship Date]]-Europe_Sales_Records[[#This Row],[Order Date]]</f>
        <v>12</v>
      </c>
      <c r="J590" s="1">
        <v>1657</v>
      </c>
      <c r="K590" s="1">
        <v>154.06</v>
      </c>
      <c r="L590" s="1">
        <v>90.93</v>
      </c>
      <c r="M590" s="1">
        <f>Europe_Sales_Records[[#This Row],[Unit Price]]-Europe_Sales_Records[[#This Row],[Unit Cost]]</f>
        <v>63.129999999999995</v>
      </c>
      <c r="N590" s="1">
        <v>255277.42</v>
      </c>
      <c r="O590" s="6">
        <v>150671.01</v>
      </c>
      <c r="P590" s="1">
        <v>104606.41</v>
      </c>
    </row>
    <row r="591" spans="1:16" x14ac:dyDescent="0.3">
      <c r="A591" s="1" t="s">
        <v>14</v>
      </c>
      <c r="B591" s="1" t="s">
        <v>47</v>
      </c>
      <c r="C591" s="1" t="s">
        <v>39</v>
      </c>
      <c r="D591" s="1" t="s">
        <v>22</v>
      </c>
      <c r="E591" s="1" t="s">
        <v>45</v>
      </c>
      <c r="F591" s="7">
        <v>41420</v>
      </c>
      <c r="G591" s="1" t="s">
        <v>670</v>
      </c>
      <c r="H591" s="7">
        <v>41468</v>
      </c>
      <c r="I591" s="1">
        <f>Europe_Sales_Records[[#This Row],[Ship Date]]-Europe_Sales_Records[[#This Row],[Order Date]]</f>
        <v>48</v>
      </c>
      <c r="J591" s="1">
        <v>7426</v>
      </c>
      <c r="K591" s="1">
        <v>154.06</v>
      </c>
      <c r="L591" s="1">
        <v>90.93</v>
      </c>
      <c r="M591" s="1">
        <f>Europe_Sales_Records[[#This Row],[Unit Price]]-Europe_Sales_Records[[#This Row],[Unit Cost]]</f>
        <v>63.129999999999995</v>
      </c>
      <c r="N591" s="1">
        <v>1144049.56</v>
      </c>
      <c r="O591" s="6">
        <v>675246.18</v>
      </c>
      <c r="P591" s="1">
        <v>468803.38</v>
      </c>
    </row>
    <row r="592" spans="1:16" x14ac:dyDescent="0.3">
      <c r="A592" s="1" t="s">
        <v>14</v>
      </c>
      <c r="B592" s="1" t="s">
        <v>129</v>
      </c>
      <c r="C592" s="1" t="s">
        <v>26</v>
      </c>
      <c r="D592" s="1" t="s">
        <v>22</v>
      </c>
      <c r="E592" s="1" t="s">
        <v>45</v>
      </c>
      <c r="F592" s="7">
        <v>41298</v>
      </c>
      <c r="G592" s="1" t="s">
        <v>671</v>
      </c>
      <c r="H592" s="7">
        <v>41305</v>
      </c>
      <c r="I592" s="1">
        <f>Europe_Sales_Records[[#This Row],[Ship Date]]-Europe_Sales_Records[[#This Row],[Order Date]]</f>
        <v>7</v>
      </c>
      <c r="J592" s="1">
        <v>2569</v>
      </c>
      <c r="K592" s="1">
        <v>205.7</v>
      </c>
      <c r="L592" s="1">
        <v>117.11</v>
      </c>
      <c r="M592" s="1">
        <f>Europe_Sales_Records[[#This Row],[Unit Price]]-Europe_Sales_Records[[#This Row],[Unit Cost]]</f>
        <v>88.589999999999989</v>
      </c>
      <c r="N592" s="1">
        <v>528443.30000000005</v>
      </c>
      <c r="O592" s="6">
        <v>300855.59000000003</v>
      </c>
      <c r="P592" s="1">
        <v>227587.71</v>
      </c>
    </row>
    <row r="593" spans="1:16" x14ac:dyDescent="0.3">
      <c r="A593" s="1" t="s">
        <v>14</v>
      </c>
      <c r="B593" s="1" t="s">
        <v>20</v>
      </c>
      <c r="C593" s="1" t="s">
        <v>29</v>
      </c>
      <c r="D593" s="1" t="s">
        <v>17</v>
      </c>
      <c r="E593" s="1" t="s">
        <v>18</v>
      </c>
      <c r="F593" s="7">
        <v>40300</v>
      </c>
      <c r="G593" s="1" t="s">
        <v>672</v>
      </c>
      <c r="H593" s="7">
        <v>40306</v>
      </c>
      <c r="I593" s="1">
        <f>Europe_Sales_Records[[#This Row],[Ship Date]]-Europe_Sales_Records[[#This Row],[Order Date]]</f>
        <v>6</v>
      </c>
      <c r="J593" s="1">
        <v>2</v>
      </c>
      <c r="K593" s="1">
        <v>651.21</v>
      </c>
      <c r="L593" s="1">
        <v>524.96</v>
      </c>
      <c r="M593" s="1">
        <f>Europe_Sales_Records[[#This Row],[Unit Price]]-Europe_Sales_Records[[#This Row],[Unit Cost]]</f>
        <v>126.25</v>
      </c>
      <c r="N593" s="1">
        <v>1302.42</v>
      </c>
      <c r="O593" s="6">
        <v>1049.92</v>
      </c>
      <c r="P593" s="1">
        <v>252.5</v>
      </c>
    </row>
    <row r="594" spans="1:16" x14ac:dyDescent="0.3">
      <c r="A594" s="1" t="s">
        <v>14</v>
      </c>
      <c r="B594" s="1" t="s">
        <v>131</v>
      </c>
      <c r="C594" s="1" t="s">
        <v>26</v>
      </c>
      <c r="D594" s="1" t="s">
        <v>22</v>
      </c>
      <c r="E594" s="1" t="s">
        <v>23</v>
      </c>
      <c r="F594" s="7">
        <v>41280</v>
      </c>
      <c r="G594" s="1" t="s">
        <v>673</v>
      </c>
      <c r="H594" s="7">
        <v>41315</v>
      </c>
      <c r="I594" s="1">
        <f>Europe_Sales_Records[[#This Row],[Ship Date]]-Europe_Sales_Records[[#This Row],[Order Date]]</f>
        <v>35</v>
      </c>
      <c r="J594" s="1">
        <v>4920</v>
      </c>
      <c r="K594" s="1">
        <v>205.7</v>
      </c>
      <c r="L594" s="1">
        <v>117.11</v>
      </c>
      <c r="M594" s="1">
        <f>Europe_Sales_Records[[#This Row],[Unit Price]]-Europe_Sales_Records[[#This Row],[Unit Cost]]</f>
        <v>88.589999999999989</v>
      </c>
      <c r="N594" s="1">
        <v>1012044</v>
      </c>
      <c r="O594" s="6">
        <v>576181.19999999995</v>
      </c>
      <c r="P594" s="1">
        <v>435862.8</v>
      </c>
    </row>
    <row r="595" spans="1:16" x14ac:dyDescent="0.3">
      <c r="A595" s="1" t="s">
        <v>14</v>
      </c>
      <c r="B595" s="1" t="s">
        <v>176</v>
      </c>
      <c r="C595" s="1" t="s">
        <v>33</v>
      </c>
      <c r="D595" s="1" t="s">
        <v>22</v>
      </c>
      <c r="E595" s="1" t="s">
        <v>30</v>
      </c>
      <c r="F595" s="7">
        <v>40391</v>
      </c>
      <c r="G595" s="1" t="s">
        <v>674</v>
      </c>
      <c r="H595" s="7">
        <v>40428</v>
      </c>
      <c r="I595" s="1">
        <f>Europe_Sales_Records[[#This Row],[Ship Date]]-Europe_Sales_Records[[#This Row],[Order Date]]</f>
        <v>37</v>
      </c>
      <c r="J595" s="1">
        <v>1886</v>
      </c>
      <c r="K595" s="1">
        <v>9.33</v>
      </c>
      <c r="L595" s="1">
        <v>6.92</v>
      </c>
      <c r="M595" s="1">
        <f>Europe_Sales_Records[[#This Row],[Unit Price]]-Europe_Sales_Records[[#This Row],[Unit Cost]]</f>
        <v>2.41</v>
      </c>
      <c r="N595" s="1">
        <v>17596.38</v>
      </c>
      <c r="O595" s="6">
        <v>13051.12</v>
      </c>
      <c r="P595" s="1">
        <v>4545.26</v>
      </c>
    </row>
    <row r="596" spans="1:16" x14ac:dyDescent="0.3">
      <c r="A596" s="1" t="s">
        <v>14</v>
      </c>
      <c r="B596" s="1" t="s">
        <v>63</v>
      </c>
      <c r="C596" s="1" t="s">
        <v>42</v>
      </c>
      <c r="D596" s="1" t="s">
        <v>17</v>
      </c>
      <c r="E596" s="1" t="s">
        <v>18</v>
      </c>
      <c r="F596" s="7">
        <v>40748</v>
      </c>
      <c r="G596" s="1" t="s">
        <v>675</v>
      </c>
      <c r="H596" s="7">
        <v>40783</v>
      </c>
      <c r="I596" s="1">
        <f>Europe_Sales_Records[[#This Row],[Ship Date]]-Europe_Sales_Records[[#This Row],[Order Date]]</f>
        <v>35</v>
      </c>
      <c r="J596" s="1">
        <v>4157</v>
      </c>
      <c r="K596" s="1">
        <v>421.89</v>
      </c>
      <c r="L596" s="1">
        <v>364.69</v>
      </c>
      <c r="M596" s="1">
        <f>Europe_Sales_Records[[#This Row],[Unit Price]]-Europe_Sales_Records[[#This Row],[Unit Cost]]</f>
        <v>57.199999999999989</v>
      </c>
      <c r="N596" s="1">
        <v>1753796.73</v>
      </c>
      <c r="O596" s="6">
        <v>1516016.33</v>
      </c>
      <c r="P596" s="1">
        <v>237780.4</v>
      </c>
    </row>
    <row r="597" spans="1:16" x14ac:dyDescent="0.3">
      <c r="A597" s="1" t="s">
        <v>14</v>
      </c>
      <c r="B597" s="1" t="s">
        <v>152</v>
      </c>
      <c r="C597" s="1" t="s">
        <v>29</v>
      </c>
      <c r="D597" s="1" t="s">
        <v>22</v>
      </c>
      <c r="E597" s="1" t="s">
        <v>30</v>
      </c>
      <c r="F597" s="7">
        <v>42053</v>
      </c>
      <c r="G597" s="1" t="s">
        <v>676</v>
      </c>
      <c r="H597" s="7">
        <v>42097</v>
      </c>
      <c r="I597" s="1">
        <f>Europe_Sales_Records[[#This Row],[Ship Date]]-Europe_Sales_Records[[#This Row],[Order Date]]</f>
        <v>44</v>
      </c>
      <c r="J597" s="1">
        <v>1877</v>
      </c>
      <c r="K597" s="1">
        <v>651.21</v>
      </c>
      <c r="L597" s="1">
        <v>524.96</v>
      </c>
      <c r="M597" s="1">
        <f>Europe_Sales_Records[[#This Row],[Unit Price]]-Europe_Sales_Records[[#This Row],[Unit Cost]]</f>
        <v>126.25</v>
      </c>
      <c r="N597" s="1">
        <v>1222321.17</v>
      </c>
      <c r="O597" s="6">
        <v>985349.92</v>
      </c>
      <c r="P597" s="1">
        <v>236971.25</v>
      </c>
    </row>
    <row r="598" spans="1:16" x14ac:dyDescent="0.3">
      <c r="A598" s="1" t="s">
        <v>14</v>
      </c>
      <c r="B598" s="1" t="s">
        <v>99</v>
      </c>
      <c r="C598" s="1" t="s">
        <v>29</v>
      </c>
      <c r="D598" s="1" t="s">
        <v>17</v>
      </c>
      <c r="E598" s="1" t="s">
        <v>18</v>
      </c>
      <c r="F598" s="7">
        <v>42265</v>
      </c>
      <c r="G598" s="1" t="s">
        <v>677</v>
      </c>
      <c r="H598" s="7">
        <v>42297</v>
      </c>
      <c r="I598" s="1">
        <f>Europe_Sales_Records[[#This Row],[Ship Date]]-Europe_Sales_Records[[#This Row],[Order Date]]</f>
        <v>32</v>
      </c>
      <c r="J598" s="1">
        <v>8179</v>
      </c>
      <c r="K598" s="1">
        <v>651.21</v>
      </c>
      <c r="L598" s="1">
        <v>524.96</v>
      </c>
      <c r="M598" s="1">
        <f>Europe_Sales_Records[[#This Row],[Unit Price]]-Europe_Sales_Records[[#This Row],[Unit Cost]]</f>
        <v>126.25</v>
      </c>
      <c r="N598" s="1">
        <v>5326246.59</v>
      </c>
      <c r="O598" s="6">
        <v>4293647.84</v>
      </c>
      <c r="P598" s="1">
        <v>1032598.75</v>
      </c>
    </row>
    <row r="599" spans="1:16" x14ac:dyDescent="0.3">
      <c r="A599" s="1" t="s">
        <v>14</v>
      </c>
      <c r="B599" s="1" t="s">
        <v>129</v>
      </c>
      <c r="C599" s="1" t="s">
        <v>26</v>
      </c>
      <c r="D599" s="1" t="s">
        <v>17</v>
      </c>
      <c r="E599" s="1" t="s">
        <v>30</v>
      </c>
      <c r="F599" s="7">
        <v>40839</v>
      </c>
      <c r="G599" s="1" t="s">
        <v>678</v>
      </c>
      <c r="H599" s="7">
        <v>40840</v>
      </c>
      <c r="I599" s="1">
        <f>Europe_Sales_Records[[#This Row],[Ship Date]]-Europe_Sales_Records[[#This Row],[Order Date]]</f>
        <v>1</v>
      </c>
      <c r="J599" s="1">
        <v>8468</v>
      </c>
      <c r="K599" s="1">
        <v>205.7</v>
      </c>
      <c r="L599" s="1">
        <v>117.11</v>
      </c>
      <c r="M599" s="1">
        <f>Europe_Sales_Records[[#This Row],[Unit Price]]-Europe_Sales_Records[[#This Row],[Unit Cost]]</f>
        <v>88.589999999999989</v>
      </c>
      <c r="N599" s="1">
        <v>1741867.6</v>
      </c>
      <c r="O599" s="6">
        <v>991687.48</v>
      </c>
      <c r="P599" s="1">
        <v>750180.12</v>
      </c>
    </row>
    <row r="600" spans="1:16" x14ac:dyDescent="0.3">
      <c r="A600" s="1" t="s">
        <v>14</v>
      </c>
      <c r="B600" s="1" t="s">
        <v>28</v>
      </c>
      <c r="C600" s="1" t="s">
        <v>33</v>
      </c>
      <c r="D600" s="1" t="s">
        <v>22</v>
      </c>
      <c r="E600" s="1" t="s">
        <v>30</v>
      </c>
      <c r="F600" s="7">
        <v>42441</v>
      </c>
      <c r="G600" s="1" t="s">
        <v>679</v>
      </c>
      <c r="H600" s="7">
        <v>42467</v>
      </c>
      <c r="I600" s="1">
        <f>Europe_Sales_Records[[#This Row],[Ship Date]]-Europe_Sales_Records[[#This Row],[Order Date]]</f>
        <v>26</v>
      </c>
      <c r="J600" s="1">
        <v>9394</v>
      </c>
      <c r="K600" s="1">
        <v>9.33</v>
      </c>
      <c r="L600" s="1">
        <v>6.92</v>
      </c>
      <c r="M600" s="1">
        <f>Europe_Sales_Records[[#This Row],[Unit Price]]-Europe_Sales_Records[[#This Row],[Unit Cost]]</f>
        <v>2.41</v>
      </c>
      <c r="N600" s="1">
        <v>87646.02</v>
      </c>
      <c r="O600" s="6">
        <v>65006.48</v>
      </c>
      <c r="P600" s="1">
        <v>22639.54</v>
      </c>
    </row>
    <row r="601" spans="1:16" x14ac:dyDescent="0.3">
      <c r="A601" s="1" t="s">
        <v>14</v>
      </c>
      <c r="B601" s="1" t="s">
        <v>75</v>
      </c>
      <c r="C601" s="1" t="s">
        <v>26</v>
      </c>
      <c r="D601" s="1" t="s">
        <v>22</v>
      </c>
      <c r="E601" s="1" t="s">
        <v>23</v>
      </c>
      <c r="F601" s="7">
        <v>40960</v>
      </c>
      <c r="G601" s="1" t="s">
        <v>680</v>
      </c>
      <c r="H601" s="7">
        <v>40993</v>
      </c>
      <c r="I601" s="1">
        <f>Europe_Sales_Records[[#This Row],[Ship Date]]-Europe_Sales_Records[[#This Row],[Order Date]]</f>
        <v>33</v>
      </c>
      <c r="J601" s="1">
        <v>8668</v>
      </c>
      <c r="K601" s="1">
        <v>205.7</v>
      </c>
      <c r="L601" s="1">
        <v>117.11</v>
      </c>
      <c r="M601" s="1">
        <f>Europe_Sales_Records[[#This Row],[Unit Price]]-Europe_Sales_Records[[#This Row],[Unit Cost]]</f>
        <v>88.589999999999989</v>
      </c>
      <c r="N601" s="1">
        <v>1783007.6</v>
      </c>
      <c r="O601" s="6">
        <v>1015109.48</v>
      </c>
      <c r="P601" s="1">
        <v>767898.12</v>
      </c>
    </row>
    <row r="602" spans="1:16" x14ac:dyDescent="0.3">
      <c r="A602" s="1" t="s">
        <v>14</v>
      </c>
      <c r="B602" s="1" t="s">
        <v>28</v>
      </c>
      <c r="C602" s="1" t="s">
        <v>57</v>
      </c>
      <c r="D602" s="1" t="s">
        <v>22</v>
      </c>
      <c r="E602" s="1" t="s">
        <v>23</v>
      </c>
      <c r="F602" s="7">
        <v>42886</v>
      </c>
      <c r="G602" s="1" t="s">
        <v>681</v>
      </c>
      <c r="H602" s="7">
        <v>42918</v>
      </c>
      <c r="I602" s="1">
        <f>Europe_Sales_Records[[#This Row],[Ship Date]]-Europe_Sales_Records[[#This Row],[Order Date]]</f>
        <v>32</v>
      </c>
      <c r="J602" s="1">
        <v>600</v>
      </c>
      <c r="K602" s="1">
        <v>668.27</v>
      </c>
      <c r="L602" s="1">
        <v>502.54</v>
      </c>
      <c r="M602" s="1">
        <f>Europe_Sales_Records[[#This Row],[Unit Price]]-Europe_Sales_Records[[#This Row],[Unit Cost]]</f>
        <v>165.72999999999996</v>
      </c>
      <c r="N602" s="1">
        <v>400962</v>
      </c>
      <c r="O602" s="6">
        <v>301524</v>
      </c>
      <c r="P602" s="1">
        <v>99438</v>
      </c>
    </row>
    <row r="603" spans="1:16" x14ac:dyDescent="0.3">
      <c r="A603" s="1" t="s">
        <v>14</v>
      </c>
      <c r="B603" s="1" t="s">
        <v>44</v>
      </c>
      <c r="C603" s="1" t="s">
        <v>79</v>
      </c>
      <c r="D603" s="1" t="s">
        <v>22</v>
      </c>
      <c r="E603" s="1" t="s">
        <v>23</v>
      </c>
      <c r="F603" s="7">
        <v>41845</v>
      </c>
      <c r="G603" s="1" t="s">
        <v>682</v>
      </c>
      <c r="H603" s="7">
        <v>41886</v>
      </c>
      <c r="I603" s="1">
        <f>Europe_Sales_Records[[#This Row],[Ship Date]]-Europe_Sales_Records[[#This Row],[Order Date]]</f>
        <v>41</v>
      </c>
      <c r="J603" s="1">
        <v>4322</v>
      </c>
      <c r="K603" s="1">
        <v>81.73</v>
      </c>
      <c r="L603" s="1">
        <v>56.67</v>
      </c>
      <c r="M603" s="1">
        <f>Europe_Sales_Records[[#This Row],[Unit Price]]-Europe_Sales_Records[[#This Row],[Unit Cost]]</f>
        <v>25.060000000000002</v>
      </c>
      <c r="N603" s="1">
        <v>353237.06</v>
      </c>
      <c r="O603" s="6">
        <v>244927.74</v>
      </c>
      <c r="P603" s="1">
        <v>108309.32</v>
      </c>
    </row>
    <row r="604" spans="1:16" x14ac:dyDescent="0.3">
      <c r="A604" s="1" t="s">
        <v>14</v>
      </c>
      <c r="B604" s="1" t="s">
        <v>172</v>
      </c>
      <c r="C604" s="1" t="s">
        <v>57</v>
      </c>
      <c r="D604" s="1" t="s">
        <v>17</v>
      </c>
      <c r="E604" s="1" t="s">
        <v>18</v>
      </c>
      <c r="F604" s="7">
        <v>40587</v>
      </c>
      <c r="G604" s="1" t="s">
        <v>683</v>
      </c>
      <c r="H604" s="7">
        <v>40630</v>
      </c>
      <c r="I604" s="1">
        <f>Europe_Sales_Records[[#This Row],[Ship Date]]-Europe_Sales_Records[[#This Row],[Order Date]]</f>
        <v>43</v>
      </c>
      <c r="J604" s="1">
        <v>3844</v>
      </c>
      <c r="K604" s="1">
        <v>668.27</v>
      </c>
      <c r="L604" s="1">
        <v>502.54</v>
      </c>
      <c r="M604" s="1">
        <f>Europe_Sales_Records[[#This Row],[Unit Price]]-Europe_Sales_Records[[#This Row],[Unit Cost]]</f>
        <v>165.72999999999996</v>
      </c>
      <c r="N604" s="1">
        <v>2568829.88</v>
      </c>
      <c r="O604" s="6">
        <v>1931763.76</v>
      </c>
      <c r="P604" s="1">
        <v>637066.12</v>
      </c>
    </row>
    <row r="605" spans="1:16" x14ac:dyDescent="0.3">
      <c r="A605" s="1" t="s">
        <v>14</v>
      </c>
      <c r="B605" s="1" t="s">
        <v>50</v>
      </c>
      <c r="C605" s="1" t="s">
        <v>39</v>
      </c>
      <c r="D605" s="1" t="s">
        <v>17</v>
      </c>
      <c r="E605" s="1" t="s">
        <v>30</v>
      </c>
      <c r="F605" s="7">
        <v>42548</v>
      </c>
      <c r="G605" s="1" t="s">
        <v>684</v>
      </c>
      <c r="H605" s="7">
        <v>42569</v>
      </c>
      <c r="I605" s="1">
        <f>Europe_Sales_Records[[#This Row],[Ship Date]]-Europe_Sales_Records[[#This Row],[Order Date]]</f>
        <v>21</v>
      </c>
      <c r="J605" s="1">
        <v>1485</v>
      </c>
      <c r="K605" s="1">
        <v>154.06</v>
      </c>
      <c r="L605" s="1">
        <v>90.93</v>
      </c>
      <c r="M605" s="1">
        <f>Europe_Sales_Records[[#This Row],[Unit Price]]-Europe_Sales_Records[[#This Row],[Unit Cost]]</f>
        <v>63.129999999999995</v>
      </c>
      <c r="N605" s="1">
        <v>228779.1</v>
      </c>
      <c r="O605" s="6">
        <v>135031.04999999999</v>
      </c>
      <c r="P605" s="1">
        <v>93748.05</v>
      </c>
    </row>
    <row r="606" spans="1:16" x14ac:dyDescent="0.3">
      <c r="A606" s="1" t="s">
        <v>14</v>
      </c>
      <c r="B606" s="1" t="s">
        <v>91</v>
      </c>
      <c r="C606" s="1" t="s">
        <v>79</v>
      </c>
      <c r="D606" s="1" t="s">
        <v>22</v>
      </c>
      <c r="E606" s="1" t="s">
        <v>18</v>
      </c>
      <c r="F606" s="7">
        <v>42710</v>
      </c>
      <c r="G606" s="1" t="s">
        <v>685</v>
      </c>
      <c r="H606" s="7">
        <v>42737</v>
      </c>
      <c r="I606" s="1">
        <f>Europe_Sales_Records[[#This Row],[Ship Date]]-Europe_Sales_Records[[#This Row],[Order Date]]</f>
        <v>27</v>
      </c>
      <c r="J606" s="1">
        <v>6447</v>
      </c>
      <c r="K606" s="1">
        <v>81.73</v>
      </c>
      <c r="L606" s="1">
        <v>56.67</v>
      </c>
      <c r="M606" s="1">
        <f>Europe_Sales_Records[[#This Row],[Unit Price]]-Europe_Sales_Records[[#This Row],[Unit Cost]]</f>
        <v>25.060000000000002</v>
      </c>
      <c r="N606" s="1">
        <v>526913.31000000006</v>
      </c>
      <c r="O606" s="6">
        <v>365351.49</v>
      </c>
      <c r="P606" s="1">
        <v>161561.82</v>
      </c>
    </row>
    <row r="607" spans="1:16" x14ac:dyDescent="0.3">
      <c r="A607" s="1" t="s">
        <v>14</v>
      </c>
      <c r="B607" s="1" t="s">
        <v>164</v>
      </c>
      <c r="C607" s="1" t="s">
        <v>60</v>
      </c>
      <c r="D607" s="1" t="s">
        <v>22</v>
      </c>
      <c r="E607" s="1" t="s">
        <v>18</v>
      </c>
      <c r="F607" s="7">
        <v>41579</v>
      </c>
      <c r="G607" s="1" t="s">
        <v>686</v>
      </c>
      <c r="H607" s="7">
        <v>41594</v>
      </c>
      <c r="I607" s="1">
        <f>Europe_Sales_Records[[#This Row],[Ship Date]]-Europe_Sales_Records[[#This Row],[Order Date]]</f>
        <v>15</v>
      </c>
      <c r="J607" s="1">
        <v>6936</v>
      </c>
      <c r="K607" s="1">
        <v>437.2</v>
      </c>
      <c r="L607" s="1">
        <v>263.33</v>
      </c>
      <c r="M607" s="1">
        <f>Europe_Sales_Records[[#This Row],[Unit Price]]-Europe_Sales_Records[[#This Row],[Unit Cost]]</f>
        <v>173.87</v>
      </c>
      <c r="N607" s="1">
        <v>3032419.2</v>
      </c>
      <c r="O607" s="6">
        <v>1826456.88</v>
      </c>
      <c r="P607" s="1">
        <v>1205962.32</v>
      </c>
    </row>
    <row r="608" spans="1:16" x14ac:dyDescent="0.3">
      <c r="A608" s="1" t="s">
        <v>14</v>
      </c>
      <c r="B608" s="1" t="s">
        <v>41</v>
      </c>
      <c r="C608" s="1" t="s">
        <v>39</v>
      </c>
      <c r="D608" s="1" t="s">
        <v>22</v>
      </c>
      <c r="E608" s="1" t="s">
        <v>45</v>
      </c>
      <c r="F608" s="7">
        <v>41535</v>
      </c>
      <c r="G608" s="1" t="s">
        <v>687</v>
      </c>
      <c r="H608" s="7">
        <v>41548</v>
      </c>
      <c r="I608" s="1">
        <f>Europe_Sales_Records[[#This Row],[Ship Date]]-Europe_Sales_Records[[#This Row],[Order Date]]</f>
        <v>13</v>
      </c>
      <c r="J608" s="1">
        <v>4364</v>
      </c>
      <c r="K608" s="1">
        <v>154.06</v>
      </c>
      <c r="L608" s="1">
        <v>90.93</v>
      </c>
      <c r="M608" s="1">
        <f>Europe_Sales_Records[[#This Row],[Unit Price]]-Europe_Sales_Records[[#This Row],[Unit Cost]]</f>
        <v>63.129999999999995</v>
      </c>
      <c r="N608" s="1">
        <v>672317.84</v>
      </c>
      <c r="O608" s="6">
        <v>396818.52</v>
      </c>
      <c r="P608" s="1">
        <v>275499.32</v>
      </c>
    </row>
    <row r="609" spans="1:16" x14ac:dyDescent="0.3">
      <c r="A609" s="1" t="s">
        <v>14</v>
      </c>
      <c r="B609" s="1" t="s">
        <v>67</v>
      </c>
      <c r="C609" s="1" t="s">
        <v>26</v>
      </c>
      <c r="D609" s="1" t="s">
        <v>17</v>
      </c>
      <c r="E609" s="1" t="s">
        <v>45</v>
      </c>
      <c r="F609" s="7">
        <v>41310</v>
      </c>
      <c r="G609" s="1" t="s">
        <v>688</v>
      </c>
      <c r="H609" s="7">
        <v>41341</v>
      </c>
      <c r="I609" s="1">
        <f>Europe_Sales_Records[[#This Row],[Ship Date]]-Europe_Sales_Records[[#This Row],[Order Date]]</f>
        <v>31</v>
      </c>
      <c r="J609" s="1">
        <v>2093</v>
      </c>
      <c r="K609" s="1">
        <v>205.7</v>
      </c>
      <c r="L609" s="1">
        <v>117.11</v>
      </c>
      <c r="M609" s="1">
        <f>Europe_Sales_Records[[#This Row],[Unit Price]]-Europe_Sales_Records[[#This Row],[Unit Cost]]</f>
        <v>88.589999999999989</v>
      </c>
      <c r="N609" s="1">
        <v>430530.1</v>
      </c>
      <c r="O609" s="6">
        <v>245111.23</v>
      </c>
      <c r="P609" s="1">
        <v>185418.87</v>
      </c>
    </row>
    <row r="610" spans="1:16" x14ac:dyDescent="0.3">
      <c r="A610" s="1" t="s">
        <v>14</v>
      </c>
      <c r="B610" s="1" t="s">
        <v>176</v>
      </c>
      <c r="C610" s="1" t="s">
        <v>16</v>
      </c>
      <c r="D610" s="1" t="s">
        <v>22</v>
      </c>
      <c r="E610" s="1" t="s">
        <v>23</v>
      </c>
      <c r="F610" s="7">
        <v>41114</v>
      </c>
      <c r="G610" s="1" t="s">
        <v>689</v>
      </c>
      <c r="H610" s="7">
        <v>41123</v>
      </c>
      <c r="I610" s="1">
        <f>Europe_Sales_Records[[#This Row],[Ship Date]]-Europe_Sales_Records[[#This Row],[Order Date]]</f>
        <v>9</v>
      </c>
      <c r="J610" s="1">
        <v>5138</v>
      </c>
      <c r="K610" s="1">
        <v>47.45</v>
      </c>
      <c r="L610" s="1">
        <v>31.79</v>
      </c>
      <c r="M610" s="1">
        <f>Europe_Sales_Records[[#This Row],[Unit Price]]-Europe_Sales_Records[[#This Row],[Unit Cost]]</f>
        <v>15.660000000000004</v>
      </c>
      <c r="N610" s="1">
        <v>243798.1</v>
      </c>
      <c r="O610" s="6">
        <v>163337.01999999999</v>
      </c>
      <c r="P610" s="1">
        <v>80461.08</v>
      </c>
    </row>
    <row r="611" spans="1:16" x14ac:dyDescent="0.3">
      <c r="A611" s="1" t="s">
        <v>14</v>
      </c>
      <c r="B611" s="1" t="s">
        <v>97</v>
      </c>
      <c r="C611" s="1" t="s">
        <v>29</v>
      </c>
      <c r="D611" s="1" t="s">
        <v>17</v>
      </c>
      <c r="E611" s="1" t="s">
        <v>18</v>
      </c>
      <c r="F611" s="7">
        <v>41846</v>
      </c>
      <c r="G611" s="1" t="s">
        <v>690</v>
      </c>
      <c r="H611" s="7">
        <v>41870</v>
      </c>
      <c r="I611" s="1">
        <f>Europe_Sales_Records[[#This Row],[Ship Date]]-Europe_Sales_Records[[#This Row],[Order Date]]</f>
        <v>24</v>
      </c>
      <c r="J611" s="1">
        <v>2112</v>
      </c>
      <c r="K611" s="1">
        <v>651.21</v>
      </c>
      <c r="L611" s="1">
        <v>524.96</v>
      </c>
      <c r="M611" s="1">
        <f>Europe_Sales_Records[[#This Row],[Unit Price]]-Europe_Sales_Records[[#This Row],[Unit Cost]]</f>
        <v>126.25</v>
      </c>
      <c r="N611" s="1">
        <v>1375355.52</v>
      </c>
      <c r="O611" s="6">
        <v>1108715.52</v>
      </c>
      <c r="P611" s="1">
        <v>266640</v>
      </c>
    </row>
    <row r="612" spans="1:16" x14ac:dyDescent="0.3">
      <c r="A612" s="1" t="s">
        <v>14</v>
      </c>
      <c r="B612" s="1" t="s">
        <v>73</v>
      </c>
      <c r="C612" s="1" t="s">
        <v>60</v>
      </c>
      <c r="D612" s="1" t="s">
        <v>22</v>
      </c>
      <c r="E612" s="1" t="s">
        <v>23</v>
      </c>
      <c r="F612" s="7">
        <v>41257</v>
      </c>
      <c r="G612" s="1" t="s">
        <v>691</v>
      </c>
      <c r="H612" s="7">
        <v>41278</v>
      </c>
      <c r="I612" s="1">
        <f>Europe_Sales_Records[[#This Row],[Ship Date]]-Europe_Sales_Records[[#This Row],[Order Date]]</f>
        <v>21</v>
      </c>
      <c r="J612" s="1">
        <v>8807</v>
      </c>
      <c r="K612" s="1">
        <v>437.2</v>
      </c>
      <c r="L612" s="1">
        <v>263.33</v>
      </c>
      <c r="M612" s="1">
        <f>Europe_Sales_Records[[#This Row],[Unit Price]]-Europe_Sales_Records[[#This Row],[Unit Cost]]</f>
        <v>173.87</v>
      </c>
      <c r="N612" s="1">
        <v>3850420.4</v>
      </c>
      <c r="O612" s="6">
        <v>2319147.31</v>
      </c>
      <c r="P612" s="1">
        <v>1531273.09</v>
      </c>
    </row>
    <row r="613" spans="1:16" x14ac:dyDescent="0.3">
      <c r="A613" s="1" t="s">
        <v>14</v>
      </c>
      <c r="B613" s="1" t="s">
        <v>59</v>
      </c>
      <c r="C613" s="1" t="s">
        <v>16</v>
      </c>
      <c r="D613" s="1" t="s">
        <v>17</v>
      </c>
      <c r="E613" s="1" t="s">
        <v>30</v>
      </c>
      <c r="F613" s="7">
        <v>41524</v>
      </c>
      <c r="G613" s="1" t="s">
        <v>692</v>
      </c>
      <c r="H613" s="7">
        <v>41567</v>
      </c>
      <c r="I613" s="1">
        <f>Europe_Sales_Records[[#This Row],[Ship Date]]-Europe_Sales_Records[[#This Row],[Order Date]]</f>
        <v>43</v>
      </c>
      <c r="J613" s="1">
        <v>7271</v>
      </c>
      <c r="K613" s="1">
        <v>47.45</v>
      </c>
      <c r="L613" s="1">
        <v>31.79</v>
      </c>
      <c r="M613" s="1">
        <f>Europe_Sales_Records[[#This Row],[Unit Price]]-Europe_Sales_Records[[#This Row],[Unit Cost]]</f>
        <v>15.660000000000004</v>
      </c>
      <c r="N613" s="1">
        <v>345008.95</v>
      </c>
      <c r="O613" s="6">
        <v>231145.09</v>
      </c>
      <c r="P613" s="1">
        <v>113863.86</v>
      </c>
    </row>
    <row r="614" spans="1:16" x14ac:dyDescent="0.3">
      <c r="A614" s="1" t="s">
        <v>14</v>
      </c>
      <c r="B614" s="1" t="s">
        <v>180</v>
      </c>
      <c r="C614" s="1" t="s">
        <v>79</v>
      </c>
      <c r="D614" s="1" t="s">
        <v>17</v>
      </c>
      <c r="E614" s="1" t="s">
        <v>30</v>
      </c>
      <c r="F614" s="7">
        <v>42390</v>
      </c>
      <c r="G614" s="1" t="s">
        <v>693</v>
      </c>
      <c r="H614" s="7">
        <v>42426</v>
      </c>
      <c r="I614" s="1">
        <f>Europe_Sales_Records[[#This Row],[Ship Date]]-Europe_Sales_Records[[#This Row],[Order Date]]</f>
        <v>36</v>
      </c>
      <c r="J614" s="1">
        <v>1053</v>
      </c>
      <c r="K614" s="1">
        <v>81.73</v>
      </c>
      <c r="L614" s="1">
        <v>56.67</v>
      </c>
      <c r="M614" s="1">
        <f>Europe_Sales_Records[[#This Row],[Unit Price]]-Europe_Sales_Records[[#This Row],[Unit Cost]]</f>
        <v>25.060000000000002</v>
      </c>
      <c r="N614" s="1">
        <v>86061.69</v>
      </c>
      <c r="O614" s="6">
        <v>59673.51</v>
      </c>
      <c r="P614" s="1">
        <v>26388.18</v>
      </c>
    </row>
    <row r="615" spans="1:16" x14ac:dyDescent="0.3">
      <c r="A615" s="1" t="s">
        <v>14</v>
      </c>
      <c r="B615" s="1" t="s">
        <v>56</v>
      </c>
      <c r="C615" s="1" t="s">
        <v>16</v>
      </c>
      <c r="D615" s="1" t="s">
        <v>17</v>
      </c>
      <c r="E615" s="1" t="s">
        <v>23</v>
      </c>
      <c r="F615" s="7">
        <v>40785</v>
      </c>
      <c r="G615" s="1" t="s">
        <v>694</v>
      </c>
      <c r="H615" s="7">
        <v>40835</v>
      </c>
      <c r="I615" s="1">
        <f>Europe_Sales_Records[[#This Row],[Ship Date]]-Europe_Sales_Records[[#This Row],[Order Date]]</f>
        <v>50</v>
      </c>
      <c r="J615" s="1">
        <v>2598</v>
      </c>
      <c r="K615" s="1">
        <v>47.45</v>
      </c>
      <c r="L615" s="1">
        <v>31.79</v>
      </c>
      <c r="M615" s="1">
        <f>Europe_Sales_Records[[#This Row],[Unit Price]]-Europe_Sales_Records[[#This Row],[Unit Cost]]</f>
        <v>15.660000000000004</v>
      </c>
      <c r="N615" s="1">
        <v>123275.1</v>
      </c>
      <c r="O615" s="6">
        <v>82590.42</v>
      </c>
      <c r="P615" s="1">
        <v>40684.68</v>
      </c>
    </row>
    <row r="616" spans="1:16" x14ac:dyDescent="0.3">
      <c r="A616" s="1" t="s">
        <v>14</v>
      </c>
      <c r="B616" s="1" t="s">
        <v>38</v>
      </c>
      <c r="C616" s="1" t="s">
        <v>60</v>
      </c>
      <c r="D616" s="1" t="s">
        <v>22</v>
      </c>
      <c r="E616" s="1" t="s">
        <v>23</v>
      </c>
      <c r="F616" s="7">
        <v>42761</v>
      </c>
      <c r="G616" s="1" t="s">
        <v>695</v>
      </c>
      <c r="H616" s="7">
        <v>42790</v>
      </c>
      <c r="I616" s="1">
        <f>Europe_Sales_Records[[#This Row],[Ship Date]]-Europe_Sales_Records[[#This Row],[Order Date]]</f>
        <v>29</v>
      </c>
      <c r="J616" s="1">
        <v>5077</v>
      </c>
      <c r="K616" s="1">
        <v>437.2</v>
      </c>
      <c r="L616" s="1">
        <v>263.33</v>
      </c>
      <c r="M616" s="1">
        <f>Europe_Sales_Records[[#This Row],[Unit Price]]-Europe_Sales_Records[[#This Row],[Unit Cost]]</f>
        <v>173.87</v>
      </c>
      <c r="N616" s="1">
        <v>2219664.4</v>
      </c>
      <c r="O616" s="6">
        <v>1336926.4099999999</v>
      </c>
      <c r="P616" s="1">
        <v>882737.99</v>
      </c>
    </row>
    <row r="617" spans="1:16" x14ac:dyDescent="0.3">
      <c r="A617" s="1" t="s">
        <v>14</v>
      </c>
      <c r="B617" s="1" t="s">
        <v>87</v>
      </c>
      <c r="C617" s="1" t="s">
        <v>57</v>
      </c>
      <c r="D617" s="1" t="s">
        <v>17</v>
      </c>
      <c r="E617" s="1" t="s">
        <v>18</v>
      </c>
      <c r="F617" s="7">
        <v>41393</v>
      </c>
      <c r="G617" s="1" t="s">
        <v>696</v>
      </c>
      <c r="H617" s="7">
        <v>41423</v>
      </c>
      <c r="I617" s="1">
        <f>Europe_Sales_Records[[#This Row],[Ship Date]]-Europe_Sales_Records[[#This Row],[Order Date]]</f>
        <v>30</v>
      </c>
      <c r="J617" s="1">
        <v>2350</v>
      </c>
      <c r="K617" s="1">
        <v>668.27</v>
      </c>
      <c r="L617" s="1">
        <v>502.54</v>
      </c>
      <c r="M617" s="1">
        <f>Europe_Sales_Records[[#This Row],[Unit Price]]-Europe_Sales_Records[[#This Row],[Unit Cost]]</f>
        <v>165.72999999999996</v>
      </c>
      <c r="N617" s="1">
        <v>1570434.5</v>
      </c>
      <c r="O617" s="6">
        <v>1180969</v>
      </c>
      <c r="P617" s="1">
        <v>389465.5</v>
      </c>
    </row>
    <row r="618" spans="1:16" x14ac:dyDescent="0.3">
      <c r="A618" s="1" t="s">
        <v>14</v>
      </c>
      <c r="B618" s="1" t="s">
        <v>32</v>
      </c>
      <c r="C618" s="1" t="s">
        <v>60</v>
      </c>
      <c r="D618" s="1" t="s">
        <v>17</v>
      </c>
      <c r="E618" s="1" t="s">
        <v>18</v>
      </c>
      <c r="F618" s="7">
        <v>42739</v>
      </c>
      <c r="G618" s="1" t="s">
        <v>697</v>
      </c>
      <c r="H618" s="7">
        <v>42745</v>
      </c>
      <c r="I618" s="1">
        <f>Europe_Sales_Records[[#This Row],[Ship Date]]-Europe_Sales_Records[[#This Row],[Order Date]]</f>
        <v>6</v>
      </c>
      <c r="J618" s="1">
        <v>3755</v>
      </c>
      <c r="K618" s="1">
        <v>437.2</v>
      </c>
      <c r="L618" s="1">
        <v>263.33</v>
      </c>
      <c r="M618" s="1">
        <f>Europe_Sales_Records[[#This Row],[Unit Price]]-Europe_Sales_Records[[#This Row],[Unit Cost]]</f>
        <v>173.87</v>
      </c>
      <c r="N618" s="1">
        <v>1641686</v>
      </c>
      <c r="O618" s="6">
        <v>988804.15</v>
      </c>
      <c r="P618" s="1">
        <v>652881.85</v>
      </c>
    </row>
    <row r="619" spans="1:16" x14ac:dyDescent="0.3">
      <c r="A619" s="1" t="s">
        <v>14</v>
      </c>
      <c r="B619" s="1" t="s">
        <v>59</v>
      </c>
      <c r="C619" s="1" t="s">
        <v>52</v>
      </c>
      <c r="D619" s="1" t="s">
        <v>17</v>
      </c>
      <c r="E619" s="1" t="s">
        <v>30</v>
      </c>
      <c r="F619" s="7">
        <v>41764</v>
      </c>
      <c r="G619" s="1" t="s">
        <v>698</v>
      </c>
      <c r="H619" s="7">
        <v>41802</v>
      </c>
      <c r="I619" s="1">
        <f>Europe_Sales_Records[[#This Row],[Ship Date]]-Europe_Sales_Records[[#This Row],[Order Date]]</f>
        <v>38</v>
      </c>
      <c r="J619" s="1">
        <v>1161</v>
      </c>
      <c r="K619" s="1">
        <v>255.28</v>
      </c>
      <c r="L619" s="1">
        <v>159.41999999999999</v>
      </c>
      <c r="M619" s="1">
        <f>Europe_Sales_Records[[#This Row],[Unit Price]]-Europe_Sales_Records[[#This Row],[Unit Cost]]</f>
        <v>95.860000000000014</v>
      </c>
      <c r="N619" s="1">
        <v>296380.08</v>
      </c>
      <c r="O619" s="6">
        <v>185086.62</v>
      </c>
      <c r="P619" s="1">
        <v>111293.46</v>
      </c>
    </row>
    <row r="620" spans="1:16" x14ac:dyDescent="0.3">
      <c r="A620" s="1" t="s">
        <v>14</v>
      </c>
      <c r="B620" s="1" t="s">
        <v>50</v>
      </c>
      <c r="C620" s="1" t="s">
        <v>79</v>
      </c>
      <c r="D620" s="1" t="s">
        <v>22</v>
      </c>
      <c r="E620" s="1" t="s">
        <v>30</v>
      </c>
      <c r="F620" s="7">
        <v>40446</v>
      </c>
      <c r="G620" s="1" t="s">
        <v>699</v>
      </c>
      <c r="H620" s="7">
        <v>40485</v>
      </c>
      <c r="I620" s="1">
        <f>Europe_Sales_Records[[#This Row],[Ship Date]]-Europe_Sales_Records[[#This Row],[Order Date]]</f>
        <v>39</v>
      </c>
      <c r="J620" s="1">
        <v>2902</v>
      </c>
      <c r="K620" s="1">
        <v>81.73</v>
      </c>
      <c r="L620" s="1">
        <v>56.67</v>
      </c>
      <c r="M620" s="1">
        <f>Europe_Sales_Records[[#This Row],[Unit Price]]-Europe_Sales_Records[[#This Row],[Unit Cost]]</f>
        <v>25.060000000000002</v>
      </c>
      <c r="N620" s="1">
        <v>237180.46</v>
      </c>
      <c r="O620" s="6">
        <v>164456.34</v>
      </c>
      <c r="P620" s="1">
        <v>72724.12</v>
      </c>
    </row>
    <row r="621" spans="1:16" x14ac:dyDescent="0.3">
      <c r="A621" s="1" t="s">
        <v>14</v>
      </c>
      <c r="B621" s="1" t="s">
        <v>32</v>
      </c>
      <c r="C621" s="1" t="s">
        <v>52</v>
      </c>
      <c r="D621" s="1" t="s">
        <v>17</v>
      </c>
      <c r="E621" s="1" t="s">
        <v>45</v>
      </c>
      <c r="F621" s="7">
        <v>41781</v>
      </c>
      <c r="G621" s="1" t="s">
        <v>700</v>
      </c>
      <c r="H621" s="7">
        <v>41792</v>
      </c>
      <c r="I621" s="1">
        <f>Europe_Sales_Records[[#This Row],[Ship Date]]-Europe_Sales_Records[[#This Row],[Order Date]]</f>
        <v>11</v>
      </c>
      <c r="J621" s="1">
        <v>8229</v>
      </c>
      <c r="K621" s="1">
        <v>255.28</v>
      </c>
      <c r="L621" s="1">
        <v>159.41999999999999</v>
      </c>
      <c r="M621" s="1">
        <f>Europe_Sales_Records[[#This Row],[Unit Price]]-Europe_Sales_Records[[#This Row],[Unit Cost]]</f>
        <v>95.860000000000014</v>
      </c>
      <c r="N621" s="1">
        <v>2100699.12</v>
      </c>
      <c r="O621" s="6">
        <v>1311867.18</v>
      </c>
      <c r="P621" s="1">
        <v>788831.94</v>
      </c>
    </row>
    <row r="622" spans="1:16" x14ac:dyDescent="0.3">
      <c r="A622" s="1" t="s">
        <v>14</v>
      </c>
      <c r="B622" s="1" t="s">
        <v>97</v>
      </c>
      <c r="C622" s="1" t="s">
        <v>57</v>
      </c>
      <c r="D622" s="1" t="s">
        <v>22</v>
      </c>
      <c r="E622" s="1" t="s">
        <v>23</v>
      </c>
      <c r="F622" s="7">
        <v>41838</v>
      </c>
      <c r="G622" s="1" t="s">
        <v>701</v>
      </c>
      <c r="H622" s="7">
        <v>41862</v>
      </c>
      <c r="I622" s="1">
        <f>Europe_Sales_Records[[#This Row],[Ship Date]]-Europe_Sales_Records[[#This Row],[Order Date]]</f>
        <v>24</v>
      </c>
      <c r="J622" s="1">
        <v>4693</v>
      </c>
      <c r="K622" s="1">
        <v>668.27</v>
      </c>
      <c r="L622" s="1">
        <v>502.54</v>
      </c>
      <c r="M622" s="1">
        <f>Europe_Sales_Records[[#This Row],[Unit Price]]-Europe_Sales_Records[[#This Row],[Unit Cost]]</f>
        <v>165.72999999999996</v>
      </c>
      <c r="N622" s="1">
        <v>3136191.11</v>
      </c>
      <c r="O622" s="6">
        <v>2358420.2200000002</v>
      </c>
      <c r="P622" s="1">
        <v>777770.89</v>
      </c>
    </row>
    <row r="623" spans="1:16" x14ac:dyDescent="0.3">
      <c r="A623" s="1" t="s">
        <v>14</v>
      </c>
      <c r="B623" s="1" t="s">
        <v>38</v>
      </c>
      <c r="C623" s="1" t="s">
        <v>79</v>
      </c>
      <c r="D623" s="1" t="s">
        <v>17</v>
      </c>
      <c r="E623" s="1" t="s">
        <v>45</v>
      </c>
      <c r="F623" s="7">
        <v>42272</v>
      </c>
      <c r="G623" s="1" t="s">
        <v>702</v>
      </c>
      <c r="H623" s="7">
        <v>42276</v>
      </c>
      <c r="I623" s="1">
        <f>Europe_Sales_Records[[#This Row],[Ship Date]]-Europe_Sales_Records[[#This Row],[Order Date]]</f>
        <v>4</v>
      </c>
      <c r="J623" s="1">
        <v>3376</v>
      </c>
      <c r="K623" s="1">
        <v>81.73</v>
      </c>
      <c r="L623" s="1">
        <v>56.67</v>
      </c>
      <c r="M623" s="1">
        <f>Europe_Sales_Records[[#This Row],[Unit Price]]-Europe_Sales_Records[[#This Row],[Unit Cost]]</f>
        <v>25.060000000000002</v>
      </c>
      <c r="N623" s="1">
        <v>275920.48</v>
      </c>
      <c r="O623" s="6">
        <v>191317.92</v>
      </c>
      <c r="P623" s="1">
        <v>84602.559999999998</v>
      </c>
    </row>
    <row r="624" spans="1:16" x14ac:dyDescent="0.3">
      <c r="A624" s="1" t="s">
        <v>14</v>
      </c>
      <c r="B624" s="1" t="s">
        <v>35</v>
      </c>
      <c r="C624" s="1" t="s">
        <v>33</v>
      </c>
      <c r="D624" s="1" t="s">
        <v>22</v>
      </c>
      <c r="E624" s="1" t="s">
        <v>45</v>
      </c>
      <c r="F624" s="7">
        <v>42400</v>
      </c>
      <c r="G624" s="1" t="s">
        <v>703</v>
      </c>
      <c r="H624" s="7">
        <v>42409</v>
      </c>
      <c r="I624" s="1">
        <f>Europe_Sales_Records[[#This Row],[Ship Date]]-Europe_Sales_Records[[#This Row],[Order Date]]</f>
        <v>9</v>
      </c>
      <c r="J624" s="1">
        <v>7346</v>
      </c>
      <c r="K624" s="1">
        <v>9.33</v>
      </c>
      <c r="L624" s="1">
        <v>6.92</v>
      </c>
      <c r="M624" s="1">
        <f>Europe_Sales_Records[[#This Row],[Unit Price]]-Europe_Sales_Records[[#This Row],[Unit Cost]]</f>
        <v>2.41</v>
      </c>
      <c r="N624" s="1">
        <v>68538.179999999993</v>
      </c>
      <c r="O624" s="6">
        <v>50834.32</v>
      </c>
      <c r="P624" s="1">
        <v>17703.86</v>
      </c>
    </row>
    <row r="625" spans="1:16" x14ac:dyDescent="0.3">
      <c r="A625" s="1" t="s">
        <v>14</v>
      </c>
      <c r="B625" s="1" t="s">
        <v>97</v>
      </c>
      <c r="C625" s="1" t="s">
        <v>52</v>
      </c>
      <c r="D625" s="1" t="s">
        <v>22</v>
      </c>
      <c r="E625" s="1" t="s">
        <v>23</v>
      </c>
      <c r="F625" s="7">
        <v>41640</v>
      </c>
      <c r="G625" s="1" t="s">
        <v>704</v>
      </c>
      <c r="H625" s="7">
        <v>41644</v>
      </c>
      <c r="I625" s="1">
        <f>Europe_Sales_Records[[#This Row],[Ship Date]]-Europe_Sales_Records[[#This Row],[Order Date]]</f>
        <v>4</v>
      </c>
      <c r="J625" s="1">
        <v>7076</v>
      </c>
      <c r="K625" s="1">
        <v>255.28</v>
      </c>
      <c r="L625" s="1">
        <v>159.41999999999999</v>
      </c>
      <c r="M625" s="1">
        <f>Europe_Sales_Records[[#This Row],[Unit Price]]-Europe_Sales_Records[[#This Row],[Unit Cost]]</f>
        <v>95.860000000000014</v>
      </c>
      <c r="N625" s="1">
        <v>1806361.28</v>
      </c>
      <c r="O625" s="6">
        <v>1128055.92</v>
      </c>
      <c r="P625" s="1">
        <v>678305.36</v>
      </c>
    </row>
    <row r="626" spans="1:16" x14ac:dyDescent="0.3">
      <c r="A626" s="1" t="s">
        <v>14</v>
      </c>
      <c r="B626" s="1" t="s">
        <v>129</v>
      </c>
      <c r="C626" s="1" t="s">
        <v>26</v>
      </c>
      <c r="D626" s="1" t="s">
        <v>22</v>
      </c>
      <c r="E626" s="1" t="s">
        <v>23</v>
      </c>
      <c r="F626" s="7">
        <v>40188</v>
      </c>
      <c r="G626" s="1" t="s">
        <v>705</v>
      </c>
      <c r="H626" s="7">
        <v>40235</v>
      </c>
      <c r="I626" s="1">
        <f>Europe_Sales_Records[[#This Row],[Ship Date]]-Europe_Sales_Records[[#This Row],[Order Date]]</f>
        <v>47</v>
      </c>
      <c r="J626" s="1">
        <v>8367</v>
      </c>
      <c r="K626" s="1">
        <v>205.7</v>
      </c>
      <c r="L626" s="1">
        <v>117.11</v>
      </c>
      <c r="M626" s="1">
        <f>Europe_Sales_Records[[#This Row],[Unit Price]]-Europe_Sales_Records[[#This Row],[Unit Cost]]</f>
        <v>88.589999999999989</v>
      </c>
      <c r="N626" s="1">
        <v>1721091.9</v>
      </c>
      <c r="O626" s="6">
        <v>979859.37</v>
      </c>
      <c r="P626" s="1">
        <v>741232.53</v>
      </c>
    </row>
    <row r="627" spans="1:16" x14ac:dyDescent="0.3">
      <c r="A627" s="1" t="s">
        <v>14</v>
      </c>
      <c r="B627" s="1" t="s">
        <v>129</v>
      </c>
      <c r="C627" s="1" t="s">
        <v>39</v>
      </c>
      <c r="D627" s="1" t="s">
        <v>22</v>
      </c>
      <c r="E627" s="1" t="s">
        <v>23</v>
      </c>
      <c r="F627" s="7">
        <v>41186</v>
      </c>
      <c r="G627" s="1" t="s">
        <v>706</v>
      </c>
      <c r="H627" s="7">
        <v>41217</v>
      </c>
      <c r="I627" s="1">
        <f>Europe_Sales_Records[[#This Row],[Ship Date]]-Europe_Sales_Records[[#This Row],[Order Date]]</f>
        <v>31</v>
      </c>
      <c r="J627" s="1">
        <v>8586</v>
      </c>
      <c r="K627" s="1">
        <v>154.06</v>
      </c>
      <c r="L627" s="1">
        <v>90.93</v>
      </c>
      <c r="M627" s="1">
        <f>Europe_Sales_Records[[#This Row],[Unit Price]]-Europe_Sales_Records[[#This Row],[Unit Cost]]</f>
        <v>63.129999999999995</v>
      </c>
      <c r="N627" s="1">
        <v>1322759.1599999999</v>
      </c>
      <c r="O627" s="6">
        <v>780724.98</v>
      </c>
      <c r="P627" s="1">
        <v>542034.18000000005</v>
      </c>
    </row>
    <row r="628" spans="1:16" x14ac:dyDescent="0.3">
      <c r="A628" s="1" t="s">
        <v>14</v>
      </c>
      <c r="B628" s="1" t="s">
        <v>35</v>
      </c>
      <c r="C628" s="1" t="s">
        <v>57</v>
      </c>
      <c r="D628" s="1" t="s">
        <v>22</v>
      </c>
      <c r="E628" s="1" t="s">
        <v>30</v>
      </c>
      <c r="F628" s="7">
        <v>41150</v>
      </c>
      <c r="G628" s="1" t="s">
        <v>707</v>
      </c>
      <c r="H628" s="7">
        <v>41168</v>
      </c>
      <c r="I628" s="1">
        <f>Europe_Sales_Records[[#This Row],[Ship Date]]-Europe_Sales_Records[[#This Row],[Order Date]]</f>
        <v>18</v>
      </c>
      <c r="J628" s="1">
        <v>3864</v>
      </c>
      <c r="K628" s="1">
        <v>668.27</v>
      </c>
      <c r="L628" s="1">
        <v>502.54</v>
      </c>
      <c r="M628" s="1">
        <f>Europe_Sales_Records[[#This Row],[Unit Price]]-Europe_Sales_Records[[#This Row],[Unit Cost]]</f>
        <v>165.72999999999996</v>
      </c>
      <c r="N628" s="1">
        <v>2582195.2799999998</v>
      </c>
      <c r="O628" s="6">
        <v>1941814.56</v>
      </c>
      <c r="P628" s="1">
        <v>640380.72</v>
      </c>
    </row>
    <row r="629" spans="1:16" x14ac:dyDescent="0.3">
      <c r="A629" s="1" t="s">
        <v>14</v>
      </c>
      <c r="B629" s="1" t="s">
        <v>15</v>
      </c>
      <c r="C629" s="1" t="s">
        <v>26</v>
      </c>
      <c r="D629" s="1" t="s">
        <v>17</v>
      </c>
      <c r="E629" s="1" t="s">
        <v>18</v>
      </c>
      <c r="F629" s="7">
        <v>42144</v>
      </c>
      <c r="G629" s="1" t="s">
        <v>708</v>
      </c>
      <c r="H629" s="7">
        <v>42144</v>
      </c>
      <c r="I629" s="1">
        <f>Europe_Sales_Records[[#This Row],[Ship Date]]-Europe_Sales_Records[[#This Row],[Order Date]]</f>
        <v>0</v>
      </c>
      <c r="J629" s="1">
        <v>905</v>
      </c>
      <c r="K629" s="1">
        <v>205.7</v>
      </c>
      <c r="L629" s="1">
        <v>117.11</v>
      </c>
      <c r="M629" s="1">
        <f>Europe_Sales_Records[[#This Row],[Unit Price]]-Europe_Sales_Records[[#This Row],[Unit Cost]]</f>
        <v>88.589999999999989</v>
      </c>
      <c r="N629" s="1">
        <v>186158.5</v>
      </c>
      <c r="O629" s="6">
        <v>105984.55</v>
      </c>
      <c r="P629" s="1">
        <v>80173.95</v>
      </c>
    </row>
    <row r="630" spans="1:16" x14ac:dyDescent="0.3">
      <c r="A630" s="1" t="s">
        <v>14</v>
      </c>
      <c r="B630" s="1" t="s">
        <v>67</v>
      </c>
      <c r="C630" s="1" t="s">
        <v>26</v>
      </c>
      <c r="D630" s="1" t="s">
        <v>17</v>
      </c>
      <c r="E630" s="1" t="s">
        <v>23</v>
      </c>
      <c r="F630" s="7">
        <v>41896</v>
      </c>
      <c r="G630" s="1" t="s">
        <v>709</v>
      </c>
      <c r="H630" s="7">
        <v>41920</v>
      </c>
      <c r="I630" s="1">
        <f>Europe_Sales_Records[[#This Row],[Ship Date]]-Europe_Sales_Records[[#This Row],[Order Date]]</f>
        <v>24</v>
      </c>
      <c r="J630" s="1">
        <v>9950</v>
      </c>
      <c r="K630" s="1">
        <v>205.7</v>
      </c>
      <c r="L630" s="1">
        <v>117.11</v>
      </c>
      <c r="M630" s="1">
        <f>Europe_Sales_Records[[#This Row],[Unit Price]]-Europe_Sales_Records[[#This Row],[Unit Cost]]</f>
        <v>88.589999999999989</v>
      </c>
      <c r="N630" s="1">
        <v>2046715</v>
      </c>
      <c r="O630" s="6">
        <v>1165244.5</v>
      </c>
      <c r="P630" s="1">
        <v>881470.5</v>
      </c>
    </row>
    <row r="631" spans="1:16" x14ac:dyDescent="0.3">
      <c r="A631" s="1" t="s">
        <v>14</v>
      </c>
      <c r="B631" s="1" t="s">
        <v>131</v>
      </c>
      <c r="C631" s="1" t="s">
        <v>52</v>
      </c>
      <c r="D631" s="1" t="s">
        <v>17</v>
      </c>
      <c r="E631" s="1" t="s">
        <v>30</v>
      </c>
      <c r="F631" s="7">
        <v>42817</v>
      </c>
      <c r="G631" s="1" t="s">
        <v>710</v>
      </c>
      <c r="H631" s="7">
        <v>42830</v>
      </c>
      <c r="I631" s="1">
        <f>Europe_Sales_Records[[#This Row],[Ship Date]]-Europe_Sales_Records[[#This Row],[Order Date]]</f>
        <v>13</v>
      </c>
      <c r="J631" s="1">
        <v>4755</v>
      </c>
      <c r="K631" s="1">
        <v>255.28</v>
      </c>
      <c r="L631" s="1">
        <v>159.41999999999999</v>
      </c>
      <c r="M631" s="1">
        <f>Europe_Sales_Records[[#This Row],[Unit Price]]-Europe_Sales_Records[[#This Row],[Unit Cost]]</f>
        <v>95.860000000000014</v>
      </c>
      <c r="N631" s="1">
        <v>1213856.3999999999</v>
      </c>
      <c r="O631" s="6">
        <v>758042.1</v>
      </c>
      <c r="P631" s="1">
        <v>455814.3</v>
      </c>
    </row>
    <row r="632" spans="1:16" x14ac:dyDescent="0.3">
      <c r="A632" s="1" t="s">
        <v>14</v>
      </c>
      <c r="B632" s="1" t="s">
        <v>116</v>
      </c>
      <c r="C632" s="1" t="s">
        <v>29</v>
      </c>
      <c r="D632" s="1" t="s">
        <v>22</v>
      </c>
      <c r="E632" s="1" t="s">
        <v>18</v>
      </c>
      <c r="F632" s="7">
        <v>40349</v>
      </c>
      <c r="G632" s="1" t="s">
        <v>711</v>
      </c>
      <c r="H632" s="7">
        <v>40385</v>
      </c>
      <c r="I632" s="1">
        <f>Europe_Sales_Records[[#This Row],[Ship Date]]-Europe_Sales_Records[[#This Row],[Order Date]]</f>
        <v>36</v>
      </c>
      <c r="J632" s="1">
        <v>5682</v>
      </c>
      <c r="K632" s="1">
        <v>651.21</v>
      </c>
      <c r="L632" s="1">
        <v>524.96</v>
      </c>
      <c r="M632" s="1">
        <f>Europe_Sales_Records[[#This Row],[Unit Price]]-Europe_Sales_Records[[#This Row],[Unit Cost]]</f>
        <v>126.25</v>
      </c>
      <c r="N632" s="1">
        <v>3700175.22</v>
      </c>
      <c r="O632" s="6">
        <v>2982822.72</v>
      </c>
      <c r="P632" s="1">
        <v>717352.5</v>
      </c>
    </row>
    <row r="633" spans="1:16" x14ac:dyDescent="0.3">
      <c r="A633" s="1" t="s">
        <v>14</v>
      </c>
      <c r="B633" s="1" t="s">
        <v>152</v>
      </c>
      <c r="C633" s="1" t="s">
        <v>52</v>
      </c>
      <c r="D633" s="1" t="s">
        <v>22</v>
      </c>
      <c r="E633" s="1" t="s">
        <v>45</v>
      </c>
      <c r="F633" s="7">
        <v>41353</v>
      </c>
      <c r="G633" s="1" t="s">
        <v>712</v>
      </c>
      <c r="H633" s="7">
        <v>41363</v>
      </c>
      <c r="I633" s="1">
        <f>Europe_Sales_Records[[#This Row],[Ship Date]]-Europe_Sales_Records[[#This Row],[Order Date]]</f>
        <v>10</v>
      </c>
      <c r="J633" s="1">
        <v>7733</v>
      </c>
      <c r="K633" s="1">
        <v>255.28</v>
      </c>
      <c r="L633" s="1">
        <v>159.41999999999999</v>
      </c>
      <c r="M633" s="1">
        <f>Europe_Sales_Records[[#This Row],[Unit Price]]-Europe_Sales_Records[[#This Row],[Unit Cost]]</f>
        <v>95.860000000000014</v>
      </c>
      <c r="N633" s="1">
        <v>1974080.24</v>
      </c>
      <c r="O633" s="6">
        <v>1232794.8600000001</v>
      </c>
      <c r="P633" s="1">
        <v>741285.38</v>
      </c>
    </row>
    <row r="634" spans="1:16" x14ac:dyDescent="0.3">
      <c r="A634" s="1" t="s">
        <v>14</v>
      </c>
      <c r="B634" s="1" t="s">
        <v>87</v>
      </c>
      <c r="C634" s="1" t="s">
        <v>60</v>
      </c>
      <c r="D634" s="1" t="s">
        <v>22</v>
      </c>
      <c r="E634" s="1" t="s">
        <v>45</v>
      </c>
      <c r="F634" s="7">
        <v>42138</v>
      </c>
      <c r="G634" s="1" t="s">
        <v>713</v>
      </c>
      <c r="H634" s="7">
        <v>42162</v>
      </c>
      <c r="I634" s="1">
        <f>Europe_Sales_Records[[#This Row],[Ship Date]]-Europe_Sales_Records[[#This Row],[Order Date]]</f>
        <v>24</v>
      </c>
      <c r="J634" s="1">
        <v>1211</v>
      </c>
      <c r="K634" s="1">
        <v>437.2</v>
      </c>
      <c r="L634" s="1">
        <v>263.33</v>
      </c>
      <c r="M634" s="1">
        <f>Europe_Sales_Records[[#This Row],[Unit Price]]-Europe_Sales_Records[[#This Row],[Unit Cost]]</f>
        <v>173.87</v>
      </c>
      <c r="N634" s="1">
        <v>529449.19999999995</v>
      </c>
      <c r="O634" s="6">
        <v>318892.63</v>
      </c>
      <c r="P634" s="1">
        <v>210556.57</v>
      </c>
    </row>
    <row r="635" spans="1:16" x14ac:dyDescent="0.3">
      <c r="A635" s="1" t="s">
        <v>14</v>
      </c>
      <c r="B635" s="1" t="s">
        <v>63</v>
      </c>
      <c r="C635" s="1" t="s">
        <v>42</v>
      </c>
      <c r="D635" s="1" t="s">
        <v>22</v>
      </c>
      <c r="E635" s="1" t="s">
        <v>30</v>
      </c>
      <c r="F635" s="7">
        <v>41968</v>
      </c>
      <c r="G635" s="1" t="s">
        <v>714</v>
      </c>
      <c r="H635" s="7">
        <v>41971</v>
      </c>
      <c r="I635" s="1">
        <f>Europe_Sales_Records[[#This Row],[Ship Date]]-Europe_Sales_Records[[#This Row],[Order Date]]</f>
        <v>3</v>
      </c>
      <c r="J635" s="1">
        <v>4611</v>
      </c>
      <c r="K635" s="1">
        <v>421.89</v>
      </c>
      <c r="L635" s="1">
        <v>364.69</v>
      </c>
      <c r="M635" s="1">
        <f>Europe_Sales_Records[[#This Row],[Unit Price]]-Europe_Sales_Records[[#This Row],[Unit Cost]]</f>
        <v>57.199999999999989</v>
      </c>
      <c r="N635" s="1">
        <v>1945334.79</v>
      </c>
      <c r="O635" s="6">
        <v>1681585.59</v>
      </c>
      <c r="P635" s="1">
        <v>263749.2</v>
      </c>
    </row>
    <row r="636" spans="1:16" x14ac:dyDescent="0.3">
      <c r="A636" s="1" t="s">
        <v>14</v>
      </c>
      <c r="B636" s="1" t="s">
        <v>73</v>
      </c>
      <c r="C636" s="1" t="s">
        <v>52</v>
      </c>
      <c r="D636" s="1" t="s">
        <v>22</v>
      </c>
      <c r="E636" s="1" t="s">
        <v>45</v>
      </c>
      <c r="F636" s="7">
        <v>41098</v>
      </c>
      <c r="G636" s="1" t="s">
        <v>715</v>
      </c>
      <c r="H636" s="7">
        <v>41119</v>
      </c>
      <c r="I636" s="1">
        <f>Europe_Sales_Records[[#This Row],[Ship Date]]-Europe_Sales_Records[[#This Row],[Order Date]]</f>
        <v>21</v>
      </c>
      <c r="J636" s="1">
        <v>8152</v>
      </c>
      <c r="K636" s="1">
        <v>255.28</v>
      </c>
      <c r="L636" s="1">
        <v>159.41999999999999</v>
      </c>
      <c r="M636" s="1">
        <f>Europe_Sales_Records[[#This Row],[Unit Price]]-Europe_Sales_Records[[#This Row],[Unit Cost]]</f>
        <v>95.860000000000014</v>
      </c>
      <c r="N636" s="1">
        <v>2081042.56</v>
      </c>
      <c r="O636" s="6">
        <v>1299591.8400000001</v>
      </c>
      <c r="P636" s="1">
        <v>781450.72</v>
      </c>
    </row>
    <row r="637" spans="1:16" x14ac:dyDescent="0.3">
      <c r="A637" s="1" t="s">
        <v>14</v>
      </c>
      <c r="B637" s="1" t="s">
        <v>44</v>
      </c>
      <c r="C637" s="1" t="s">
        <v>48</v>
      </c>
      <c r="D637" s="1" t="s">
        <v>22</v>
      </c>
      <c r="E637" s="1" t="s">
        <v>45</v>
      </c>
      <c r="F637" s="7">
        <v>42906</v>
      </c>
      <c r="G637" s="1" t="s">
        <v>716</v>
      </c>
      <c r="H637" s="7">
        <v>42926</v>
      </c>
      <c r="I637" s="1">
        <f>Europe_Sales_Records[[#This Row],[Ship Date]]-Europe_Sales_Records[[#This Row],[Order Date]]</f>
        <v>20</v>
      </c>
      <c r="J637" s="1">
        <v>2191</v>
      </c>
      <c r="K637" s="1">
        <v>152.58000000000001</v>
      </c>
      <c r="L637" s="1">
        <v>97.44</v>
      </c>
      <c r="M637" s="1">
        <f>Europe_Sales_Records[[#This Row],[Unit Price]]-Europe_Sales_Records[[#This Row],[Unit Cost]]</f>
        <v>55.140000000000015</v>
      </c>
      <c r="N637" s="1">
        <v>334302.78000000003</v>
      </c>
      <c r="O637" s="6">
        <v>213491.04</v>
      </c>
      <c r="P637" s="1">
        <v>120811.74</v>
      </c>
    </row>
    <row r="638" spans="1:16" x14ac:dyDescent="0.3">
      <c r="A638" s="1" t="s">
        <v>14</v>
      </c>
      <c r="B638" s="1" t="s">
        <v>41</v>
      </c>
      <c r="C638" s="1" t="s">
        <v>26</v>
      </c>
      <c r="D638" s="1" t="s">
        <v>17</v>
      </c>
      <c r="E638" s="1" t="s">
        <v>23</v>
      </c>
      <c r="F638" s="7">
        <v>42295</v>
      </c>
      <c r="G638" s="1" t="s">
        <v>717</v>
      </c>
      <c r="H638" s="7">
        <v>42338</v>
      </c>
      <c r="I638" s="1">
        <f>Europe_Sales_Records[[#This Row],[Ship Date]]-Europe_Sales_Records[[#This Row],[Order Date]]</f>
        <v>43</v>
      </c>
      <c r="J638" s="1">
        <v>4565</v>
      </c>
      <c r="K638" s="1">
        <v>205.7</v>
      </c>
      <c r="L638" s="1">
        <v>117.11</v>
      </c>
      <c r="M638" s="1">
        <f>Europe_Sales_Records[[#This Row],[Unit Price]]-Europe_Sales_Records[[#This Row],[Unit Cost]]</f>
        <v>88.589999999999989</v>
      </c>
      <c r="N638" s="1">
        <v>939020.5</v>
      </c>
      <c r="O638" s="6">
        <v>534607.15</v>
      </c>
      <c r="P638" s="1">
        <v>404413.35</v>
      </c>
    </row>
    <row r="639" spans="1:16" x14ac:dyDescent="0.3">
      <c r="A639" s="1" t="s">
        <v>14</v>
      </c>
      <c r="B639" s="1" t="s">
        <v>73</v>
      </c>
      <c r="C639" s="1" t="s">
        <v>21</v>
      </c>
      <c r="D639" s="1" t="s">
        <v>22</v>
      </c>
      <c r="E639" s="1" t="s">
        <v>30</v>
      </c>
      <c r="F639" s="7">
        <v>42792</v>
      </c>
      <c r="G639" s="1" t="s">
        <v>718</v>
      </c>
      <c r="H639" s="7">
        <v>42808</v>
      </c>
      <c r="I639" s="1">
        <f>Europe_Sales_Records[[#This Row],[Ship Date]]-Europe_Sales_Records[[#This Row],[Order Date]]</f>
        <v>16</v>
      </c>
      <c r="J639" s="1">
        <v>548</v>
      </c>
      <c r="K639" s="1">
        <v>109.28</v>
      </c>
      <c r="L639" s="1">
        <v>35.840000000000003</v>
      </c>
      <c r="M639" s="1">
        <f>Europe_Sales_Records[[#This Row],[Unit Price]]-Europe_Sales_Records[[#This Row],[Unit Cost]]</f>
        <v>73.44</v>
      </c>
      <c r="N639" s="1">
        <v>59885.440000000002</v>
      </c>
      <c r="O639" s="6">
        <v>19640.32</v>
      </c>
      <c r="P639" s="1">
        <v>40245.120000000003</v>
      </c>
    </row>
    <row r="640" spans="1:16" x14ac:dyDescent="0.3">
      <c r="A640" s="1" t="s">
        <v>14</v>
      </c>
      <c r="B640" s="1" t="s">
        <v>150</v>
      </c>
      <c r="C640" s="1" t="s">
        <v>60</v>
      </c>
      <c r="D640" s="1" t="s">
        <v>22</v>
      </c>
      <c r="E640" s="1" t="s">
        <v>30</v>
      </c>
      <c r="F640" s="7">
        <v>42426</v>
      </c>
      <c r="G640" s="1" t="s">
        <v>719</v>
      </c>
      <c r="H640" s="7">
        <v>42445</v>
      </c>
      <c r="I640" s="1">
        <f>Europe_Sales_Records[[#This Row],[Ship Date]]-Europe_Sales_Records[[#This Row],[Order Date]]</f>
        <v>19</v>
      </c>
      <c r="J640" s="1">
        <v>7489</v>
      </c>
      <c r="K640" s="1">
        <v>437.2</v>
      </c>
      <c r="L640" s="1">
        <v>263.33</v>
      </c>
      <c r="M640" s="1">
        <f>Europe_Sales_Records[[#This Row],[Unit Price]]-Europe_Sales_Records[[#This Row],[Unit Cost]]</f>
        <v>173.87</v>
      </c>
      <c r="N640" s="1">
        <v>3274190.8</v>
      </c>
      <c r="O640" s="6">
        <v>1972078.37</v>
      </c>
      <c r="P640" s="1">
        <v>1302112.43</v>
      </c>
    </row>
    <row r="641" spans="1:16" x14ac:dyDescent="0.3">
      <c r="A641" s="1" t="s">
        <v>14</v>
      </c>
      <c r="B641" s="1" t="s">
        <v>232</v>
      </c>
      <c r="C641" s="1" t="s">
        <v>42</v>
      </c>
      <c r="D641" s="1" t="s">
        <v>17</v>
      </c>
      <c r="E641" s="1" t="s">
        <v>18</v>
      </c>
      <c r="F641" s="7">
        <v>40983</v>
      </c>
      <c r="G641" s="1" t="s">
        <v>720</v>
      </c>
      <c r="H641" s="7">
        <v>41019</v>
      </c>
      <c r="I641" s="1">
        <f>Europe_Sales_Records[[#This Row],[Ship Date]]-Europe_Sales_Records[[#This Row],[Order Date]]</f>
        <v>36</v>
      </c>
      <c r="J641" s="1">
        <v>6711</v>
      </c>
      <c r="K641" s="1">
        <v>421.89</v>
      </c>
      <c r="L641" s="1">
        <v>364.69</v>
      </c>
      <c r="M641" s="1">
        <f>Europe_Sales_Records[[#This Row],[Unit Price]]-Europe_Sales_Records[[#This Row],[Unit Cost]]</f>
        <v>57.199999999999989</v>
      </c>
      <c r="N641" s="1">
        <v>2831303.79</v>
      </c>
      <c r="O641" s="6">
        <v>2447434.59</v>
      </c>
      <c r="P641" s="1">
        <v>383869.2</v>
      </c>
    </row>
    <row r="642" spans="1:16" x14ac:dyDescent="0.3">
      <c r="A642" s="1" t="s">
        <v>14</v>
      </c>
      <c r="B642" s="1" t="s">
        <v>50</v>
      </c>
      <c r="C642" s="1" t="s">
        <v>29</v>
      </c>
      <c r="D642" s="1" t="s">
        <v>17</v>
      </c>
      <c r="E642" s="1" t="s">
        <v>23</v>
      </c>
      <c r="F642" s="7">
        <v>42501</v>
      </c>
      <c r="G642" s="1" t="s">
        <v>721</v>
      </c>
      <c r="H642" s="7">
        <v>42539</v>
      </c>
      <c r="I642" s="1">
        <f>Europe_Sales_Records[[#This Row],[Ship Date]]-Europe_Sales_Records[[#This Row],[Order Date]]</f>
        <v>38</v>
      </c>
      <c r="J642" s="1">
        <v>6744</v>
      </c>
      <c r="K642" s="1">
        <v>651.21</v>
      </c>
      <c r="L642" s="1">
        <v>524.96</v>
      </c>
      <c r="M642" s="1">
        <f>Europe_Sales_Records[[#This Row],[Unit Price]]-Europe_Sales_Records[[#This Row],[Unit Cost]]</f>
        <v>126.25</v>
      </c>
      <c r="N642" s="1">
        <v>4391760.24</v>
      </c>
      <c r="O642" s="6">
        <v>3540330.24</v>
      </c>
      <c r="P642" s="1">
        <v>851430</v>
      </c>
    </row>
    <row r="643" spans="1:16" x14ac:dyDescent="0.3">
      <c r="A643" s="1" t="s">
        <v>14</v>
      </c>
      <c r="B643" s="1" t="s">
        <v>150</v>
      </c>
      <c r="C643" s="1" t="s">
        <v>48</v>
      </c>
      <c r="D643" s="1" t="s">
        <v>22</v>
      </c>
      <c r="E643" s="1" t="s">
        <v>30</v>
      </c>
      <c r="F643" s="7">
        <v>40578</v>
      </c>
      <c r="G643" s="1" t="s">
        <v>722</v>
      </c>
      <c r="H643" s="7">
        <v>40624</v>
      </c>
      <c r="I643" s="1">
        <f>Europe_Sales_Records[[#This Row],[Ship Date]]-Europe_Sales_Records[[#This Row],[Order Date]]</f>
        <v>46</v>
      </c>
      <c r="J643" s="1">
        <v>6054</v>
      </c>
      <c r="K643" s="1">
        <v>152.58000000000001</v>
      </c>
      <c r="L643" s="1">
        <v>97.44</v>
      </c>
      <c r="M643" s="1">
        <f>Europe_Sales_Records[[#This Row],[Unit Price]]-Europe_Sales_Records[[#This Row],[Unit Cost]]</f>
        <v>55.140000000000015</v>
      </c>
      <c r="N643" s="1">
        <v>923719.32</v>
      </c>
      <c r="O643" s="6">
        <v>589901.76</v>
      </c>
      <c r="P643" s="1">
        <v>333817.56</v>
      </c>
    </row>
    <row r="644" spans="1:16" x14ac:dyDescent="0.3">
      <c r="A644" s="1" t="s">
        <v>14</v>
      </c>
      <c r="B644" s="1" t="s">
        <v>118</v>
      </c>
      <c r="C644" s="1" t="s">
        <v>48</v>
      </c>
      <c r="D644" s="1" t="s">
        <v>17</v>
      </c>
      <c r="E644" s="1" t="s">
        <v>23</v>
      </c>
      <c r="F644" s="7">
        <v>42785</v>
      </c>
      <c r="G644" s="1" t="s">
        <v>723</v>
      </c>
      <c r="H644" s="7">
        <v>42821</v>
      </c>
      <c r="I644" s="1">
        <f>Europe_Sales_Records[[#This Row],[Ship Date]]-Europe_Sales_Records[[#This Row],[Order Date]]</f>
        <v>36</v>
      </c>
      <c r="J644" s="1">
        <v>4844</v>
      </c>
      <c r="K644" s="1">
        <v>152.58000000000001</v>
      </c>
      <c r="L644" s="1">
        <v>97.44</v>
      </c>
      <c r="M644" s="1">
        <f>Europe_Sales_Records[[#This Row],[Unit Price]]-Europe_Sales_Records[[#This Row],[Unit Cost]]</f>
        <v>55.140000000000015</v>
      </c>
      <c r="N644" s="1">
        <v>739097.52</v>
      </c>
      <c r="O644" s="6">
        <v>471999.36</v>
      </c>
      <c r="P644" s="1">
        <v>267098.15999999997</v>
      </c>
    </row>
    <row r="645" spans="1:16" x14ac:dyDescent="0.3">
      <c r="A645" s="1" t="s">
        <v>14</v>
      </c>
      <c r="B645" s="1" t="s">
        <v>75</v>
      </c>
      <c r="C645" s="1" t="s">
        <v>26</v>
      </c>
      <c r="D645" s="1" t="s">
        <v>22</v>
      </c>
      <c r="E645" s="1" t="s">
        <v>45</v>
      </c>
      <c r="F645" s="7">
        <v>41112</v>
      </c>
      <c r="G645" s="1" t="s">
        <v>724</v>
      </c>
      <c r="H645" s="7">
        <v>41138</v>
      </c>
      <c r="I645" s="1">
        <f>Europe_Sales_Records[[#This Row],[Ship Date]]-Europe_Sales_Records[[#This Row],[Order Date]]</f>
        <v>26</v>
      </c>
      <c r="J645" s="1">
        <v>9264</v>
      </c>
      <c r="K645" s="1">
        <v>205.7</v>
      </c>
      <c r="L645" s="1">
        <v>117.11</v>
      </c>
      <c r="M645" s="1">
        <f>Europe_Sales_Records[[#This Row],[Unit Price]]-Europe_Sales_Records[[#This Row],[Unit Cost]]</f>
        <v>88.589999999999989</v>
      </c>
      <c r="N645" s="1">
        <v>1905604.8</v>
      </c>
      <c r="O645" s="6">
        <v>1084907.04</v>
      </c>
      <c r="P645" s="1">
        <v>820697.76</v>
      </c>
    </row>
    <row r="646" spans="1:16" x14ac:dyDescent="0.3">
      <c r="A646" s="1" t="s">
        <v>14</v>
      </c>
      <c r="B646" s="1" t="s">
        <v>118</v>
      </c>
      <c r="C646" s="1" t="s">
        <v>42</v>
      </c>
      <c r="D646" s="1" t="s">
        <v>17</v>
      </c>
      <c r="E646" s="1" t="s">
        <v>23</v>
      </c>
      <c r="F646" s="7">
        <v>41779</v>
      </c>
      <c r="G646" s="1" t="s">
        <v>725</v>
      </c>
      <c r="H646" s="7">
        <v>41798</v>
      </c>
      <c r="I646" s="1">
        <f>Europe_Sales_Records[[#This Row],[Ship Date]]-Europe_Sales_Records[[#This Row],[Order Date]]</f>
        <v>19</v>
      </c>
      <c r="J646" s="1">
        <v>2996</v>
      </c>
      <c r="K646" s="1">
        <v>421.89</v>
      </c>
      <c r="L646" s="1">
        <v>364.69</v>
      </c>
      <c r="M646" s="1">
        <f>Europe_Sales_Records[[#This Row],[Unit Price]]-Europe_Sales_Records[[#This Row],[Unit Cost]]</f>
        <v>57.199999999999989</v>
      </c>
      <c r="N646" s="1">
        <v>1263982.44</v>
      </c>
      <c r="O646" s="6">
        <v>1092611.24</v>
      </c>
      <c r="P646" s="1">
        <v>171371.2</v>
      </c>
    </row>
    <row r="647" spans="1:16" x14ac:dyDescent="0.3">
      <c r="A647" s="1" t="s">
        <v>14</v>
      </c>
      <c r="B647" s="1" t="s">
        <v>94</v>
      </c>
      <c r="C647" s="1" t="s">
        <v>52</v>
      </c>
      <c r="D647" s="1" t="s">
        <v>22</v>
      </c>
      <c r="E647" s="1" t="s">
        <v>30</v>
      </c>
      <c r="F647" s="7">
        <v>42619</v>
      </c>
      <c r="G647" s="1" t="s">
        <v>726</v>
      </c>
      <c r="H647" s="7">
        <v>42619</v>
      </c>
      <c r="I647" s="1">
        <f>Europe_Sales_Records[[#This Row],[Ship Date]]-Europe_Sales_Records[[#This Row],[Order Date]]</f>
        <v>0</v>
      </c>
      <c r="J647" s="1">
        <v>1279</v>
      </c>
      <c r="K647" s="1">
        <v>255.28</v>
      </c>
      <c r="L647" s="1">
        <v>159.41999999999999</v>
      </c>
      <c r="M647" s="1">
        <f>Europe_Sales_Records[[#This Row],[Unit Price]]-Europe_Sales_Records[[#This Row],[Unit Cost]]</f>
        <v>95.860000000000014</v>
      </c>
      <c r="N647" s="1">
        <v>326503.12</v>
      </c>
      <c r="O647" s="6">
        <v>203898.18</v>
      </c>
      <c r="P647" s="1">
        <v>122604.94</v>
      </c>
    </row>
    <row r="648" spans="1:16" x14ac:dyDescent="0.3">
      <c r="A648" s="1" t="s">
        <v>14</v>
      </c>
      <c r="B648" s="1" t="s">
        <v>63</v>
      </c>
      <c r="C648" s="1" t="s">
        <v>33</v>
      </c>
      <c r="D648" s="1" t="s">
        <v>17</v>
      </c>
      <c r="E648" s="1" t="s">
        <v>45</v>
      </c>
      <c r="F648" s="7">
        <v>42813</v>
      </c>
      <c r="G648" s="1" t="s">
        <v>727</v>
      </c>
      <c r="H648" s="7">
        <v>42821</v>
      </c>
      <c r="I648" s="1">
        <f>Europe_Sales_Records[[#This Row],[Ship Date]]-Europe_Sales_Records[[#This Row],[Order Date]]</f>
        <v>8</v>
      </c>
      <c r="J648" s="1">
        <v>5792</v>
      </c>
      <c r="K648" s="1">
        <v>9.33</v>
      </c>
      <c r="L648" s="1">
        <v>6.92</v>
      </c>
      <c r="M648" s="1">
        <f>Europe_Sales_Records[[#This Row],[Unit Price]]-Europe_Sales_Records[[#This Row],[Unit Cost]]</f>
        <v>2.41</v>
      </c>
      <c r="N648" s="1">
        <v>54039.360000000001</v>
      </c>
      <c r="O648" s="6">
        <v>40080.639999999999</v>
      </c>
      <c r="P648" s="1">
        <v>13958.72</v>
      </c>
    </row>
    <row r="649" spans="1:16" x14ac:dyDescent="0.3">
      <c r="A649" s="1" t="s">
        <v>14</v>
      </c>
      <c r="B649" s="1" t="s">
        <v>118</v>
      </c>
      <c r="C649" s="1" t="s">
        <v>29</v>
      </c>
      <c r="D649" s="1" t="s">
        <v>22</v>
      </c>
      <c r="E649" s="1" t="s">
        <v>30</v>
      </c>
      <c r="F649" s="7">
        <v>42918</v>
      </c>
      <c r="G649" s="1" t="s">
        <v>728</v>
      </c>
      <c r="H649" s="7">
        <v>42954</v>
      </c>
      <c r="I649" s="1">
        <f>Europe_Sales_Records[[#This Row],[Ship Date]]-Europe_Sales_Records[[#This Row],[Order Date]]</f>
        <v>36</v>
      </c>
      <c r="J649" s="1">
        <v>4437</v>
      </c>
      <c r="K649" s="1">
        <v>651.21</v>
      </c>
      <c r="L649" s="1">
        <v>524.96</v>
      </c>
      <c r="M649" s="1">
        <f>Europe_Sales_Records[[#This Row],[Unit Price]]-Europe_Sales_Records[[#This Row],[Unit Cost]]</f>
        <v>126.25</v>
      </c>
      <c r="N649" s="1">
        <v>2889418.77</v>
      </c>
      <c r="O649" s="6">
        <v>2329247.52</v>
      </c>
      <c r="P649" s="1">
        <v>560171.25</v>
      </c>
    </row>
    <row r="650" spans="1:16" x14ac:dyDescent="0.3">
      <c r="A650" s="1" t="s">
        <v>14</v>
      </c>
      <c r="B650" s="1" t="s">
        <v>164</v>
      </c>
      <c r="C650" s="1" t="s">
        <v>16</v>
      </c>
      <c r="D650" s="1" t="s">
        <v>22</v>
      </c>
      <c r="E650" s="1" t="s">
        <v>23</v>
      </c>
      <c r="F650" s="7">
        <v>42886</v>
      </c>
      <c r="G650" s="1" t="s">
        <v>729</v>
      </c>
      <c r="H650" s="7">
        <v>42910</v>
      </c>
      <c r="I650" s="1">
        <f>Europe_Sales_Records[[#This Row],[Ship Date]]-Europe_Sales_Records[[#This Row],[Order Date]]</f>
        <v>24</v>
      </c>
      <c r="J650" s="1">
        <v>673</v>
      </c>
      <c r="K650" s="1">
        <v>47.45</v>
      </c>
      <c r="L650" s="1">
        <v>31.79</v>
      </c>
      <c r="M650" s="1">
        <f>Europe_Sales_Records[[#This Row],[Unit Price]]-Europe_Sales_Records[[#This Row],[Unit Cost]]</f>
        <v>15.660000000000004</v>
      </c>
      <c r="N650" s="1">
        <v>31933.85</v>
      </c>
      <c r="O650" s="6">
        <v>21394.67</v>
      </c>
      <c r="P650" s="1">
        <v>10539.18</v>
      </c>
    </row>
    <row r="651" spans="1:16" x14ac:dyDescent="0.3">
      <c r="A651" s="1" t="s">
        <v>14</v>
      </c>
      <c r="B651" s="1" t="s">
        <v>28</v>
      </c>
      <c r="C651" s="1" t="s">
        <v>52</v>
      </c>
      <c r="D651" s="1" t="s">
        <v>22</v>
      </c>
      <c r="E651" s="1" t="s">
        <v>45</v>
      </c>
      <c r="F651" s="7">
        <v>41992</v>
      </c>
      <c r="G651" s="1" t="s">
        <v>730</v>
      </c>
      <c r="H651" s="7">
        <v>42035</v>
      </c>
      <c r="I651" s="1">
        <f>Europe_Sales_Records[[#This Row],[Ship Date]]-Europe_Sales_Records[[#This Row],[Order Date]]</f>
        <v>43</v>
      </c>
      <c r="J651" s="1">
        <v>2736</v>
      </c>
      <c r="K651" s="1">
        <v>255.28</v>
      </c>
      <c r="L651" s="1">
        <v>159.41999999999999</v>
      </c>
      <c r="M651" s="1">
        <f>Europe_Sales_Records[[#This Row],[Unit Price]]-Europe_Sales_Records[[#This Row],[Unit Cost]]</f>
        <v>95.860000000000014</v>
      </c>
      <c r="N651" s="1">
        <v>698446.08</v>
      </c>
      <c r="O651" s="6">
        <v>436173.12</v>
      </c>
      <c r="P651" s="1">
        <v>262272.96000000002</v>
      </c>
    </row>
    <row r="652" spans="1:16" x14ac:dyDescent="0.3">
      <c r="A652" s="1" t="s">
        <v>14</v>
      </c>
      <c r="B652" s="1" t="s">
        <v>54</v>
      </c>
      <c r="C652" s="1" t="s">
        <v>52</v>
      </c>
      <c r="D652" s="1" t="s">
        <v>17</v>
      </c>
      <c r="E652" s="1" t="s">
        <v>45</v>
      </c>
      <c r="F652" s="7">
        <v>41349</v>
      </c>
      <c r="G652" s="1" t="s">
        <v>731</v>
      </c>
      <c r="H652" s="7">
        <v>41354</v>
      </c>
      <c r="I652" s="1">
        <f>Europe_Sales_Records[[#This Row],[Ship Date]]-Europe_Sales_Records[[#This Row],[Order Date]]</f>
        <v>5</v>
      </c>
      <c r="J652" s="1">
        <v>7270</v>
      </c>
      <c r="K652" s="1">
        <v>255.28</v>
      </c>
      <c r="L652" s="1">
        <v>159.41999999999999</v>
      </c>
      <c r="M652" s="1">
        <f>Europe_Sales_Records[[#This Row],[Unit Price]]-Europe_Sales_Records[[#This Row],[Unit Cost]]</f>
        <v>95.860000000000014</v>
      </c>
      <c r="N652" s="1">
        <v>1855885.6</v>
      </c>
      <c r="O652" s="6">
        <v>1158983.3999999999</v>
      </c>
      <c r="P652" s="1">
        <v>696902.2</v>
      </c>
    </row>
    <row r="653" spans="1:16" x14ac:dyDescent="0.3">
      <c r="A653" s="1" t="s">
        <v>14</v>
      </c>
      <c r="B653" s="1" t="s">
        <v>20</v>
      </c>
      <c r="C653" s="1" t="s">
        <v>48</v>
      </c>
      <c r="D653" s="1" t="s">
        <v>17</v>
      </c>
      <c r="E653" s="1" t="s">
        <v>18</v>
      </c>
      <c r="F653" s="7">
        <v>40999</v>
      </c>
      <c r="G653" s="1" t="s">
        <v>732</v>
      </c>
      <c r="H653" s="7">
        <v>41039</v>
      </c>
      <c r="I653" s="1">
        <f>Europe_Sales_Records[[#This Row],[Ship Date]]-Europe_Sales_Records[[#This Row],[Order Date]]</f>
        <v>40</v>
      </c>
      <c r="J653" s="1">
        <v>2203</v>
      </c>
      <c r="K653" s="1">
        <v>152.58000000000001</v>
      </c>
      <c r="L653" s="1">
        <v>97.44</v>
      </c>
      <c r="M653" s="1">
        <f>Europe_Sales_Records[[#This Row],[Unit Price]]-Europe_Sales_Records[[#This Row],[Unit Cost]]</f>
        <v>55.140000000000015</v>
      </c>
      <c r="N653" s="1">
        <v>336133.74</v>
      </c>
      <c r="O653" s="6">
        <v>214660.32</v>
      </c>
      <c r="P653" s="1">
        <v>121473.42</v>
      </c>
    </row>
    <row r="654" spans="1:16" x14ac:dyDescent="0.3">
      <c r="A654" s="1" t="s">
        <v>14</v>
      </c>
      <c r="B654" s="1" t="s">
        <v>172</v>
      </c>
      <c r="C654" s="1" t="s">
        <v>39</v>
      </c>
      <c r="D654" s="1" t="s">
        <v>17</v>
      </c>
      <c r="E654" s="1" t="s">
        <v>30</v>
      </c>
      <c r="F654" s="7">
        <v>41716</v>
      </c>
      <c r="G654" s="1" t="s">
        <v>733</v>
      </c>
      <c r="H654" s="7">
        <v>41717</v>
      </c>
      <c r="I654" s="1">
        <f>Europe_Sales_Records[[#This Row],[Ship Date]]-Europe_Sales_Records[[#This Row],[Order Date]]</f>
        <v>1</v>
      </c>
      <c r="J654" s="1">
        <v>1340</v>
      </c>
      <c r="K654" s="1">
        <v>154.06</v>
      </c>
      <c r="L654" s="1">
        <v>90.93</v>
      </c>
      <c r="M654" s="1">
        <f>Europe_Sales_Records[[#This Row],[Unit Price]]-Europe_Sales_Records[[#This Row],[Unit Cost]]</f>
        <v>63.129999999999995</v>
      </c>
      <c r="N654" s="1">
        <v>206440.4</v>
      </c>
      <c r="O654" s="6">
        <v>121846.2</v>
      </c>
      <c r="P654" s="1">
        <v>84594.2</v>
      </c>
    </row>
    <row r="655" spans="1:16" x14ac:dyDescent="0.3">
      <c r="A655" s="1" t="s">
        <v>14</v>
      </c>
      <c r="B655" s="1" t="s">
        <v>67</v>
      </c>
      <c r="C655" s="1" t="s">
        <v>52</v>
      </c>
      <c r="D655" s="1" t="s">
        <v>17</v>
      </c>
      <c r="E655" s="1" t="s">
        <v>23</v>
      </c>
      <c r="F655" s="7">
        <v>42456</v>
      </c>
      <c r="G655" s="1" t="s">
        <v>734</v>
      </c>
      <c r="H655" s="7">
        <v>42506</v>
      </c>
      <c r="I655" s="1">
        <f>Europe_Sales_Records[[#This Row],[Ship Date]]-Europe_Sales_Records[[#This Row],[Order Date]]</f>
        <v>50</v>
      </c>
      <c r="J655" s="1">
        <v>1303</v>
      </c>
      <c r="K655" s="1">
        <v>255.28</v>
      </c>
      <c r="L655" s="1">
        <v>159.41999999999999</v>
      </c>
      <c r="M655" s="1">
        <f>Europe_Sales_Records[[#This Row],[Unit Price]]-Europe_Sales_Records[[#This Row],[Unit Cost]]</f>
        <v>95.860000000000014</v>
      </c>
      <c r="N655" s="1">
        <v>332629.84000000003</v>
      </c>
      <c r="O655" s="6">
        <v>207724.26</v>
      </c>
      <c r="P655" s="1">
        <v>124905.58</v>
      </c>
    </row>
    <row r="656" spans="1:16" x14ac:dyDescent="0.3">
      <c r="A656" s="1" t="s">
        <v>14</v>
      </c>
      <c r="B656" s="1" t="s">
        <v>77</v>
      </c>
      <c r="C656" s="1" t="s">
        <v>33</v>
      </c>
      <c r="D656" s="1" t="s">
        <v>22</v>
      </c>
      <c r="E656" s="1" t="s">
        <v>23</v>
      </c>
      <c r="F656" s="7">
        <v>42499</v>
      </c>
      <c r="G656" s="1" t="s">
        <v>735</v>
      </c>
      <c r="H656" s="7">
        <v>42522</v>
      </c>
      <c r="I656" s="1">
        <f>Europe_Sales_Records[[#This Row],[Ship Date]]-Europe_Sales_Records[[#This Row],[Order Date]]</f>
        <v>23</v>
      </c>
      <c r="J656" s="1">
        <v>2802</v>
      </c>
      <c r="K656" s="1">
        <v>9.33</v>
      </c>
      <c r="L656" s="1">
        <v>6.92</v>
      </c>
      <c r="M656" s="1">
        <f>Europe_Sales_Records[[#This Row],[Unit Price]]-Europe_Sales_Records[[#This Row],[Unit Cost]]</f>
        <v>2.41</v>
      </c>
      <c r="N656" s="1">
        <v>26142.66</v>
      </c>
      <c r="O656" s="6">
        <v>19389.84</v>
      </c>
      <c r="P656" s="1">
        <v>6752.82</v>
      </c>
    </row>
    <row r="657" spans="1:16" x14ac:dyDescent="0.3">
      <c r="A657" s="1" t="s">
        <v>14</v>
      </c>
      <c r="B657" s="1" t="s">
        <v>32</v>
      </c>
      <c r="C657" s="1" t="s">
        <v>26</v>
      </c>
      <c r="D657" s="1" t="s">
        <v>22</v>
      </c>
      <c r="E657" s="1" t="s">
        <v>23</v>
      </c>
      <c r="F657" s="7">
        <v>42284</v>
      </c>
      <c r="G657" s="1" t="s">
        <v>736</v>
      </c>
      <c r="H657" s="7">
        <v>42313</v>
      </c>
      <c r="I657" s="1">
        <f>Europe_Sales_Records[[#This Row],[Ship Date]]-Europe_Sales_Records[[#This Row],[Order Date]]</f>
        <v>29</v>
      </c>
      <c r="J657" s="1">
        <v>7048</v>
      </c>
      <c r="K657" s="1">
        <v>205.7</v>
      </c>
      <c r="L657" s="1">
        <v>117.11</v>
      </c>
      <c r="M657" s="1">
        <f>Europe_Sales_Records[[#This Row],[Unit Price]]-Europe_Sales_Records[[#This Row],[Unit Cost]]</f>
        <v>88.589999999999989</v>
      </c>
      <c r="N657" s="1">
        <v>1449773.6</v>
      </c>
      <c r="O657" s="6">
        <v>825391.28</v>
      </c>
      <c r="P657" s="1">
        <v>624382.31999999995</v>
      </c>
    </row>
    <row r="658" spans="1:16" x14ac:dyDescent="0.3">
      <c r="A658" s="1" t="s">
        <v>14</v>
      </c>
      <c r="B658" s="1" t="s">
        <v>91</v>
      </c>
      <c r="C658" s="1" t="s">
        <v>42</v>
      </c>
      <c r="D658" s="1" t="s">
        <v>17</v>
      </c>
      <c r="E658" s="1" t="s">
        <v>45</v>
      </c>
      <c r="F658" s="7">
        <v>40477</v>
      </c>
      <c r="G658" s="1" t="s">
        <v>737</v>
      </c>
      <c r="H658" s="7">
        <v>40482</v>
      </c>
      <c r="I658" s="1">
        <f>Europe_Sales_Records[[#This Row],[Ship Date]]-Europe_Sales_Records[[#This Row],[Order Date]]</f>
        <v>5</v>
      </c>
      <c r="J658" s="1">
        <v>9875</v>
      </c>
      <c r="K658" s="1">
        <v>421.89</v>
      </c>
      <c r="L658" s="1">
        <v>364.69</v>
      </c>
      <c r="M658" s="1">
        <f>Europe_Sales_Records[[#This Row],[Unit Price]]-Europe_Sales_Records[[#This Row],[Unit Cost]]</f>
        <v>57.199999999999989</v>
      </c>
      <c r="N658" s="1">
        <v>4166163.75</v>
      </c>
      <c r="O658" s="6">
        <v>3601313.75</v>
      </c>
      <c r="P658" s="1">
        <v>564850</v>
      </c>
    </row>
    <row r="659" spans="1:16" x14ac:dyDescent="0.3">
      <c r="A659" s="1" t="s">
        <v>14</v>
      </c>
      <c r="B659" s="1" t="s">
        <v>32</v>
      </c>
      <c r="C659" s="1" t="s">
        <v>26</v>
      </c>
      <c r="D659" s="1" t="s">
        <v>17</v>
      </c>
      <c r="E659" s="1" t="s">
        <v>45</v>
      </c>
      <c r="F659" s="7">
        <v>41473</v>
      </c>
      <c r="G659" s="1" t="s">
        <v>738</v>
      </c>
      <c r="H659" s="7">
        <v>41500</v>
      </c>
      <c r="I659" s="1">
        <f>Europe_Sales_Records[[#This Row],[Ship Date]]-Europe_Sales_Records[[#This Row],[Order Date]]</f>
        <v>27</v>
      </c>
      <c r="J659" s="1">
        <v>6641</v>
      </c>
      <c r="K659" s="1">
        <v>205.7</v>
      </c>
      <c r="L659" s="1">
        <v>117.11</v>
      </c>
      <c r="M659" s="1">
        <f>Europe_Sales_Records[[#This Row],[Unit Price]]-Europe_Sales_Records[[#This Row],[Unit Cost]]</f>
        <v>88.589999999999989</v>
      </c>
      <c r="N659" s="1">
        <v>1366053.7</v>
      </c>
      <c r="O659" s="6">
        <v>777727.51</v>
      </c>
      <c r="P659" s="1">
        <v>588326.18999999994</v>
      </c>
    </row>
    <row r="660" spans="1:16" x14ac:dyDescent="0.3">
      <c r="A660" s="1" t="s">
        <v>14</v>
      </c>
      <c r="B660" s="1" t="s">
        <v>69</v>
      </c>
      <c r="C660" s="1" t="s">
        <v>57</v>
      </c>
      <c r="D660" s="1" t="s">
        <v>22</v>
      </c>
      <c r="E660" s="1" t="s">
        <v>18</v>
      </c>
      <c r="F660" s="7">
        <v>40615</v>
      </c>
      <c r="G660" s="1" t="s">
        <v>739</v>
      </c>
      <c r="H660" s="7">
        <v>40649</v>
      </c>
      <c r="I660" s="1">
        <f>Europe_Sales_Records[[#This Row],[Ship Date]]-Europe_Sales_Records[[#This Row],[Order Date]]</f>
        <v>34</v>
      </c>
      <c r="J660" s="1">
        <v>3065</v>
      </c>
      <c r="K660" s="1">
        <v>668.27</v>
      </c>
      <c r="L660" s="1">
        <v>502.54</v>
      </c>
      <c r="M660" s="1">
        <f>Europe_Sales_Records[[#This Row],[Unit Price]]-Europe_Sales_Records[[#This Row],[Unit Cost]]</f>
        <v>165.72999999999996</v>
      </c>
      <c r="N660" s="1">
        <v>2048247.55</v>
      </c>
      <c r="O660" s="6">
        <v>1540285.1</v>
      </c>
      <c r="P660" s="1">
        <v>507962.45</v>
      </c>
    </row>
    <row r="661" spans="1:16" x14ac:dyDescent="0.3">
      <c r="A661" s="1" t="s">
        <v>14</v>
      </c>
      <c r="B661" s="1" t="s">
        <v>172</v>
      </c>
      <c r="C661" s="1" t="s">
        <v>16</v>
      </c>
      <c r="D661" s="1" t="s">
        <v>17</v>
      </c>
      <c r="E661" s="1" t="s">
        <v>30</v>
      </c>
      <c r="F661" s="7">
        <v>40851</v>
      </c>
      <c r="G661" s="1" t="s">
        <v>740</v>
      </c>
      <c r="H661" s="7">
        <v>40899</v>
      </c>
      <c r="I661" s="1">
        <f>Europe_Sales_Records[[#This Row],[Ship Date]]-Europe_Sales_Records[[#This Row],[Order Date]]</f>
        <v>48</v>
      </c>
      <c r="J661" s="1">
        <v>4924</v>
      </c>
      <c r="K661" s="1">
        <v>47.45</v>
      </c>
      <c r="L661" s="1">
        <v>31.79</v>
      </c>
      <c r="M661" s="1">
        <f>Europe_Sales_Records[[#This Row],[Unit Price]]-Europe_Sales_Records[[#This Row],[Unit Cost]]</f>
        <v>15.660000000000004</v>
      </c>
      <c r="N661" s="1">
        <v>233643.8</v>
      </c>
      <c r="O661" s="6">
        <v>156533.96</v>
      </c>
      <c r="P661" s="1">
        <v>77109.84</v>
      </c>
    </row>
    <row r="662" spans="1:16" x14ac:dyDescent="0.3">
      <c r="A662" s="1" t="s">
        <v>14</v>
      </c>
      <c r="B662" s="1" t="s">
        <v>56</v>
      </c>
      <c r="C662" s="1" t="s">
        <v>48</v>
      </c>
      <c r="D662" s="1" t="s">
        <v>17</v>
      </c>
      <c r="E662" s="1" t="s">
        <v>45</v>
      </c>
      <c r="F662" s="7">
        <v>41118</v>
      </c>
      <c r="G662" s="1" t="s">
        <v>741</v>
      </c>
      <c r="H662" s="7">
        <v>41155</v>
      </c>
      <c r="I662" s="1">
        <f>Europe_Sales_Records[[#This Row],[Ship Date]]-Europe_Sales_Records[[#This Row],[Order Date]]</f>
        <v>37</v>
      </c>
      <c r="J662" s="1">
        <v>5598</v>
      </c>
      <c r="K662" s="1">
        <v>152.58000000000001</v>
      </c>
      <c r="L662" s="1">
        <v>97.44</v>
      </c>
      <c r="M662" s="1">
        <f>Europe_Sales_Records[[#This Row],[Unit Price]]-Europe_Sales_Records[[#This Row],[Unit Cost]]</f>
        <v>55.140000000000015</v>
      </c>
      <c r="N662" s="1">
        <v>854142.84</v>
      </c>
      <c r="O662" s="6">
        <v>545469.12</v>
      </c>
      <c r="P662" s="1">
        <v>308673.71999999997</v>
      </c>
    </row>
    <row r="663" spans="1:16" x14ac:dyDescent="0.3">
      <c r="A663" s="1" t="s">
        <v>14</v>
      </c>
      <c r="B663" s="1" t="s">
        <v>137</v>
      </c>
      <c r="C663" s="1" t="s">
        <v>21</v>
      </c>
      <c r="D663" s="1" t="s">
        <v>22</v>
      </c>
      <c r="E663" s="1" t="s">
        <v>18</v>
      </c>
      <c r="F663" s="7">
        <v>42084</v>
      </c>
      <c r="G663" s="1" t="s">
        <v>742</v>
      </c>
      <c r="H663" s="7">
        <v>42109</v>
      </c>
      <c r="I663" s="1">
        <f>Europe_Sales_Records[[#This Row],[Ship Date]]-Europe_Sales_Records[[#This Row],[Order Date]]</f>
        <v>25</v>
      </c>
      <c r="J663" s="1">
        <v>5413</v>
      </c>
      <c r="K663" s="1">
        <v>109.28</v>
      </c>
      <c r="L663" s="1">
        <v>35.840000000000003</v>
      </c>
      <c r="M663" s="1">
        <f>Europe_Sales_Records[[#This Row],[Unit Price]]-Europe_Sales_Records[[#This Row],[Unit Cost]]</f>
        <v>73.44</v>
      </c>
      <c r="N663" s="1">
        <v>591532.64</v>
      </c>
      <c r="O663" s="6">
        <v>194001.92000000001</v>
      </c>
      <c r="P663" s="1">
        <v>397530.72</v>
      </c>
    </row>
    <row r="664" spans="1:16" x14ac:dyDescent="0.3">
      <c r="A664" s="1" t="s">
        <v>14</v>
      </c>
      <c r="B664" s="1" t="s">
        <v>118</v>
      </c>
      <c r="C664" s="1" t="s">
        <v>21</v>
      </c>
      <c r="D664" s="1" t="s">
        <v>22</v>
      </c>
      <c r="E664" s="1" t="s">
        <v>45</v>
      </c>
      <c r="F664" s="7">
        <v>40404</v>
      </c>
      <c r="G664" s="1" t="s">
        <v>743</v>
      </c>
      <c r="H664" s="7">
        <v>40447</v>
      </c>
      <c r="I664" s="1">
        <f>Europe_Sales_Records[[#This Row],[Ship Date]]-Europe_Sales_Records[[#This Row],[Order Date]]</f>
        <v>43</v>
      </c>
      <c r="J664" s="1">
        <v>7701</v>
      </c>
      <c r="K664" s="1">
        <v>109.28</v>
      </c>
      <c r="L664" s="1">
        <v>35.840000000000003</v>
      </c>
      <c r="M664" s="1">
        <f>Europe_Sales_Records[[#This Row],[Unit Price]]-Europe_Sales_Records[[#This Row],[Unit Cost]]</f>
        <v>73.44</v>
      </c>
      <c r="N664" s="1">
        <v>841565.28</v>
      </c>
      <c r="O664" s="6">
        <v>276003.84000000003</v>
      </c>
      <c r="P664" s="1">
        <v>565561.43999999994</v>
      </c>
    </row>
    <row r="665" spans="1:16" x14ac:dyDescent="0.3">
      <c r="A665" s="1" t="s">
        <v>14</v>
      </c>
      <c r="B665" s="1" t="s">
        <v>106</v>
      </c>
      <c r="C665" s="1" t="s">
        <v>16</v>
      </c>
      <c r="D665" s="1" t="s">
        <v>22</v>
      </c>
      <c r="E665" s="1" t="s">
        <v>45</v>
      </c>
      <c r="F665" s="7">
        <v>42181</v>
      </c>
      <c r="G665" s="1" t="s">
        <v>744</v>
      </c>
      <c r="H665" s="7">
        <v>42229</v>
      </c>
      <c r="I665" s="1">
        <f>Europe_Sales_Records[[#This Row],[Ship Date]]-Europe_Sales_Records[[#This Row],[Order Date]]</f>
        <v>48</v>
      </c>
      <c r="J665" s="1">
        <v>9923</v>
      </c>
      <c r="K665" s="1">
        <v>47.45</v>
      </c>
      <c r="L665" s="1">
        <v>31.79</v>
      </c>
      <c r="M665" s="1">
        <f>Europe_Sales_Records[[#This Row],[Unit Price]]-Europe_Sales_Records[[#This Row],[Unit Cost]]</f>
        <v>15.660000000000004</v>
      </c>
      <c r="N665" s="1">
        <v>470846.35</v>
      </c>
      <c r="O665" s="6">
        <v>315452.17</v>
      </c>
      <c r="P665" s="1">
        <v>155394.18</v>
      </c>
    </row>
    <row r="666" spans="1:16" x14ac:dyDescent="0.3">
      <c r="A666" s="1" t="s">
        <v>14</v>
      </c>
      <c r="B666" s="1" t="s">
        <v>164</v>
      </c>
      <c r="C666" s="1" t="s">
        <v>29</v>
      </c>
      <c r="D666" s="1" t="s">
        <v>22</v>
      </c>
      <c r="E666" s="1" t="s">
        <v>18</v>
      </c>
      <c r="F666" s="7">
        <v>41034</v>
      </c>
      <c r="G666" s="1" t="s">
        <v>745</v>
      </c>
      <c r="H666" s="7">
        <v>41075</v>
      </c>
      <c r="I666" s="1">
        <f>Europe_Sales_Records[[#This Row],[Ship Date]]-Europe_Sales_Records[[#This Row],[Order Date]]</f>
        <v>41</v>
      </c>
      <c r="J666" s="1">
        <v>7633</v>
      </c>
      <c r="K666" s="1">
        <v>651.21</v>
      </c>
      <c r="L666" s="1">
        <v>524.96</v>
      </c>
      <c r="M666" s="1">
        <f>Europe_Sales_Records[[#This Row],[Unit Price]]-Europe_Sales_Records[[#This Row],[Unit Cost]]</f>
        <v>126.25</v>
      </c>
      <c r="N666" s="1">
        <v>4970685.93</v>
      </c>
      <c r="O666" s="6">
        <v>4007019.68</v>
      </c>
      <c r="P666" s="1">
        <v>963666.25</v>
      </c>
    </row>
    <row r="667" spans="1:16" x14ac:dyDescent="0.3">
      <c r="A667" s="1" t="s">
        <v>14</v>
      </c>
      <c r="B667" s="1" t="s">
        <v>35</v>
      </c>
      <c r="C667" s="1" t="s">
        <v>21</v>
      </c>
      <c r="D667" s="1" t="s">
        <v>22</v>
      </c>
      <c r="E667" s="1" t="s">
        <v>30</v>
      </c>
      <c r="F667" s="7">
        <v>42489</v>
      </c>
      <c r="G667" s="1" t="s">
        <v>746</v>
      </c>
      <c r="H667" s="7">
        <v>42537</v>
      </c>
      <c r="I667" s="1">
        <f>Europe_Sales_Records[[#This Row],[Ship Date]]-Europe_Sales_Records[[#This Row],[Order Date]]</f>
        <v>48</v>
      </c>
      <c r="J667" s="1">
        <v>2222</v>
      </c>
      <c r="K667" s="1">
        <v>109.28</v>
      </c>
      <c r="L667" s="1">
        <v>35.840000000000003</v>
      </c>
      <c r="M667" s="1">
        <f>Europe_Sales_Records[[#This Row],[Unit Price]]-Europe_Sales_Records[[#This Row],[Unit Cost]]</f>
        <v>73.44</v>
      </c>
      <c r="N667" s="1">
        <v>242820.16</v>
      </c>
      <c r="O667" s="6">
        <v>79636.479999999996</v>
      </c>
      <c r="P667" s="1">
        <v>163183.67999999999</v>
      </c>
    </row>
    <row r="668" spans="1:16" x14ac:dyDescent="0.3">
      <c r="A668" s="1" t="s">
        <v>14</v>
      </c>
      <c r="B668" s="1" t="s">
        <v>129</v>
      </c>
      <c r="C668" s="1" t="s">
        <v>21</v>
      </c>
      <c r="D668" s="1" t="s">
        <v>22</v>
      </c>
      <c r="E668" s="1" t="s">
        <v>45</v>
      </c>
      <c r="F668" s="7">
        <v>42035</v>
      </c>
      <c r="G668" s="1" t="s">
        <v>747</v>
      </c>
      <c r="H668" s="7">
        <v>42041</v>
      </c>
      <c r="I668" s="1">
        <f>Europe_Sales_Records[[#This Row],[Ship Date]]-Europe_Sales_Records[[#This Row],[Order Date]]</f>
        <v>6</v>
      </c>
      <c r="J668" s="1">
        <v>9440</v>
      </c>
      <c r="K668" s="1">
        <v>109.28</v>
      </c>
      <c r="L668" s="1">
        <v>35.840000000000003</v>
      </c>
      <c r="M668" s="1">
        <f>Europe_Sales_Records[[#This Row],[Unit Price]]-Europe_Sales_Records[[#This Row],[Unit Cost]]</f>
        <v>73.44</v>
      </c>
      <c r="N668" s="1">
        <v>1031603.2</v>
      </c>
      <c r="O668" s="6">
        <v>338329.59999999998</v>
      </c>
      <c r="P668" s="1">
        <v>693273.59999999998</v>
      </c>
    </row>
    <row r="669" spans="1:16" x14ac:dyDescent="0.3">
      <c r="A669" s="1" t="s">
        <v>14</v>
      </c>
      <c r="B669" s="1" t="s">
        <v>47</v>
      </c>
      <c r="C669" s="1" t="s">
        <v>29</v>
      </c>
      <c r="D669" s="1" t="s">
        <v>17</v>
      </c>
      <c r="E669" s="1" t="s">
        <v>30</v>
      </c>
      <c r="F669" s="7">
        <v>41244</v>
      </c>
      <c r="G669" s="1" t="s">
        <v>748</v>
      </c>
      <c r="H669" s="7">
        <v>41245</v>
      </c>
      <c r="I669" s="1">
        <f>Europe_Sales_Records[[#This Row],[Ship Date]]-Europe_Sales_Records[[#This Row],[Order Date]]</f>
        <v>1</v>
      </c>
      <c r="J669" s="1">
        <v>5419</v>
      </c>
      <c r="K669" s="1">
        <v>651.21</v>
      </c>
      <c r="L669" s="1">
        <v>524.96</v>
      </c>
      <c r="M669" s="1">
        <f>Europe_Sales_Records[[#This Row],[Unit Price]]-Europe_Sales_Records[[#This Row],[Unit Cost]]</f>
        <v>126.25</v>
      </c>
      <c r="N669" s="1">
        <v>3528906.99</v>
      </c>
      <c r="O669" s="6">
        <v>2844758.24</v>
      </c>
      <c r="P669" s="1">
        <v>684148.75</v>
      </c>
    </row>
    <row r="670" spans="1:16" x14ac:dyDescent="0.3">
      <c r="A670" s="1" t="s">
        <v>14</v>
      </c>
      <c r="B670" s="1" t="s">
        <v>35</v>
      </c>
      <c r="C670" s="1" t="s">
        <v>52</v>
      </c>
      <c r="D670" s="1" t="s">
        <v>17</v>
      </c>
      <c r="E670" s="1" t="s">
        <v>18</v>
      </c>
      <c r="F670" s="7">
        <v>42415</v>
      </c>
      <c r="G670" s="1" t="s">
        <v>749</v>
      </c>
      <c r="H670" s="7">
        <v>42450</v>
      </c>
      <c r="I670" s="1">
        <f>Europe_Sales_Records[[#This Row],[Ship Date]]-Europe_Sales_Records[[#This Row],[Order Date]]</f>
        <v>35</v>
      </c>
      <c r="J670" s="1">
        <v>616</v>
      </c>
      <c r="K670" s="1">
        <v>255.28</v>
      </c>
      <c r="L670" s="1">
        <v>159.41999999999999</v>
      </c>
      <c r="M670" s="1">
        <f>Europe_Sales_Records[[#This Row],[Unit Price]]-Europe_Sales_Records[[#This Row],[Unit Cost]]</f>
        <v>95.860000000000014</v>
      </c>
      <c r="N670" s="1">
        <v>157252.48000000001</v>
      </c>
      <c r="O670" s="6">
        <v>98202.72</v>
      </c>
      <c r="P670" s="1">
        <v>59049.760000000002</v>
      </c>
    </row>
    <row r="671" spans="1:16" x14ac:dyDescent="0.3">
      <c r="A671" s="1" t="s">
        <v>14</v>
      </c>
      <c r="B671" s="1" t="s">
        <v>35</v>
      </c>
      <c r="C671" s="1" t="s">
        <v>79</v>
      </c>
      <c r="D671" s="1" t="s">
        <v>17</v>
      </c>
      <c r="E671" s="1" t="s">
        <v>18</v>
      </c>
      <c r="F671" s="7">
        <v>41454</v>
      </c>
      <c r="G671" s="1" t="s">
        <v>750</v>
      </c>
      <c r="H671" s="7">
        <v>41454</v>
      </c>
      <c r="I671" s="1">
        <f>Europe_Sales_Records[[#This Row],[Ship Date]]-Europe_Sales_Records[[#This Row],[Order Date]]</f>
        <v>0</v>
      </c>
      <c r="J671" s="1">
        <v>9625</v>
      </c>
      <c r="K671" s="1">
        <v>81.73</v>
      </c>
      <c r="L671" s="1">
        <v>56.67</v>
      </c>
      <c r="M671" s="1">
        <f>Europe_Sales_Records[[#This Row],[Unit Price]]-Europe_Sales_Records[[#This Row],[Unit Cost]]</f>
        <v>25.060000000000002</v>
      </c>
      <c r="N671" s="1">
        <v>786651.25</v>
      </c>
      <c r="O671" s="6">
        <v>545448.75</v>
      </c>
      <c r="P671" s="1">
        <v>241202.5</v>
      </c>
    </row>
    <row r="672" spans="1:16" x14ac:dyDescent="0.3">
      <c r="A672" s="1" t="s">
        <v>14</v>
      </c>
      <c r="B672" s="1" t="s">
        <v>44</v>
      </c>
      <c r="C672" s="1" t="s">
        <v>42</v>
      </c>
      <c r="D672" s="1" t="s">
        <v>22</v>
      </c>
      <c r="E672" s="1" t="s">
        <v>45</v>
      </c>
      <c r="F672" s="7">
        <v>41811</v>
      </c>
      <c r="G672" s="1" t="s">
        <v>751</v>
      </c>
      <c r="H672" s="7">
        <v>41816</v>
      </c>
      <c r="I672" s="1">
        <f>Europe_Sales_Records[[#This Row],[Ship Date]]-Europe_Sales_Records[[#This Row],[Order Date]]</f>
        <v>5</v>
      </c>
      <c r="J672" s="1">
        <v>7397</v>
      </c>
      <c r="K672" s="1">
        <v>421.89</v>
      </c>
      <c r="L672" s="1">
        <v>364.69</v>
      </c>
      <c r="M672" s="1">
        <f>Europe_Sales_Records[[#This Row],[Unit Price]]-Europe_Sales_Records[[#This Row],[Unit Cost]]</f>
        <v>57.199999999999989</v>
      </c>
      <c r="N672" s="1">
        <v>3120720.33</v>
      </c>
      <c r="O672" s="6">
        <v>2697611.93</v>
      </c>
      <c r="P672" s="1">
        <v>423108.4</v>
      </c>
    </row>
    <row r="673" spans="1:16" x14ac:dyDescent="0.3">
      <c r="A673" s="1" t="s">
        <v>14</v>
      </c>
      <c r="B673" s="1" t="s">
        <v>56</v>
      </c>
      <c r="C673" s="1" t="s">
        <v>52</v>
      </c>
      <c r="D673" s="1" t="s">
        <v>17</v>
      </c>
      <c r="E673" s="1" t="s">
        <v>30</v>
      </c>
      <c r="F673" s="7">
        <v>42143</v>
      </c>
      <c r="G673" s="1" t="s">
        <v>752</v>
      </c>
      <c r="H673" s="7">
        <v>42173</v>
      </c>
      <c r="I673" s="1">
        <f>Europe_Sales_Records[[#This Row],[Ship Date]]-Europe_Sales_Records[[#This Row],[Order Date]]</f>
        <v>30</v>
      </c>
      <c r="J673" s="1">
        <v>6542</v>
      </c>
      <c r="K673" s="1">
        <v>255.28</v>
      </c>
      <c r="L673" s="1">
        <v>159.41999999999999</v>
      </c>
      <c r="M673" s="1">
        <f>Europe_Sales_Records[[#This Row],[Unit Price]]-Europe_Sales_Records[[#This Row],[Unit Cost]]</f>
        <v>95.860000000000014</v>
      </c>
      <c r="N673" s="1">
        <v>1670041.76</v>
      </c>
      <c r="O673" s="6">
        <v>1042925.64</v>
      </c>
      <c r="P673" s="1">
        <v>627116.12</v>
      </c>
    </row>
    <row r="674" spans="1:16" x14ac:dyDescent="0.3">
      <c r="A674" s="1" t="s">
        <v>14</v>
      </c>
      <c r="B674" s="1" t="s">
        <v>84</v>
      </c>
      <c r="C674" s="1" t="s">
        <v>57</v>
      </c>
      <c r="D674" s="1" t="s">
        <v>22</v>
      </c>
      <c r="E674" s="1" t="s">
        <v>30</v>
      </c>
      <c r="F674" s="7">
        <v>41799</v>
      </c>
      <c r="G674" s="1" t="s">
        <v>753</v>
      </c>
      <c r="H674" s="7">
        <v>41804</v>
      </c>
      <c r="I674" s="1">
        <f>Europe_Sales_Records[[#This Row],[Ship Date]]-Europe_Sales_Records[[#This Row],[Order Date]]</f>
        <v>5</v>
      </c>
      <c r="J674" s="1">
        <v>9370</v>
      </c>
      <c r="K674" s="1">
        <v>668.27</v>
      </c>
      <c r="L674" s="1">
        <v>502.54</v>
      </c>
      <c r="M674" s="1">
        <f>Europe_Sales_Records[[#This Row],[Unit Price]]-Europe_Sales_Records[[#This Row],[Unit Cost]]</f>
        <v>165.72999999999996</v>
      </c>
      <c r="N674" s="1">
        <v>6261689.9000000004</v>
      </c>
      <c r="O674" s="6">
        <v>4708799.8</v>
      </c>
      <c r="P674" s="1">
        <v>1552890.1</v>
      </c>
    </row>
    <row r="675" spans="1:16" x14ac:dyDescent="0.3">
      <c r="A675" s="1" t="s">
        <v>14</v>
      </c>
      <c r="B675" s="1" t="s">
        <v>54</v>
      </c>
      <c r="C675" s="1" t="s">
        <v>57</v>
      </c>
      <c r="D675" s="1" t="s">
        <v>22</v>
      </c>
      <c r="E675" s="1" t="s">
        <v>18</v>
      </c>
      <c r="F675" s="7">
        <v>42678</v>
      </c>
      <c r="G675" s="1" t="s">
        <v>754</v>
      </c>
      <c r="H675" s="7">
        <v>42693</v>
      </c>
      <c r="I675" s="1">
        <f>Europe_Sales_Records[[#This Row],[Ship Date]]-Europe_Sales_Records[[#This Row],[Order Date]]</f>
        <v>15</v>
      </c>
      <c r="J675" s="1">
        <v>477</v>
      </c>
      <c r="K675" s="1">
        <v>668.27</v>
      </c>
      <c r="L675" s="1">
        <v>502.54</v>
      </c>
      <c r="M675" s="1">
        <f>Europe_Sales_Records[[#This Row],[Unit Price]]-Europe_Sales_Records[[#This Row],[Unit Cost]]</f>
        <v>165.72999999999996</v>
      </c>
      <c r="N675" s="1">
        <v>318764.78999999998</v>
      </c>
      <c r="O675" s="6">
        <v>239711.58</v>
      </c>
      <c r="P675" s="1">
        <v>79053.210000000006</v>
      </c>
    </row>
    <row r="676" spans="1:16" x14ac:dyDescent="0.3">
      <c r="A676" s="1" t="s">
        <v>14</v>
      </c>
      <c r="B676" s="1" t="s">
        <v>127</v>
      </c>
      <c r="C676" s="1" t="s">
        <v>16</v>
      </c>
      <c r="D676" s="1" t="s">
        <v>17</v>
      </c>
      <c r="E676" s="1" t="s">
        <v>23</v>
      </c>
      <c r="F676" s="7">
        <v>42933</v>
      </c>
      <c r="G676" s="1" t="s">
        <v>755</v>
      </c>
      <c r="H676" s="7">
        <v>42978</v>
      </c>
      <c r="I676" s="1">
        <f>Europe_Sales_Records[[#This Row],[Ship Date]]-Europe_Sales_Records[[#This Row],[Order Date]]</f>
        <v>45</v>
      </c>
      <c r="J676" s="1">
        <v>9340</v>
      </c>
      <c r="K676" s="1">
        <v>47.45</v>
      </c>
      <c r="L676" s="1">
        <v>31.79</v>
      </c>
      <c r="M676" s="1">
        <f>Europe_Sales_Records[[#This Row],[Unit Price]]-Europe_Sales_Records[[#This Row],[Unit Cost]]</f>
        <v>15.660000000000004</v>
      </c>
      <c r="N676" s="1">
        <v>443183</v>
      </c>
      <c r="O676" s="6">
        <v>296918.59999999998</v>
      </c>
      <c r="P676" s="1">
        <v>146264.4</v>
      </c>
    </row>
    <row r="677" spans="1:16" x14ac:dyDescent="0.3">
      <c r="A677" s="1" t="s">
        <v>14</v>
      </c>
      <c r="B677" s="1" t="s">
        <v>131</v>
      </c>
      <c r="C677" s="1" t="s">
        <v>33</v>
      </c>
      <c r="D677" s="1" t="s">
        <v>22</v>
      </c>
      <c r="E677" s="1" t="s">
        <v>45</v>
      </c>
      <c r="F677" s="7">
        <v>41672</v>
      </c>
      <c r="G677" s="1" t="s">
        <v>756</v>
      </c>
      <c r="H677" s="7">
        <v>41720</v>
      </c>
      <c r="I677" s="1">
        <f>Europe_Sales_Records[[#This Row],[Ship Date]]-Europe_Sales_Records[[#This Row],[Order Date]]</f>
        <v>48</v>
      </c>
      <c r="J677" s="1">
        <v>7837</v>
      </c>
      <c r="K677" s="1">
        <v>9.33</v>
      </c>
      <c r="L677" s="1">
        <v>6.92</v>
      </c>
      <c r="M677" s="1">
        <f>Europe_Sales_Records[[#This Row],[Unit Price]]-Europe_Sales_Records[[#This Row],[Unit Cost]]</f>
        <v>2.41</v>
      </c>
      <c r="N677" s="1">
        <v>73119.210000000006</v>
      </c>
      <c r="O677" s="6">
        <v>54232.04</v>
      </c>
      <c r="P677" s="1">
        <v>18887.169999999998</v>
      </c>
    </row>
    <row r="678" spans="1:16" x14ac:dyDescent="0.3">
      <c r="A678" s="1" t="s">
        <v>14</v>
      </c>
      <c r="B678" s="1" t="s">
        <v>176</v>
      </c>
      <c r="C678" s="1" t="s">
        <v>48</v>
      </c>
      <c r="D678" s="1" t="s">
        <v>22</v>
      </c>
      <c r="E678" s="1" t="s">
        <v>30</v>
      </c>
      <c r="F678" s="7">
        <v>41161</v>
      </c>
      <c r="G678" s="1" t="s">
        <v>757</v>
      </c>
      <c r="H678" s="7">
        <v>41204</v>
      </c>
      <c r="I678" s="1">
        <f>Europe_Sales_Records[[#This Row],[Ship Date]]-Europe_Sales_Records[[#This Row],[Order Date]]</f>
        <v>43</v>
      </c>
      <c r="J678" s="1">
        <v>9880</v>
      </c>
      <c r="K678" s="1">
        <v>152.58000000000001</v>
      </c>
      <c r="L678" s="1">
        <v>97.44</v>
      </c>
      <c r="M678" s="1">
        <f>Europe_Sales_Records[[#This Row],[Unit Price]]-Europe_Sales_Records[[#This Row],[Unit Cost]]</f>
        <v>55.140000000000015</v>
      </c>
      <c r="N678" s="1">
        <v>1507490.4</v>
      </c>
      <c r="O678" s="6">
        <v>962707.2</v>
      </c>
      <c r="P678" s="1">
        <v>544783.19999999995</v>
      </c>
    </row>
    <row r="679" spans="1:16" x14ac:dyDescent="0.3">
      <c r="A679" s="1" t="s">
        <v>14</v>
      </c>
      <c r="B679" s="1" t="s">
        <v>219</v>
      </c>
      <c r="C679" s="1" t="s">
        <v>33</v>
      </c>
      <c r="D679" s="1" t="s">
        <v>22</v>
      </c>
      <c r="E679" s="1" t="s">
        <v>45</v>
      </c>
      <c r="F679" s="7">
        <v>42670</v>
      </c>
      <c r="G679" s="1" t="s">
        <v>758</v>
      </c>
      <c r="H679" s="7">
        <v>42707</v>
      </c>
      <c r="I679" s="1">
        <f>Europe_Sales_Records[[#This Row],[Ship Date]]-Europe_Sales_Records[[#This Row],[Order Date]]</f>
        <v>37</v>
      </c>
      <c r="J679" s="1">
        <v>6411</v>
      </c>
      <c r="K679" s="1">
        <v>9.33</v>
      </c>
      <c r="L679" s="1">
        <v>6.92</v>
      </c>
      <c r="M679" s="1">
        <f>Europe_Sales_Records[[#This Row],[Unit Price]]-Europe_Sales_Records[[#This Row],[Unit Cost]]</f>
        <v>2.41</v>
      </c>
      <c r="N679" s="1">
        <v>59814.63</v>
      </c>
      <c r="O679" s="6">
        <v>44364.12</v>
      </c>
      <c r="P679" s="1">
        <v>15450.51</v>
      </c>
    </row>
    <row r="680" spans="1:16" x14ac:dyDescent="0.3">
      <c r="A680" s="1" t="s">
        <v>14</v>
      </c>
      <c r="B680" s="1" t="s">
        <v>50</v>
      </c>
      <c r="C680" s="1" t="s">
        <v>42</v>
      </c>
      <c r="D680" s="1" t="s">
        <v>22</v>
      </c>
      <c r="E680" s="1" t="s">
        <v>45</v>
      </c>
      <c r="F680" s="7">
        <v>40473</v>
      </c>
      <c r="G680" s="1" t="s">
        <v>759</v>
      </c>
      <c r="H680" s="7">
        <v>40522</v>
      </c>
      <c r="I680" s="1">
        <f>Europe_Sales_Records[[#This Row],[Ship Date]]-Europe_Sales_Records[[#This Row],[Order Date]]</f>
        <v>49</v>
      </c>
      <c r="J680" s="1">
        <v>3627</v>
      </c>
      <c r="K680" s="1">
        <v>421.89</v>
      </c>
      <c r="L680" s="1">
        <v>364.69</v>
      </c>
      <c r="M680" s="1">
        <f>Europe_Sales_Records[[#This Row],[Unit Price]]-Europe_Sales_Records[[#This Row],[Unit Cost]]</f>
        <v>57.199999999999989</v>
      </c>
      <c r="N680" s="1">
        <v>1530195.03</v>
      </c>
      <c r="O680" s="6">
        <v>1322730.6299999999</v>
      </c>
      <c r="P680" s="1">
        <v>207464.4</v>
      </c>
    </row>
    <row r="681" spans="1:16" x14ac:dyDescent="0.3">
      <c r="A681" s="1" t="s">
        <v>14</v>
      </c>
      <c r="B681" s="1" t="s">
        <v>103</v>
      </c>
      <c r="C681" s="1" t="s">
        <v>57</v>
      </c>
      <c r="D681" s="1" t="s">
        <v>22</v>
      </c>
      <c r="E681" s="1" t="s">
        <v>30</v>
      </c>
      <c r="F681" s="7">
        <v>40532</v>
      </c>
      <c r="G681" s="1" t="s">
        <v>760</v>
      </c>
      <c r="H681" s="7">
        <v>40536</v>
      </c>
      <c r="I681" s="1">
        <f>Europe_Sales_Records[[#This Row],[Ship Date]]-Europe_Sales_Records[[#This Row],[Order Date]]</f>
        <v>4</v>
      </c>
      <c r="J681" s="1">
        <v>5534</v>
      </c>
      <c r="K681" s="1">
        <v>668.27</v>
      </c>
      <c r="L681" s="1">
        <v>502.54</v>
      </c>
      <c r="M681" s="1">
        <f>Europe_Sales_Records[[#This Row],[Unit Price]]-Europe_Sales_Records[[#This Row],[Unit Cost]]</f>
        <v>165.72999999999996</v>
      </c>
      <c r="N681" s="1">
        <v>3698206.18</v>
      </c>
      <c r="O681" s="6">
        <v>2781056.36</v>
      </c>
      <c r="P681" s="1">
        <v>917149.82</v>
      </c>
    </row>
    <row r="682" spans="1:16" x14ac:dyDescent="0.3">
      <c r="A682" s="1" t="s">
        <v>14</v>
      </c>
      <c r="B682" s="1" t="s">
        <v>44</v>
      </c>
      <c r="C682" s="1" t="s">
        <v>26</v>
      </c>
      <c r="D682" s="1" t="s">
        <v>22</v>
      </c>
      <c r="E682" s="1" t="s">
        <v>45</v>
      </c>
      <c r="F682" s="7">
        <v>41468</v>
      </c>
      <c r="G682" s="1" t="s">
        <v>761</v>
      </c>
      <c r="H682" s="7">
        <v>41487</v>
      </c>
      <c r="I682" s="1">
        <f>Europe_Sales_Records[[#This Row],[Ship Date]]-Europe_Sales_Records[[#This Row],[Order Date]]</f>
        <v>19</v>
      </c>
      <c r="J682" s="1">
        <v>5386</v>
      </c>
      <c r="K682" s="1">
        <v>205.7</v>
      </c>
      <c r="L682" s="1">
        <v>117.11</v>
      </c>
      <c r="M682" s="1">
        <f>Europe_Sales_Records[[#This Row],[Unit Price]]-Europe_Sales_Records[[#This Row],[Unit Cost]]</f>
        <v>88.589999999999989</v>
      </c>
      <c r="N682" s="1">
        <v>1107900.2</v>
      </c>
      <c r="O682" s="6">
        <v>630754.46</v>
      </c>
      <c r="P682" s="1">
        <v>477145.74</v>
      </c>
    </row>
    <row r="683" spans="1:16" x14ac:dyDescent="0.3">
      <c r="A683" s="1" t="s">
        <v>14</v>
      </c>
      <c r="B683" s="1" t="s">
        <v>56</v>
      </c>
      <c r="C683" s="1" t="s">
        <v>16</v>
      </c>
      <c r="D683" s="1" t="s">
        <v>22</v>
      </c>
      <c r="E683" s="1" t="s">
        <v>23</v>
      </c>
      <c r="F683" s="7">
        <v>41557</v>
      </c>
      <c r="G683" s="1" t="s">
        <v>762</v>
      </c>
      <c r="H683" s="7">
        <v>41595</v>
      </c>
      <c r="I683" s="1">
        <f>Europe_Sales_Records[[#This Row],[Ship Date]]-Europe_Sales_Records[[#This Row],[Order Date]]</f>
        <v>38</v>
      </c>
      <c r="J683" s="1">
        <v>8685</v>
      </c>
      <c r="K683" s="1">
        <v>47.45</v>
      </c>
      <c r="L683" s="1">
        <v>31.79</v>
      </c>
      <c r="M683" s="1">
        <f>Europe_Sales_Records[[#This Row],[Unit Price]]-Europe_Sales_Records[[#This Row],[Unit Cost]]</f>
        <v>15.660000000000004</v>
      </c>
      <c r="N683" s="1">
        <v>412103.25</v>
      </c>
      <c r="O683" s="6">
        <v>276096.15000000002</v>
      </c>
      <c r="P683" s="1">
        <v>136007.1</v>
      </c>
    </row>
    <row r="684" spans="1:16" x14ac:dyDescent="0.3">
      <c r="A684" s="1" t="s">
        <v>14</v>
      </c>
      <c r="B684" s="1" t="s">
        <v>99</v>
      </c>
      <c r="C684" s="1" t="s">
        <v>33</v>
      </c>
      <c r="D684" s="1" t="s">
        <v>17</v>
      </c>
      <c r="E684" s="1" t="s">
        <v>18</v>
      </c>
      <c r="F684" s="7">
        <v>42477</v>
      </c>
      <c r="G684" s="1" t="s">
        <v>763</v>
      </c>
      <c r="H684" s="7">
        <v>42513</v>
      </c>
      <c r="I684" s="1">
        <f>Europe_Sales_Records[[#This Row],[Ship Date]]-Europe_Sales_Records[[#This Row],[Order Date]]</f>
        <v>36</v>
      </c>
      <c r="J684" s="1">
        <v>5193</v>
      </c>
      <c r="K684" s="1">
        <v>9.33</v>
      </c>
      <c r="L684" s="1">
        <v>6.92</v>
      </c>
      <c r="M684" s="1">
        <f>Europe_Sales_Records[[#This Row],[Unit Price]]-Europe_Sales_Records[[#This Row],[Unit Cost]]</f>
        <v>2.41</v>
      </c>
      <c r="N684" s="1">
        <v>48450.69</v>
      </c>
      <c r="O684" s="6">
        <v>35935.56</v>
      </c>
      <c r="P684" s="1">
        <v>12515.13</v>
      </c>
    </row>
    <row r="685" spans="1:16" x14ac:dyDescent="0.3">
      <c r="A685" s="1" t="s">
        <v>14</v>
      </c>
      <c r="B685" s="1" t="s">
        <v>75</v>
      </c>
      <c r="C685" s="1" t="s">
        <v>60</v>
      </c>
      <c r="D685" s="1" t="s">
        <v>17</v>
      </c>
      <c r="E685" s="1" t="s">
        <v>23</v>
      </c>
      <c r="F685" s="7">
        <v>41667</v>
      </c>
      <c r="G685" s="1" t="s">
        <v>764</v>
      </c>
      <c r="H685" s="7">
        <v>41675</v>
      </c>
      <c r="I685" s="1">
        <f>Europe_Sales_Records[[#This Row],[Ship Date]]-Europe_Sales_Records[[#This Row],[Order Date]]</f>
        <v>8</v>
      </c>
      <c r="J685" s="1">
        <v>2511</v>
      </c>
      <c r="K685" s="1">
        <v>437.2</v>
      </c>
      <c r="L685" s="1">
        <v>263.33</v>
      </c>
      <c r="M685" s="1">
        <f>Europe_Sales_Records[[#This Row],[Unit Price]]-Europe_Sales_Records[[#This Row],[Unit Cost]]</f>
        <v>173.87</v>
      </c>
      <c r="N685" s="1">
        <v>1097809.2</v>
      </c>
      <c r="O685" s="6">
        <v>661221.63</v>
      </c>
      <c r="P685" s="1">
        <v>436587.57</v>
      </c>
    </row>
    <row r="686" spans="1:16" x14ac:dyDescent="0.3">
      <c r="A686" s="1" t="s">
        <v>14</v>
      </c>
      <c r="B686" s="1" t="s">
        <v>56</v>
      </c>
      <c r="C686" s="1" t="s">
        <v>60</v>
      </c>
      <c r="D686" s="1" t="s">
        <v>22</v>
      </c>
      <c r="E686" s="1" t="s">
        <v>30</v>
      </c>
      <c r="F686" s="7">
        <v>40480</v>
      </c>
      <c r="G686" s="1" t="s">
        <v>765</v>
      </c>
      <c r="H686" s="7">
        <v>40521</v>
      </c>
      <c r="I686" s="1">
        <f>Europe_Sales_Records[[#This Row],[Ship Date]]-Europe_Sales_Records[[#This Row],[Order Date]]</f>
        <v>41</v>
      </c>
      <c r="J686" s="1">
        <v>3325</v>
      </c>
      <c r="K686" s="1">
        <v>437.2</v>
      </c>
      <c r="L686" s="1">
        <v>263.33</v>
      </c>
      <c r="M686" s="1">
        <f>Europe_Sales_Records[[#This Row],[Unit Price]]-Europe_Sales_Records[[#This Row],[Unit Cost]]</f>
        <v>173.87</v>
      </c>
      <c r="N686" s="1">
        <v>1453690</v>
      </c>
      <c r="O686" s="6">
        <v>875572.25</v>
      </c>
      <c r="P686" s="1">
        <v>578117.75</v>
      </c>
    </row>
    <row r="687" spans="1:16" x14ac:dyDescent="0.3">
      <c r="A687" s="1" t="s">
        <v>14</v>
      </c>
      <c r="B687" s="1" t="s">
        <v>150</v>
      </c>
      <c r="C687" s="1" t="s">
        <v>16</v>
      </c>
      <c r="D687" s="1" t="s">
        <v>17</v>
      </c>
      <c r="E687" s="1" t="s">
        <v>30</v>
      </c>
      <c r="F687" s="7">
        <v>41556</v>
      </c>
      <c r="G687" s="1" t="s">
        <v>766</v>
      </c>
      <c r="H687" s="7">
        <v>41599</v>
      </c>
      <c r="I687" s="1">
        <f>Europe_Sales_Records[[#This Row],[Ship Date]]-Europe_Sales_Records[[#This Row],[Order Date]]</f>
        <v>43</v>
      </c>
      <c r="J687" s="1">
        <v>9107</v>
      </c>
      <c r="K687" s="1">
        <v>47.45</v>
      </c>
      <c r="L687" s="1">
        <v>31.79</v>
      </c>
      <c r="M687" s="1">
        <f>Europe_Sales_Records[[#This Row],[Unit Price]]-Europe_Sales_Records[[#This Row],[Unit Cost]]</f>
        <v>15.660000000000004</v>
      </c>
      <c r="N687" s="1">
        <v>432127.15</v>
      </c>
      <c r="O687" s="6">
        <v>289511.53000000003</v>
      </c>
      <c r="P687" s="1">
        <v>142615.62</v>
      </c>
    </row>
    <row r="688" spans="1:16" x14ac:dyDescent="0.3">
      <c r="A688" s="1" t="s">
        <v>14</v>
      </c>
      <c r="B688" s="1" t="s">
        <v>56</v>
      </c>
      <c r="C688" s="1" t="s">
        <v>29</v>
      </c>
      <c r="D688" s="1" t="s">
        <v>17</v>
      </c>
      <c r="E688" s="1" t="s">
        <v>30</v>
      </c>
      <c r="F688" s="7">
        <v>42024</v>
      </c>
      <c r="G688" s="1" t="s">
        <v>767</v>
      </c>
      <c r="H688" s="7">
        <v>42031</v>
      </c>
      <c r="I688" s="1">
        <f>Europe_Sales_Records[[#This Row],[Ship Date]]-Europe_Sales_Records[[#This Row],[Order Date]]</f>
        <v>7</v>
      </c>
      <c r="J688" s="1">
        <v>567</v>
      </c>
      <c r="K688" s="1">
        <v>651.21</v>
      </c>
      <c r="L688" s="1">
        <v>524.96</v>
      </c>
      <c r="M688" s="1">
        <f>Europe_Sales_Records[[#This Row],[Unit Price]]-Europe_Sales_Records[[#This Row],[Unit Cost]]</f>
        <v>126.25</v>
      </c>
      <c r="N688" s="1">
        <v>369236.07</v>
      </c>
      <c r="O688" s="6">
        <v>297652.32</v>
      </c>
      <c r="P688" s="1">
        <v>71583.75</v>
      </c>
    </row>
    <row r="689" spans="1:16" x14ac:dyDescent="0.3">
      <c r="A689" s="1" t="s">
        <v>14</v>
      </c>
      <c r="B689" s="1" t="s">
        <v>157</v>
      </c>
      <c r="C689" s="1" t="s">
        <v>52</v>
      </c>
      <c r="D689" s="1" t="s">
        <v>17</v>
      </c>
      <c r="E689" s="1" t="s">
        <v>18</v>
      </c>
      <c r="F689" s="7">
        <v>41452</v>
      </c>
      <c r="G689" s="1" t="s">
        <v>768</v>
      </c>
      <c r="H689" s="7">
        <v>41463</v>
      </c>
      <c r="I689" s="1">
        <f>Europe_Sales_Records[[#This Row],[Ship Date]]-Europe_Sales_Records[[#This Row],[Order Date]]</f>
        <v>11</v>
      </c>
      <c r="J689" s="1">
        <v>1539</v>
      </c>
      <c r="K689" s="1">
        <v>255.28</v>
      </c>
      <c r="L689" s="1">
        <v>159.41999999999999</v>
      </c>
      <c r="M689" s="1">
        <f>Europe_Sales_Records[[#This Row],[Unit Price]]-Europe_Sales_Records[[#This Row],[Unit Cost]]</f>
        <v>95.860000000000014</v>
      </c>
      <c r="N689" s="1">
        <v>392875.92</v>
      </c>
      <c r="O689" s="6">
        <v>245347.38</v>
      </c>
      <c r="P689" s="1">
        <v>147528.54</v>
      </c>
    </row>
    <row r="690" spans="1:16" x14ac:dyDescent="0.3">
      <c r="A690" s="1" t="s">
        <v>14</v>
      </c>
      <c r="B690" s="1" t="s">
        <v>28</v>
      </c>
      <c r="C690" s="1" t="s">
        <v>52</v>
      </c>
      <c r="D690" s="1" t="s">
        <v>17</v>
      </c>
      <c r="E690" s="1" t="s">
        <v>18</v>
      </c>
      <c r="F690" s="7">
        <v>40439</v>
      </c>
      <c r="G690" s="1" t="s">
        <v>769</v>
      </c>
      <c r="H690" s="7">
        <v>40447</v>
      </c>
      <c r="I690" s="1">
        <f>Europe_Sales_Records[[#This Row],[Ship Date]]-Europe_Sales_Records[[#This Row],[Order Date]]</f>
        <v>8</v>
      </c>
      <c r="J690" s="1">
        <v>5421</v>
      </c>
      <c r="K690" s="1">
        <v>255.28</v>
      </c>
      <c r="L690" s="1">
        <v>159.41999999999999</v>
      </c>
      <c r="M690" s="1">
        <f>Europe_Sales_Records[[#This Row],[Unit Price]]-Europe_Sales_Records[[#This Row],[Unit Cost]]</f>
        <v>95.860000000000014</v>
      </c>
      <c r="N690" s="1">
        <v>1383872.88</v>
      </c>
      <c r="O690" s="6">
        <v>864215.82</v>
      </c>
      <c r="P690" s="1">
        <v>519657.06</v>
      </c>
    </row>
    <row r="691" spans="1:16" x14ac:dyDescent="0.3">
      <c r="A691" s="1" t="s">
        <v>14</v>
      </c>
      <c r="B691" s="1" t="s">
        <v>176</v>
      </c>
      <c r="C691" s="1" t="s">
        <v>60</v>
      </c>
      <c r="D691" s="1" t="s">
        <v>17</v>
      </c>
      <c r="E691" s="1" t="s">
        <v>23</v>
      </c>
      <c r="F691" s="7">
        <v>40184</v>
      </c>
      <c r="G691" s="1" t="s">
        <v>770</v>
      </c>
      <c r="H691" s="7">
        <v>40212</v>
      </c>
      <c r="I691" s="1">
        <f>Europe_Sales_Records[[#This Row],[Ship Date]]-Europe_Sales_Records[[#This Row],[Order Date]]</f>
        <v>28</v>
      </c>
      <c r="J691" s="1">
        <v>2979</v>
      </c>
      <c r="K691" s="1">
        <v>437.2</v>
      </c>
      <c r="L691" s="1">
        <v>263.33</v>
      </c>
      <c r="M691" s="1">
        <f>Europe_Sales_Records[[#This Row],[Unit Price]]-Europe_Sales_Records[[#This Row],[Unit Cost]]</f>
        <v>173.87</v>
      </c>
      <c r="N691" s="1">
        <v>1302418.8</v>
      </c>
      <c r="O691" s="6">
        <v>784460.07</v>
      </c>
      <c r="P691" s="1">
        <v>517958.73</v>
      </c>
    </row>
    <row r="692" spans="1:16" x14ac:dyDescent="0.3">
      <c r="A692" s="1" t="s">
        <v>14</v>
      </c>
      <c r="B692" s="1" t="s">
        <v>152</v>
      </c>
      <c r="C692" s="1" t="s">
        <v>60</v>
      </c>
      <c r="D692" s="1" t="s">
        <v>22</v>
      </c>
      <c r="E692" s="1" t="s">
        <v>23</v>
      </c>
      <c r="F692" s="7">
        <v>42841</v>
      </c>
      <c r="G692" s="1" t="s">
        <v>771</v>
      </c>
      <c r="H692" s="7">
        <v>42848</v>
      </c>
      <c r="I692" s="1">
        <f>Europe_Sales_Records[[#This Row],[Ship Date]]-Europe_Sales_Records[[#This Row],[Order Date]]</f>
        <v>7</v>
      </c>
      <c r="J692" s="1">
        <v>1234</v>
      </c>
      <c r="K692" s="1">
        <v>437.2</v>
      </c>
      <c r="L692" s="1">
        <v>263.33</v>
      </c>
      <c r="M692" s="1">
        <f>Europe_Sales_Records[[#This Row],[Unit Price]]-Europe_Sales_Records[[#This Row],[Unit Cost]]</f>
        <v>173.87</v>
      </c>
      <c r="N692" s="1">
        <v>539504.80000000005</v>
      </c>
      <c r="O692" s="6">
        <v>324949.21999999997</v>
      </c>
      <c r="P692" s="1">
        <v>214555.58</v>
      </c>
    </row>
    <row r="693" spans="1:16" x14ac:dyDescent="0.3">
      <c r="A693" s="1" t="s">
        <v>14</v>
      </c>
      <c r="B693" s="1" t="s">
        <v>172</v>
      </c>
      <c r="C693" s="1" t="s">
        <v>33</v>
      </c>
      <c r="D693" s="1" t="s">
        <v>17</v>
      </c>
      <c r="E693" s="1" t="s">
        <v>45</v>
      </c>
      <c r="F693" s="7">
        <v>42028</v>
      </c>
      <c r="G693" s="1" t="s">
        <v>772</v>
      </c>
      <c r="H693" s="7">
        <v>42065</v>
      </c>
      <c r="I693" s="1">
        <f>Europe_Sales_Records[[#This Row],[Ship Date]]-Europe_Sales_Records[[#This Row],[Order Date]]</f>
        <v>37</v>
      </c>
      <c r="J693" s="1">
        <v>6813</v>
      </c>
      <c r="K693" s="1">
        <v>9.33</v>
      </c>
      <c r="L693" s="1">
        <v>6.92</v>
      </c>
      <c r="M693" s="1">
        <f>Europe_Sales_Records[[#This Row],[Unit Price]]-Europe_Sales_Records[[#This Row],[Unit Cost]]</f>
        <v>2.41</v>
      </c>
      <c r="N693" s="1">
        <v>63565.29</v>
      </c>
      <c r="O693" s="6">
        <v>47145.96</v>
      </c>
      <c r="P693" s="1">
        <v>16419.330000000002</v>
      </c>
    </row>
    <row r="694" spans="1:16" x14ac:dyDescent="0.3">
      <c r="A694" s="1" t="s">
        <v>14</v>
      </c>
      <c r="B694" s="1" t="s">
        <v>54</v>
      </c>
      <c r="C694" s="1" t="s">
        <v>16</v>
      </c>
      <c r="D694" s="1" t="s">
        <v>17</v>
      </c>
      <c r="E694" s="1" t="s">
        <v>23</v>
      </c>
      <c r="F694" s="7">
        <v>42927</v>
      </c>
      <c r="G694" s="1" t="s">
        <v>773</v>
      </c>
      <c r="H694" s="7">
        <v>42970</v>
      </c>
      <c r="I694" s="1">
        <f>Europe_Sales_Records[[#This Row],[Ship Date]]-Europe_Sales_Records[[#This Row],[Order Date]]</f>
        <v>43</v>
      </c>
      <c r="J694" s="1">
        <v>7939</v>
      </c>
      <c r="K694" s="1">
        <v>47.45</v>
      </c>
      <c r="L694" s="1">
        <v>31.79</v>
      </c>
      <c r="M694" s="1">
        <f>Europe_Sales_Records[[#This Row],[Unit Price]]-Europe_Sales_Records[[#This Row],[Unit Cost]]</f>
        <v>15.660000000000004</v>
      </c>
      <c r="N694" s="1">
        <v>376705.55</v>
      </c>
      <c r="O694" s="6">
        <v>252380.81</v>
      </c>
      <c r="P694" s="1">
        <v>124324.74</v>
      </c>
    </row>
    <row r="695" spans="1:16" x14ac:dyDescent="0.3">
      <c r="A695" s="1" t="s">
        <v>14</v>
      </c>
      <c r="B695" s="1" t="s">
        <v>25</v>
      </c>
      <c r="C695" s="1" t="s">
        <v>57</v>
      </c>
      <c r="D695" s="1" t="s">
        <v>22</v>
      </c>
      <c r="E695" s="1" t="s">
        <v>18</v>
      </c>
      <c r="F695" s="7">
        <v>42267</v>
      </c>
      <c r="G695" s="1" t="s">
        <v>774</v>
      </c>
      <c r="H695" s="7">
        <v>42295</v>
      </c>
      <c r="I695" s="1">
        <f>Europe_Sales_Records[[#This Row],[Ship Date]]-Europe_Sales_Records[[#This Row],[Order Date]]</f>
        <v>28</v>
      </c>
      <c r="J695" s="1">
        <v>1767</v>
      </c>
      <c r="K695" s="1">
        <v>668.27</v>
      </c>
      <c r="L695" s="1">
        <v>502.54</v>
      </c>
      <c r="M695" s="1">
        <f>Europe_Sales_Records[[#This Row],[Unit Price]]-Europe_Sales_Records[[#This Row],[Unit Cost]]</f>
        <v>165.72999999999996</v>
      </c>
      <c r="N695" s="1">
        <v>1180833.0900000001</v>
      </c>
      <c r="O695" s="6">
        <v>887988.18</v>
      </c>
      <c r="P695" s="1">
        <v>292844.90999999997</v>
      </c>
    </row>
    <row r="696" spans="1:16" x14ac:dyDescent="0.3">
      <c r="A696" s="1" t="s">
        <v>14</v>
      </c>
      <c r="B696" s="1" t="s">
        <v>28</v>
      </c>
      <c r="C696" s="1" t="s">
        <v>39</v>
      </c>
      <c r="D696" s="1" t="s">
        <v>17</v>
      </c>
      <c r="E696" s="1" t="s">
        <v>18</v>
      </c>
      <c r="F696" s="7">
        <v>41801</v>
      </c>
      <c r="G696" s="1" t="s">
        <v>775</v>
      </c>
      <c r="H696" s="7">
        <v>41822</v>
      </c>
      <c r="I696" s="1">
        <f>Europe_Sales_Records[[#This Row],[Ship Date]]-Europe_Sales_Records[[#This Row],[Order Date]]</f>
        <v>21</v>
      </c>
      <c r="J696" s="1">
        <v>7459</v>
      </c>
      <c r="K696" s="1">
        <v>154.06</v>
      </c>
      <c r="L696" s="1">
        <v>90.93</v>
      </c>
      <c r="M696" s="1">
        <f>Europe_Sales_Records[[#This Row],[Unit Price]]-Europe_Sales_Records[[#This Row],[Unit Cost]]</f>
        <v>63.129999999999995</v>
      </c>
      <c r="N696" s="1">
        <v>1149133.54</v>
      </c>
      <c r="O696" s="6">
        <v>678246.87</v>
      </c>
      <c r="P696" s="1">
        <v>470886.67</v>
      </c>
    </row>
    <row r="697" spans="1:16" x14ac:dyDescent="0.3">
      <c r="A697" s="1" t="s">
        <v>14</v>
      </c>
      <c r="B697" s="1" t="s">
        <v>81</v>
      </c>
      <c r="C697" s="1" t="s">
        <v>57</v>
      </c>
      <c r="D697" s="1" t="s">
        <v>22</v>
      </c>
      <c r="E697" s="1" t="s">
        <v>30</v>
      </c>
      <c r="F697" s="7">
        <v>41353</v>
      </c>
      <c r="G697" s="1" t="s">
        <v>776</v>
      </c>
      <c r="H697" s="7">
        <v>41375</v>
      </c>
      <c r="I697" s="1">
        <f>Europe_Sales_Records[[#This Row],[Ship Date]]-Europe_Sales_Records[[#This Row],[Order Date]]</f>
        <v>22</v>
      </c>
      <c r="J697" s="1">
        <v>7302</v>
      </c>
      <c r="K697" s="1">
        <v>668.27</v>
      </c>
      <c r="L697" s="1">
        <v>502.54</v>
      </c>
      <c r="M697" s="1">
        <f>Europe_Sales_Records[[#This Row],[Unit Price]]-Europe_Sales_Records[[#This Row],[Unit Cost]]</f>
        <v>165.72999999999996</v>
      </c>
      <c r="N697" s="1">
        <v>4879707.54</v>
      </c>
      <c r="O697" s="6">
        <v>3669547.08</v>
      </c>
      <c r="P697" s="1">
        <v>1210160.46</v>
      </c>
    </row>
    <row r="698" spans="1:16" x14ac:dyDescent="0.3">
      <c r="A698" s="1" t="s">
        <v>14</v>
      </c>
      <c r="B698" s="1" t="s">
        <v>180</v>
      </c>
      <c r="C698" s="1" t="s">
        <v>79</v>
      </c>
      <c r="D698" s="1" t="s">
        <v>17</v>
      </c>
      <c r="E698" s="1" t="s">
        <v>23</v>
      </c>
      <c r="F698" s="7">
        <v>41321</v>
      </c>
      <c r="G698" s="1" t="s">
        <v>777</v>
      </c>
      <c r="H698" s="7">
        <v>41360</v>
      </c>
      <c r="I698" s="1">
        <f>Europe_Sales_Records[[#This Row],[Ship Date]]-Europe_Sales_Records[[#This Row],[Order Date]]</f>
        <v>39</v>
      </c>
      <c r="J698" s="1">
        <v>3112</v>
      </c>
      <c r="K698" s="1">
        <v>81.73</v>
      </c>
      <c r="L698" s="1">
        <v>56.67</v>
      </c>
      <c r="M698" s="1">
        <f>Europe_Sales_Records[[#This Row],[Unit Price]]-Europe_Sales_Records[[#This Row],[Unit Cost]]</f>
        <v>25.060000000000002</v>
      </c>
      <c r="N698" s="1">
        <v>254343.76</v>
      </c>
      <c r="O698" s="6">
        <v>176357.04</v>
      </c>
      <c r="P698" s="1">
        <v>77986.720000000001</v>
      </c>
    </row>
    <row r="699" spans="1:16" x14ac:dyDescent="0.3">
      <c r="A699" s="1" t="s">
        <v>14</v>
      </c>
      <c r="B699" s="1" t="s">
        <v>150</v>
      </c>
      <c r="C699" s="1" t="s">
        <v>57</v>
      </c>
      <c r="D699" s="1" t="s">
        <v>22</v>
      </c>
      <c r="E699" s="1" t="s">
        <v>18</v>
      </c>
      <c r="F699" s="7">
        <v>40450</v>
      </c>
      <c r="G699" s="1" t="s">
        <v>778</v>
      </c>
      <c r="H699" s="7">
        <v>40480</v>
      </c>
      <c r="I699" s="1">
        <f>Europe_Sales_Records[[#This Row],[Ship Date]]-Europe_Sales_Records[[#This Row],[Order Date]]</f>
        <v>30</v>
      </c>
      <c r="J699" s="1">
        <v>8439</v>
      </c>
      <c r="K699" s="1">
        <v>668.27</v>
      </c>
      <c r="L699" s="1">
        <v>502.54</v>
      </c>
      <c r="M699" s="1">
        <f>Europe_Sales_Records[[#This Row],[Unit Price]]-Europe_Sales_Records[[#This Row],[Unit Cost]]</f>
        <v>165.72999999999996</v>
      </c>
      <c r="N699" s="1">
        <v>5639530.5300000003</v>
      </c>
      <c r="O699" s="6">
        <v>4240935.0599999996</v>
      </c>
      <c r="P699" s="1">
        <v>1398595.47</v>
      </c>
    </row>
    <row r="700" spans="1:16" x14ac:dyDescent="0.3">
      <c r="A700" s="1" t="s">
        <v>14</v>
      </c>
      <c r="B700" s="1" t="s">
        <v>56</v>
      </c>
      <c r="C700" s="1" t="s">
        <v>48</v>
      </c>
      <c r="D700" s="1" t="s">
        <v>22</v>
      </c>
      <c r="E700" s="1" t="s">
        <v>23</v>
      </c>
      <c r="F700" s="7">
        <v>42631</v>
      </c>
      <c r="G700" s="1" t="s">
        <v>779</v>
      </c>
      <c r="H700" s="7">
        <v>42643</v>
      </c>
      <c r="I700" s="1">
        <f>Europe_Sales_Records[[#This Row],[Ship Date]]-Europe_Sales_Records[[#This Row],[Order Date]]</f>
        <v>12</v>
      </c>
      <c r="J700" s="1">
        <v>4021</v>
      </c>
      <c r="K700" s="1">
        <v>152.58000000000001</v>
      </c>
      <c r="L700" s="1">
        <v>97.44</v>
      </c>
      <c r="M700" s="1">
        <f>Europe_Sales_Records[[#This Row],[Unit Price]]-Europe_Sales_Records[[#This Row],[Unit Cost]]</f>
        <v>55.140000000000015</v>
      </c>
      <c r="N700" s="1">
        <v>613524.18000000005</v>
      </c>
      <c r="O700" s="6">
        <v>391806.24</v>
      </c>
      <c r="P700" s="1">
        <v>221717.94</v>
      </c>
    </row>
    <row r="701" spans="1:16" x14ac:dyDescent="0.3">
      <c r="A701" s="1" t="s">
        <v>14</v>
      </c>
      <c r="B701" s="1" t="s">
        <v>67</v>
      </c>
      <c r="C701" s="1" t="s">
        <v>16</v>
      </c>
      <c r="D701" s="1" t="s">
        <v>17</v>
      </c>
      <c r="E701" s="1" t="s">
        <v>30</v>
      </c>
      <c r="F701" s="7">
        <v>42379</v>
      </c>
      <c r="G701" s="1" t="s">
        <v>780</v>
      </c>
      <c r="H701" s="7">
        <v>42382</v>
      </c>
      <c r="I701" s="1">
        <f>Europe_Sales_Records[[#This Row],[Ship Date]]-Europe_Sales_Records[[#This Row],[Order Date]]</f>
        <v>3</v>
      </c>
      <c r="J701" s="1">
        <v>1603</v>
      </c>
      <c r="K701" s="1">
        <v>47.45</v>
      </c>
      <c r="L701" s="1">
        <v>31.79</v>
      </c>
      <c r="M701" s="1">
        <f>Europe_Sales_Records[[#This Row],[Unit Price]]-Europe_Sales_Records[[#This Row],[Unit Cost]]</f>
        <v>15.660000000000004</v>
      </c>
      <c r="N701" s="1">
        <v>76062.350000000006</v>
      </c>
      <c r="O701" s="6">
        <v>50959.37</v>
      </c>
      <c r="P701" s="1">
        <v>25102.98</v>
      </c>
    </row>
    <row r="702" spans="1:16" x14ac:dyDescent="0.3">
      <c r="A702" s="1" t="s">
        <v>14</v>
      </c>
      <c r="B702" s="1" t="s">
        <v>116</v>
      </c>
      <c r="C702" s="1" t="s">
        <v>21</v>
      </c>
      <c r="D702" s="1" t="s">
        <v>17</v>
      </c>
      <c r="E702" s="1" t="s">
        <v>23</v>
      </c>
      <c r="F702" s="7">
        <v>41655</v>
      </c>
      <c r="G702" s="1" t="s">
        <v>781</v>
      </c>
      <c r="H702" s="7">
        <v>41667</v>
      </c>
      <c r="I702" s="1">
        <f>Europe_Sales_Records[[#This Row],[Ship Date]]-Europe_Sales_Records[[#This Row],[Order Date]]</f>
        <v>12</v>
      </c>
      <c r="J702" s="1">
        <v>3267</v>
      </c>
      <c r="K702" s="1">
        <v>109.28</v>
      </c>
      <c r="L702" s="1">
        <v>35.840000000000003</v>
      </c>
      <c r="M702" s="1">
        <f>Europe_Sales_Records[[#This Row],[Unit Price]]-Europe_Sales_Records[[#This Row],[Unit Cost]]</f>
        <v>73.44</v>
      </c>
      <c r="N702" s="1">
        <v>357017.76</v>
      </c>
      <c r="O702" s="6">
        <v>117089.28</v>
      </c>
      <c r="P702" s="1">
        <v>239928.48</v>
      </c>
    </row>
    <row r="703" spans="1:16" x14ac:dyDescent="0.3">
      <c r="A703" s="1" t="s">
        <v>14</v>
      </c>
      <c r="B703" s="1" t="s">
        <v>176</v>
      </c>
      <c r="C703" s="1" t="s">
        <v>21</v>
      </c>
      <c r="D703" s="1" t="s">
        <v>17</v>
      </c>
      <c r="E703" s="1" t="s">
        <v>18</v>
      </c>
      <c r="F703" s="7">
        <v>42731</v>
      </c>
      <c r="G703" s="1" t="s">
        <v>782</v>
      </c>
      <c r="H703" s="7">
        <v>42763</v>
      </c>
      <c r="I703" s="1">
        <f>Europe_Sales_Records[[#This Row],[Ship Date]]-Europe_Sales_Records[[#This Row],[Order Date]]</f>
        <v>32</v>
      </c>
      <c r="J703" s="1">
        <v>6266</v>
      </c>
      <c r="K703" s="1">
        <v>109.28</v>
      </c>
      <c r="L703" s="1">
        <v>35.840000000000003</v>
      </c>
      <c r="M703" s="1">
        <f>Europe_Sales_Records[[#This Row],[Unit Price]]-Europe_Sales_Records[[#This Row],[Unit Cost]]</f>
        <v>73.44</v>
      </c>
      <c r="N703" s="1">
        <v>684748.48</v>
      </c>
      <c r="O703" s="6">
        <v>224573.44</v>
      </c>
      <c r="P703" s="1">
        <v>460175.04</v>
      </c>
    </row>
    <row r="704" spans="1:16" x14ac:dyDescent="0.3">
      <c r="A704" s="1" t="s">
        <v>14</v>
      </c>
      <c r="B704" s="1" t="s">
        <v>65</v>
      </c>
      <c r="C704" s="1" t="s">
        <v>42</v>
      </c>
      <c r="D704" s="1" t="s">
        <v>17</v>
      </c>
      <c r="E704" s="1" t="s">
        <v>45</v>
      </c>
      <c r="F704" s="7">
        <v>40282</v>
      </c>
      <c r="G704" s="1" t="s">
        <v>783</v>
      </c>
      <c r="H704" s="7">
        <v>40293</v>
      </c>
      <c r="I704" s="1">
        <f>Europe_Sales_Records[[#This Row],[Ship Date]]-Europe_Sales_Records[[#This Row],[Order Date]]</f>
        <v>11</v>
      </c>
      <c r="J704" s="1">
        <v>4852</v>
      </c>
      <c r="K704" s="1">
        <v>421.89</v>
      </c>
      <c r="L704" s="1">
        <v>364.69</v>
      </c>
      <c r="M704" s="1">
        <f>Europe_Sales_Records[[#This Row],[Unit Price]]-Europe_Sales_Records[[#This Row],[Unit Cost]]</f>
        <v>57.199999999999989</v>
      </c>
      <c r="N704" s="1">
        <v>2047010.28</v>
      </c>
      <c r="O704" s="6">
        <v>1769475.88</v>
      </c>
      <c r="P704" s="1">
        <v>277534.40000000002</v>
      </c>
    </row>
    <row r="705" spans="1:16" x14ac:dyDescent="0.3">
      <c r="A705" s="1" t="s">
        <v>14</v>
      </c>
      <c r="B705" s="1" t="s">
        <v>69</v>
      </c>
      <c r="C705" s="1" t="s">
        <v>39</v>
      </c>
      <c r="D705" s="1" t="s">
        <v>17</v>
      </c>
      <c r="E705" s="1" t="s">
        <v>45</v>
      </c>
      <c r="F705" s="7">
        <v>40556</v>
      </c>
      <c r="G705" s="1" t="s">
        <v>784</v>
      </c>
      <c r="H705" s="7">
        <v>40565</v>
      </c>
      <c r="I705" s="1">
        <f>Europe_Sales_Records[[#This Row],[Ship Date]]-Europe_Sales_Records[[#This Row],[Order Date]]</f>
        <v>9</v>
      </c>
      <c r="J705" s="1">
        <v>5090</v>
      </c>
      <c r="K705" s="1">
        <v>154.06</v>
      </c>
      <c r="L705" s="1">
        <v>90.93</v>
      </c>
      <c r="M705" s="1">
        <f>Europe_Sales_Records[[#This Row],[Unit Price]]-Europe_Sales_Records[[#This Row],[Unit Cost]]</f>
        <v>63.129999999999995</v>
      </c>
      <c r="N705" s="1">
        <v>784165.4</v>
      </c>
      <c r="O705" s="6">
        <v>462833.7</v>
      </c>
      <c r="P705" s="1">
        <v>321331.7</v>
      </c>
    </row>
    <row r="706" spans="1:16" x14ac:dyDescent="0.3">
      <c r="A706" s="1" t="s">
        <v>14</v>
      </c>
      <c r="B706" s="1" t="s">
        <v>91</v>
      </c>
      <c r="C706" s="1" t="s">
        <v>48</v>
      </c>
      <c r="D706" s="1" t="s">
        <v>17</v>
      </c>
      <c r="E706" s="1" t="s">
        <v>23</v>
      </c>
      <c r="F706" s="7">
        <v>40604</v>
      </c>
      <c r="G706" s="1" t="s">
        <v>785</v>
      </c>
      <c r="H706" s="7">
        <v>40648</v>
      </c>
      <c r="I706" s="1">
        <f>Europe_Sales_Records[[#This Row],[Ship Date]]-Europe_Sales_Records[[#This Row],[Order Date]]</f>
        <v>44</v>
      </c>
      <c r="J706" s="1">
        <v>3979</v>
      </c>
      <c r="K706" s="1">
        <v>152.58000000000001</v>
      </c>
      <c r="L706" s="1">
        <v>97.44</v>
      </c>
      <c r="M706" s="1">
        <f>Europe_Sales_Records[[#This Row],[Unit Price]]-Europe_Sales_Records[[#This Row],[Unit Cost]]</f>
        <v>55.140000000000015</v>
      </c>
      <c r="N706" s="1">
        <v>607115.81999999995</v>
      </c>
      <c r="O706" s="6">
        <v>387713.76</v>
      </c>
      <c r="P706" s="1">
        <v>219402.06</v>
      </c>
    </row>
    <row r="707" spans="1:16" x14ac:dyDescent="0.3">
      <c r="A707" s="1" t="s">
        <v>14</v>
      </c>
      <c r="B707" s="1" t="s">
        <v>25</v>
      </c>
      <c r="C707" s="1" t="s">
        <v>48</v>
      </c>
      <c r="D707" s="1" t="s">
        <v>22</v>
      </c>
      <c r="E707" s="1" t="s">
        <v>23</v>
      </c>
      <c r="F707" s="7">
        <v>40926</v>
      </c>
      <c r="G707" s="1" t="s">
        <v>786</v>
      </c>
      <c r="H707" s="7">
        <v>40960</v>
      </c>
      <c r="I707" s="1">
        <f>Europe_Sales_Records[[#This Row],[Ship Date]]-Europe_Sales_Records[[#This Row],[Order Date]]</f>
        <v>34</v>
      </c>
      <c r="J707" s="1">
        <v>1105</v>
      </c>
      <c r="K707" s="1">
        <v>152.58000000000001</v>
      </c>
      <c r="L707" s="1">
        <v>97.44</v>
      </c>
      <c r="M707" s="1">
        <f>Europe_Sales_Records[[#This Row],[Unit Price]]-Europe_Sales_Records[[#This Row],[Unit Cost]]</f>
        <v>55.140000000000015</v>
      </c>
      <c r="N707" s="1">
        <v>168600.9</v>
      </c>
      <c r="O707" s="6">
        <v>107671.2</v>
      </c>
      <c r="P707" s="1">
        <v>60929.7</v>
      </c>
    </row>
    <row r="708" spans="1:16" x14ac:dyDescent="0.3">
      <c r="A708" s="1" t="s">
        <v>14</v>
      </c>
      <c r="B708" s="1" t="s">
        <v>103</v>
      </c>
      <c r="C708" s="1" t="s">
        <v>60</v>
      </c>
      <c r="D708" s="1" t="s">
        <v>17</v>
      </c>
      <c r="E708" s="1" t="s">
        <v>30</v>
      </c>
      <c r="F708" s="7">
        <v>42245</v>
      </c>
      <c r="G708" s="1" t="s">
        <v>787</v>
      </c>
      <c r="H708" s="7">
        <v>42292</v>
      </c>
      <c r="I708" s="1">
        <f>Europe_Sales_Records[[#This Row],[Ship Date]]-Europe_Sales_Records[[#This Row],[Order Date]]</f>
        <v>47</v>
      </c>
      <c r="J708" s="1">
        <v>1224</v>
      </c>
      <c r="K708" s="1">
        <v>437.2</v>
      </c>
      <c r="L708" s="1">
        <v>263.33</v>
      </c>
      <c r="M708" s="1">
        <f>Europe_Sales_Records[[#This Row],[Unit Price]]-Europe_Sales_Records[[#This Row],[Unit Cost]]</f>
        <v>173.87</v>
      </c>
      <c r="N708" s="1">
        <v>535132.80000000005</v>
      </c>
      <c r="O708" s="6">
        <v>322315.92</v>
      </c>
      <c r="P708" s="1">
        <v>212816.88</v>
      </c>
    </row>
    <row r="709" spans="1:16" x14ac:dyDescent="0.3">
      <c r="A709" s="1" t="s">
        <v>14</v>
      </c>
      <c r="B709" s="1" t="s">
        <v>232</v>
      </c>
      <c r="C709" s="1" t="s">
        <v>33</v>
      </c>
      <c r="D709" s="1" t="s">
        <v>22</v>
      </c>
      <c r="E709" s="1" t="s">
        <v>23</v>
      </c>
      <c r="F709" s="7">
        <v>42706</v>
      </c>
      <c r="G709" s="1" t="s">
        <v>788</v>
      </c>
      <c r="H709" s="7">
        <v>42747</v>
      </c>
      <c r="I709" s="1">
        <f>Europe_Sales_Records[[#This Row],[Ship Date]]-Europe_Sales_Records[[#This Row],[Order Date]]</f>
        <v>41</v>
      </c>
      <c r="J709" s="1">
        <v>1775</v>
      </c>
      <c r="K709" s="1">
        <v>9.33</v>
      </c>
      <c r="L709" s="1">
        <v>6.92</v>
      </c>
      <c r="M709" s="1">
        <f>Europe_Sales_Records[[#This Row],[Unit Price]]-Europe_Sales_Records[[#This Row],[Unit Cost]]</f>
        <v>2.41</v>
      </c>
      <c r="N709" s="1">
        <v>16560.75</v>
      </c>
      <c r="O709" s="6">
        <v>12283</v>
      </c>
      <c r="P709" s="1">
        <v>4277.75</v>
      </c>
    </row>
    <row r="710" spans="1:16" x14ac:dyDescent="0.3">
      <c r="A710" s="1" t="s">
        <v>14</v>
      </c>
      <c r="B710" s="1" t="s">
        <v>152</v>
      </c>
      <c r="C710" s="1" t="s">
        <v>42</v>
      </c>
      <c r="D710" s="1" t="s">
        <v>22</v>
      </c>
      <c r="E710" s="1" t="s">
        <v>45</v>
      </c>
      <c r="F710" s="7">
        <v>40674</v>
      </c>
      <c r="G710" s="1" t="s">
        <v>789</v>
      </c>
      <c r="H710" s="7">
        <v>40681</v>
      </c>
      <c r="I710" s="1">
        <f>Europe_Sales_Records[[#This Row],[Ship Date]]-Europe_Sales_Records[[#This Row],[Order Date]]</f>
        <v>7</v>
      </c>
      <c r="J710" s="1">
        <v>4977</v>
      </c>
      <c r="K710" s="1">
        <v>421.89</v>
      </c>
      <c r="L710" s="1">
        <v>364.69</v>
      </c>
      <c r="M710" s="1">
        <f>Europe_Sales_Records[[#This Row],[Unit Price]]-Europe_Sales_Records[[#This Row],[Unit Cost]]</f>
        <v>57.199999999999989</v>
      </c>
      <c r="N710" s="1">
        <v>2099746.5299999998</v>
      </c>
      <c r="O710" s="6">
        <v>1815062.13</v>
      </c>
      <c r="P710" s="1">
        <v>284684.40000000002</v>
      </c>
    </row>
    <row r="711" spans="1:16" x14ac:dyDescent="0.3">
      <c r="A711" s="1" t="s">
        <v>14</v>
      </c>
      <c r="B711" s="1" t="s">
        <v>99</v>
      </c>
      <c r="C711" s="1" t="s">
        <v>16</v>
      </c>
      <c r="D711" s="1" t="s">
        <v>22</v>
      </c>
      <c r="E711" s="1" t="s">
        <v>30</v>
      </c>
      <c r="F711" s="7">
        <v>41385</v>
      </c>
      <c r="G711" s="1" t="s">
        <v>790</v>
      </c>
      <c r="H711" s="7">
        <v>41407</v>
      </c>
      <c r="I711" s="1">
        <f>Europe_Sales_Records[[#This Row],[Ship Date]]-Europe_Sales_Records[[#This Row],[Order Date]]</f>
        <v>22</v>
      </c>
      <c r="J711" s="1">
        <v>4284</v>
      </c>
      <c r="K711" s="1">
        <v>47.45</v>
      </c>
      <c r="L711" s="1">
        <v>31.79</v>
      </c>
      <c r="M711" s="1">
        <f>Europe_Sales_Records[[#This Row],[Unit Price]]-Europe_Sales_Records[[#This Row],[Unit Cost]]</f>
        <v>15.660000000000004</v>
      </c>
      <c r="N711" s="1">
        <v>203275.8</v>
      </c>
      <c r="O711" s="6">
        <v>136188.35999999999</v>
      </c>
      <c r="P711" s="1">
        <v>67087.44</v>
      </c>
    </row>
    <row r="712" spans="1:16" x14ac:dyDescent="0.3">
      <c r="A712" s="1" t="s">
        <v>14</v>
      </c>
      <c r="B712" s="1" t="s">
        <v>59</v>
      </c>
      <c r="C712" s="1" t="s">
        <v>42</v>
      </c>
      <c r="D712" s="1" t="s">
        <v>17</v>
      </c>
      <c r="E712" s="1" t="s">
        <v>23</v>
      </c>
      <c r="F712" s="7">
        <v>41808</v>
      </c>
      <c r="G712" s="1" t="s">
        <v>791</v>
      </c>
      <c r="H712" s="7">
        <v>41822</v>
      </c>
      <c r="I712" s="1">
        <f>Europe_Sales_Records[[#This Row],[Ship Date]]-Europe_Sales_Records[[#This Row],[Order Date]]</f>
        <v>14</v>
      </c>
      <c r="J712" s="1">
        <v>9377</v>
      </c>
      <c r="K712" s="1">
        <v>421.89</v>
      </c>
      <c r="L712" s="1">
        <v>364.69</v>
      </c>
      <c r="M712" s="1">
        <f>Europe_Sales_Records[[#This Row],[Unit Price]]-Europe_Sales_Records[[#This Row],[Unit Cost]]</f>
        <v>57.199999999999989</v>
      </c>
      <c r="N712" s="1">
        <v>3956062.53</v>
      </c>
      <c r="O712" s="6">
        <v>3419698.13</v>
      </c>
      <c r="P712" s="1">
        <v>536364.4</v>
      </c>
    </row>
    <row r="713" spans="1:16" x14ac:dyDescent="0.3">
      <c r="A713" s="1" t="s">
        <v>14</v>
      </c>
      <c r="B713" s="1" t="s">
        <v>116</v>
      </c>
      <c r="C713" s="1" t="s">
        <v>79</v>
      </c>
      <c r="D713" s="1" t="s">
        <v>22</v>
      </c>
      <c r="E713" s="1" t="s">
        <v>45</v>
      </c>
      <c r="F713" s="7">
        <v>40617</v>
      </c>
      <c r="G713" s="1" t="s">
        <v>792</v>
      </c>
      <c r="H713" s="7">
        <v>40631</v>
      </c>
      <c r="I713" s="1">
        <f>Europe_Sales_Records[[#This Row],[Ship Date]]-Europe_Sales_Records[[#This Row],[Order Date]]</f>
        <v>14</v>
      </c>
      <c r="J713" s="1">
        <v>8729</v>
      </c>
      <c r="K713" s="1">
        <v>81.73</v>
      </c>
      <c r="L713" s="1">
        <v>56.67</v>
      </c>
      <c r="M713" s="1">
        <f>Europe_Sales_Records[[#This Row],[Unit Price]]-Europe_Sales_Records[[#This Row],[Unit Cost]]</f>
        <v>25.060000000000002</v>
      </c>
      <c r="N713" s="1">
        <v>713421.17</v>
      </c>
      <c r="O713" s="6">
        <v>494672.43</v>
      </c>
      <c r="P713" s="1">
        <v>218748.74</v>
      </c>
    </row>
    <row r="714" spans="1:16" x14ac:dyDescent="0.3">
      <c r="A714" s="1" t="s">
        <v>14</v>
      </c>
      <c r="B714" s="1" t="s">
        <v>77</v>
      </c>
      <c r="C714" s="1" t="s">
        <v>29</v>
      </c>
      <c r="D714" s="1" t="s">
        <v>17</v>
      </c>
      <c r="E714" s="1" t="s">
        <v>45</v>
      </c>
      <c r="F714" s="7">
        <v>41977</v>
      </c>
      <c r="G714" s="1" t="s">
        <v>793</v>
      </c>
      <c r="H714" s="7">
        <v>42011</v>
      </c>
      <c r="I714" s="1">
        <f>Europe_Sales_Records[[#This Row],[Ship Date]]-Europe_Sales_Records[[#This Row],[Order Date]]</f>
        <v>34</v>
      </c>
      <c r="J714" s="1">
        <v>2258</v>
      </c>
      <c r="K714" s="1">
        <v>651.21</v>
      </c>
      <c r="L714" s="1">
        <v>524.96</v>
      </c>
      <c r="M714" s="1">
        <f>Europe_Sales_Records[[#This Row],[Unit Price]]-Europe_Sales_Records[[#This Row],[Unit Cost]]</f>
        <v>126.25</v>
      </c>
      <c r="N714" s="1">
        <v>1470432.18</v>
      </c>
      <c r="O714" s="6">
        <v>1185359.68</v>
      </c>
      <c r="P714" s="1">
        <v>285072.5</v>
      </c>
    </row>
    <row r="715" spans="1:16" x14ac:dyDescent="0.3">
      <c r="A715" s="1" t="s">
        <v>14</v>
      </c>
      <c r="B715" s="1" t="s">
        <v>47</v>
      </c>
      <c r="C715" s="1" t="s">
        <v>26</v>
      </c>
      <c r="D715" s="1" t="s">
        <v>17</v>
      </c>
      <c r="E715" s="1" t="s">
        <v>45</v>
      </c>
      <c r="F715" s="7">
        <v>41965</v>
      </c>
      <c r="G715" s="1" t="s">
        <v>794</v>
      </c>
      <c r="H715" s="7">
        <v>41988</v>
      </c>
      <c r="I715" s="1">
        <f>Europe_Sales_Records[[#This Row],[Ship Date]]-Europe_Sales_Records[[#This Row],[Order Date]]</f>
        <v>23</v>
      </c>
      <c r="J715" s="1">
        <v>6728</v>
      </c>
      <c r="K715" s="1">
        <v>205.7</v>
      </c>
      <c r="L715" s="1">
        <v>117.11</v>
      </c>
      <c r="M715" s="1">
        <f>Europe_Sales_Records[[#This Row],[Unit Price]]-Europe_Sales_Records[[#This Row],[Unit Cost]]</f>
        <v>88.589999999999989</v>
      </c>
      <c r="N715" s="1">
        <v>1383949.6</v>
      </c>
      <c r="O715" s="6">
        <v>787916.08</v>
      </c>
      <c r="P715" s="1">
        <v>596033.52</v>
      </c>
    </row>
    <row r="716" spans="1:16" x14ac:dyDescent="0.3">
      <c r="A716" s="1" t="s">
        <v>14</v>
      </c>
      <c r="B716" s="1" t="s">
        <v>71</v>
      </c>
      <c r="C716" s="1" t="s">
        <v>33</v>
      </c>
      <c r="D716" s="1" t="s">
        <v>17</v>
      </c>
      <c r="E716" s="1" t="s">
        <v>18</v>
      </c>
      <c r="F716" s="7">
        <v>41089</v>
      </c>
      <c r="G716" s="1" t="s">
        <v>795</v>
      </c>
      <c r="H716" s="7">
        <v>41135</v>
      </c>
      <c r="I716" s="1">
        <f>Europe_Sales_Records[[#This Row],[Ship Date]]-Europe_Sales_Records[[#This Row],[Order Date]]</f>
        <v>46</v>
      </c>
      <c r="J716" s="1">
        <v>3008</v>
      </c>
      <c r="K716" s="1">
        <v>9.33</v>
      </c>
      <c r="L716" s="1">
        <v>6.92</v>
      </c>
      <c r="M716" s="1">
        <f>Europe_Sales_Records[[#This Row],[Unit Price]]-Europe_Sales_Records[[#This Row],[Unit Cost]]</f>
        <v>2.41</v>
      </c>
      <c r="N716" s="1">
        <v>28064.639999999999</v>
      </c>
      <c r="O716" s="6">
        <v>20815.36</v>
      </c>
      <c r="P716" s="1">
        <v>7249.28</v>
      </c>
    </row>
    <row r="717" spans="1:16" x14ac:dyDescent="0.3">
      <c r="A717" s="1" t="s">
        <v>14</v>
      </c>
      <c r="B717" s="1" t="s">
        <v>47</v>
      </c>
      <c r="C717" s="1" t="s">
        <v>57</v>
      </c>
      <c r="D717" s="1" t="s">
        <v>17</v>
      </c>
      <c r="E717" s="1" t="s">
        <v>18</v>
      </c>
      <c r="F717" s="7">
        <v>42102</v>
      </c>
      <c r="G717" s="1" t="s">
        <v>796</v>
      </c>
      <c r="H717" s="7">
        <v>42125</v>
      </c>
      <c r="I717" s="1">
        <f>Europe_Sales_Records[[#This Row],[Ship Date]]-Europe_Sales_Records[[#This Row],[Order Date]]</f>
        <v>23</v>
      </c>
      <c r="J717" s="1">
        <v>206</v>
      </c>
      <c r="K717" s="1">
        <v>668.27</v>
      </c>
      <c r="L717" s="1">
        <v>502.54</v>
      </c>
      <c r="M717" s="1">
        <f>Europe_Sales_Records[[#This Row],[Unit Price]]-Europe_Sales_Records[[#This Row],[Unit Cost]]</f>
        <v>165.72999999999996</v>
      </c>
      <c r="N717" s="1">
        <v>137663.62</v>
      </c>
      <c r="O717" s="6">
        <v>103523.24</v>
      </c>
      <c r="P717" s="1">
        <v>34140.379999999997</v>
      </c>
    </row>
    <row r="718" spans="1:16" x14ac:dyDescent="0.3">
      <c r="A718" s="1" t="s">
        <v>14</v>
      </c>
      <c r="B718" s="1" t="s">
        <v>176</v>
      </c>
      <c r="C718" s="1" t="s">
        <v>21</v>
      </c>
      <c r="D718" s="1" t="s">
        <v>17</v>
      </c>
      <c r="E718" s="1" t="s">
        <v>30</v>
      </c>
      <c r="F718" s="7">
        <v>41996</v>
      </c>
      <c r="G718" s="1" t="s">
        <v>797</v>
      </c>
      <c r="H718" s="7">
        <v>41997</v>
      </c>
      <c r="I718" s="1">
        <f>Europe_Sales_Records[[#This Row],[Ship Date]]-Europe_Sales_Records[[#This Row],[Order Date]]</f>
        <v>1</v>
      </c>
      <c r="J718" s="1">
        <v>7128</v>
      </c>
      <c r="K718" s="1">
        <v>109.28</v>
      </c>
      <c r="L718" s="1">
        <v>35.840000000000003</v>
      </c>
      <c r="M718" s="1">
        <f>Europe_Sales_Records[[#This Row],[Unit Price]]-Europe_Sales_Records[[#This Row],[Unit Cost]]</f>
        <v>73.44</v>
      </c>
      <c r="N718" s="1">
        <v>778947.84</v>
      </c>
      <c r="O718" s="6">
        <v>255467.51999999999</v>
      </c>
      <c r="P718" s="1">
        <v>523480.32000000001</v>
      </c>
    </row>
    <row r="719" spans="1:16" x14ac:dyDescent="0.3">
      <c r="A719" s="1" t="s">
        <v>14</v>
      </c>
      <c r="B719" s="1" t="s">
        <v>38</v>
      </c>
      <c r="C719" s="1" t="s">
        <v>29</v>
      </c>
      <c r="D719" s="1" t="s">
        <v>22</v>
      </c>
      <c r="E719" s="1" t="s">
        <v>45</v>
      </c>
      <c r="F719" s="7">
        <v>41943</v>
      </c>
      <c r="G719" s="1" t="s">
        <v>798</v>
      </c>
      <c r="H719" s="7">
        <v>41975</v>
      </c>
      <c r="I719" s="1">
        <f>Europe_Sales_Records[[#This Row],[Ship Date]]-Europe_Sales_Records[[#This Row],[Order Date]]</f>
        <v>32</v>
      </c>
      <c r="J719" s="1">
        <v>4622</v>
      </c>
      <c r="K719" s="1">
        <v>651.21</v>
      </c>
      <c r="L719" s="1">
        <v>524.96</v>
      </c>
      <c r="M719" s="1">
        <f>Europe_Sales_Records[[#This Row],[Unit Price]]-Europe_Sales_Records[[#This Row],[Unit Cost]]</f>
        <v>126.25</v>
      </c>
      <c r="N719" s="1">
        <v>3009892.62</v>
      </c>
      <c r="O719" s="6">
        <v>2426365.12</v>
      </c>
      <c r="P719" s="1">
        <v>583527.5</v>
      </c>
    </row>
    <row r="720" spans="1:16" x14ac:dyDescent="0.3">
      <c r="A720" s="1" t="s">
        <v>14</v>
      </c>
      <c r="B720" s="1" t="s">
        <v>44</v>
      </c>
      <c r="C720" s="1" t="s">
        <v>48</v>
      </c>
      <c r="D720" s="1" t="s">
        <v>22</v>
      </c>
      <c r="E720" s="1" t="s">
        <v>45</v>
      </c>
      <c r="F720" s="7">
        <v>42341</v>
      </c>
      <c r="G720" s="1" t="s">
        <v>799</v>
      </c>
      <c r="H720" s="7">
        <v>42349</v>
      </c>
      <c r="I720" s="1">
        <f>Europe_Sales_Records[[#This Row],[Ship Date]]-Europe_Sales_Records[[#This Row],[Order Date]]</f>
        <v>8</v>
      </c>
      <c r="J720" s="1">
        <v>5722</v>
      </c>
      <c r="K720" s="1">
        <v>152.58000000000001</v>
      </c>
      <c r="L720" s="1">
        <v>97.44</v>
      </c>
      <c r="M720" s="1">
        <f>Europe_Sales_Records[[#This Row],[Unit Price]]-Europe_Sales_Records[[#This Row],[Unit Cost]]</f>
        <v>55.140000000000015</v>
      </c>
      <c r="N720" s="1">
        <v>873062.76</v>
      </c>
      <c r="O720" s="6">
        <v>557551.68000000005</v>
      </c>
      <c r="P720" s="1">
        <v>315511.08</v>
      </c>
    </row>
    <row r="721" spans="1:16" x14ac:dyDescent="0.3">
      <c r="A721" s="1" t="s">
        <v>14</v>
      </c>
      <c r="B721" s="1" t="s">
        <v>150</v>
      </c>
      <c r="C721" s="1" t="s">
        <v>29</v>
      </c>
      <c r="D721" s="1" t="s">
        <v>22</v>
      </c>
      <c r="E721" s="1" t="s">
        <v>45</v>
      </c>
      <c r="F721" s="7">
        <v>41729</v>
      </c>
      <c r="G721" s="1" t="s">
        <v>800</v>
      </c>
      <c r="H721" s="7">
        <v>41734</v>
      </c>
      <c r="I721" s="1">
        <f>Europe_Sales_Records[[#This Row],[Ship Date]]-Europe_Sales_Records[[#This Row],[Order Date]]</f>
        <v>5</v>
      </c>
      <c r="J721" s="1">
        <v>3020</v>
      </c>
      <c r="K721" s="1">
        <v>651.21</v>
      </c>
      <c r="L721" s="1">
        <v>524.96</v>
      </c>
      <c r="M721" s="1">
        <f>Europe_Sales_Records[[#This Row],[Unit Price]]-Europe_Sales_Records[[#This Row],[Unit Cost]]</f>
        <v>126.25</v>
      </c>
      <c r="N721" s="1">
        <v>1966654.2</v>
      </c>
      <c r="O721" s="6">
        <v>1585379.2</v>
      </c>
      <c r="P721" s="1">
        <v>381275</v>
      </c>
    </row>
    <row r="722" spans="1:16" x14ac:dyDescent="0.3">
      <c r="A722" s="1" t="s">
        <v>14</v>
      </c>
      <c r="B722" s="1" t="s">
        <v>54</v>
      </c>
      <c r="C722" s="1" t="s">
        <v>21</v>
      </c>
      <c r="D722" s="1" t="s">
        <v>17</v>
      </c>
      <c r="E722" s="1" t="s">
        <v>45</v>
      </c>
      <c r="F722" s="7">
        <v>41007</v>
      </c>
      <c r="G722" s="1" t="s">
        <v>801</v>
      </c>
      <c r="H722" s="7">
        <v>41035</v>
      </c>
      <c r="I722" s="1">
        <f>Europe_Sales_Records[[#This Row],[Ship Date]]-Europe_Sales_Records[[#This Row],[Order Date]]</f>
        <v>28</v>
      </c>
      <c r="J722" s="1">
        <v>2979</v>
      </c>
      <c r="K722" s="1">
        <v>109.28</v>
      </c>
      <c r="L722" s="1">
        <v>35.840000000000003</v>
      </c>
      <c r="M722" s="1">
        <f>Europe_Sales_Records[[#This Row],[Unit Price]]-Europe_Sales_Records[[#This Row],[Unit Cost]]</f>
        <v>73.44</v>
      </c>
      <c r="N722" s="1">
        <v>325545.12</v>
      </c>
      <c r="O722" s="6">
        <v>106767.36</v>
      </c>
      <c r="P722" s="1">
        <v>218777.76</v>
      </c>
    </row>
    <row r="723" spans="1:16" x14ac:dyDescent="0.3">
      <c r="A723" s="1" t="s">
        <v>14</v>
      </c>
      <c r="B723" s="1" t="s">
        <v>28</v>
      </c>
      <c r="C723" s="1" t="s">
        <v>57</v>
      </c>
      <c r="D723" s="1" t="s">
        <v>22</v>
      </c>
      <c r="E723" s="1" t="s">
        <v>45</v>
      </c>
      <c r="F723" s="7">
        <v>41020</v>
      </c>
      <c r="G723" s="1" t="s">
        <v>802</v>
      </c>
      <c r="H723" s="7">
        <v>41031</v>
      </c>
      <c r="I723" s="1">
        <f>Europe_Sales_Records[[#This Row],[Ship Date]]-Europe_Sales_Records[[#This Row],[Order Date]]</f>
        <v>11</v>
      </c>
      <c r="J723" s="1">
        <v>5871</v>
      </c>
      <c r="K723" s="1">
        <v>668.27</v>
      </c>
      <c r="L723" s="1">
        <v>502.54</v>
      </c>
      <c r="M723" s="1">
        <f>Europe_Sales_Records[[#This Row],[Unit Price]]-Europe_Sales_Records[[#This Row],[Unit Cost]]</f>
        <v>165.72999999999996</v>
      </c>
      <c r="N723" s="1">
        <v>3923413.17</v>
      </c>
      <c r="O723" s="6">
        <v>2950412.34</v>
      </c>
      <c r="P723" s="1">
        <v>973000.83</v>
      </c>
    </row>
    <row r="724" spans="1:16" x14ac:dyDescent="0.3">
      <c r="A724" s="1" t="s">
        <v>14</v>
      </c>
      <c r="B724" s="1" t="s">
        <v>87</v>
      </c>
      <c r="C724" s="1" t="s">
        <v>42</v>
      </c>
      <c r="D724" s="1" t="s">
        <v>22</v>
      </c>
      <c r="E724" s="1" t="s">
        <v>30</v>
      </c>
      <c r="F724" s="7">
        <v>42792</v>
      </c>
      <c r="G724" s="1" t="s">
        <v>803</v>
      </c>
      <c r="H724" s="7">
        <v>42809</v>
      </c>
      <c r="I724" s="1">
        <f>Europe_Sales_Records[[#This Row],[Ship Date]]-Europe_Sales_Records[[#This Row],[Order Date]]</f>
        <v>17</v>
      </c>
      <c r="J724" s="1">
        <v>4835</v>
      </c>
      <c r="K724" s="1">
        <v>421.89</v>
      </c>
      <c r="L724" s="1">
        <v>364.69</v>
      </c>
      <c r="M724" s="1">
        <f>Europe_Sales_Records[[#This Row],[Unit Price]]-Europe_Sales_Records[[#This Row],[Unit Cost]]</f>
        <v>57.199999999999989</v>
      </c>
      <c r="N724" s="1">
        <v>2039838.15</v>
      </c>
      <c r="O724" s="6">
        <v>1763276.15</v>
      </c>
      <c r="P724" s="1">
        <v>276562</v>
      </c>
    </row>
    <row r="725" spans="1:16" x14ac:dyDescent="0.3">
      <c r="A725" s="1" t="s">
        <v>14</v>
      </c>
      <c r="B725" s="1" t="s">
        <v>67</v>
      </c>
      <c r="C725" s="1" t="s">
        <v>21</v>
      </c>
      <c r="D725" s="1" t="s">
        <v>17</v>
      </c>
      <c r="E725" s="1" t="s">
        <v>45</v>
      </c>
      <c r="F725" s="7">
        <v>40954</v>
      </c>
      <c r="G725" s="1" t="s">
        <v>804</v>
      </c>
      <c r="H725" s="7">
        <v>41002</v>
      </c>
      <c r="I725" s="1">
        <f>Europe_Sales_Records[[#This Row],[Ship Date]]-Europe_Sales_Records[[#This Row],[Order Date]]</f>
        <v>48</v>
      </c>
      <c r="J725" s="1">
        <v>2265</v>
      </c>
      <c r="K725" s="1">
        <v>109.28</v>
      </c>
      <c r="L725" s="1">
        <v>35.840000000000003</v>
      </c>
      <c r="M725" s="1">
        <f>Europe_Sales_Records[[#This Row],[Unit Price]]-Europe_Sales_Records[[#This Row],[Unit Cost]]</f>
        <v>73.44</v>
      </c>
      <c r="N725" s="1">
        <v>247519.2</v>
      </c>
      <c r="O725" s="6">
        <v>81177.600000000006</v>
      </c>
      <c r="P725" s="1">
        <v>166341.6</v>
      </c>
    </row>
    <row r="726" spans="1:16" x14ac:dyDescent="0.3">
      <c r="A726" s="1" t="s">
        <v>14</v>
      </c>
      <c r="B726" s="1" t="s">
        <v>35</v>
      </c>
      <c r="C726" s="1" t="s">
        <v>26</v>
      </c>
      <c r="D726" s="1" t="s">
        <v>17</v>
      </c>
      <c r="E726" s="1" t="s">
        <v>45</v>
      </c>
      <c r="F726" s="7">
        <v>41445</v>
      </c>
      <c r="G726" s="1" t="s">
        <v>805</v>
      </c>
      <c r="H726" s="7">
        <v>41481</v>
      </c>
      <c r="I726" s="1">
        <f>Europe_Sales_Records[[#This Row],[Ship Date]]-Europe_Sales_Records[[#This Row],[Order Date]]</f>
        <v>36</v>
      </c>
      <c r="J726" s="1">
        <v>1845</v>
      </c>
      <c r="K726" s="1">
        <v>205.7</v>
      </c>
      <c r="L726" s="1">
        <v>117.11</v>
      </c>
      <c r="M726" s="1">
        <f>Europe_Sales_Records[[#This Row],[Unit Price]]-Europe_Sales_Records[[#This Row],[Unit Cost]]</f>
        <v>88.589999999999989</v>
      </c>
      <c r="N726" s="1">
        <v>379516.5</v>
      </c>
      <c r="O726" s="6">
        <v>216067.95</v>
      </c>
      <c r="P726" s="1">
        <v>163448.54999999999</v>
      </c>
    </row>
    <row r="727" spans="1:16" x14ac:dyDescent="0.3">
      <c r="A727" s="1" t="s">
        <v>14</v>
      </c>
      <c r="B727" s="1" t="s">
        <v>32</v>
      </c>
      <c r="C727" s="1" t="s">
        <v>29</v>
      </c>
      <c r="D727" s="1" t="s">
        <v>17</v>
      </c>
      <c r="E727" s="1" t="s">
        <v>45</v>
      </c>
      <c r="F727" s="7">
        <v>41340</v>
      </c>
      <c r="G727" s="1" t="s">
        <v>806</v>
      </c>
      <c r="H727" s="7">
        <v>41389</v>
      </c>
      <c r="I727" s="1">
        <f>Europe_Sales_Records[[#This Row],[Ship Date]]-Europe_Sales_Records[[#This Row],[Order Date]]</f>
        <v>49</v>
      </c>
      <c r="J727" s="1">
        <v>5129</v>
      </c>
      <c r="K727" s="1">
        <v>651.21</v>
      </c>
      <c r="L727" s="1">
        <v>524.96</v>
      </c>
      <c r="M727" s="1">
        <f>Europe_Sales_Records[[#This Row],[Unit Price]]-Europe_Sales_Records[[#This Row],[Unit Cost]]</f>
        <v>126.25</v>
      </c>
      <c r="N727" s="1">
        <v>3340056.09</v>
      </c>
      <c r="O727" s="6">
        <v>2692519.84</v>
      </c>
      <c r="P727" s="1">
        <v>647536.25</v>
      </c>
    </row>
    <row r="728" spans="1:16" x14ac:dyDescent="0.3">
      <c r="A728" s="1" t="s">
        <v>14</v>
      </c>
      <c r="B728" s="1" t="s">
        <v>116</v>
      </c>
      <c r="C728" s="1" t="s">
        <v>60</v>
      </c>
      <c r="D728" s="1" t="s">
        <v>22</v>
      </c>
      <c r="E728" s="1" t="s">
        <v>23</v>
      </c>
      <c r="F728" s="7">
        <v>42577</v>
      </c>
      <c r="G728" s="1" t="s">
        <v>807</v>
      </c>
      <c r="H728" s="7">
        <v>42580</v>
      </c>
      <c r="I728" s="1">
        <f>Europe_Sales_Records[[#This Row],[Ship Date]]-Europe_Sales_Records[[#This Row],[Order Date]]</f>
        <v>3</v>
      </c>
      <c r="J728" s="1">
        <v>6078</v>
      </c>
      <c r="K728" s="1">
        <v>437.2</v>
      </c>
      <c r="L728" s="1">
        <v>263.33</v>
      </c>
      <c r="M728" s="1">
        <f>Europe_Sales_Records[[#This Row],[Unit Price]]-Europe_Sales_Records[[#This Row],[Unit Cost]]</f>
        <v>173.87</v>
      </c>
      <c r="N728" s="1">
        <v>2657301.6</v>
      </c>
      <c r="O728" s="6">
        <v>1600519.74</v>
      </c>
      <c r="P728" s="1">
        <v>1056781.8600000001</v>
      </c>
    </row>
    <row r="729" spans="1:16" x14ac:dyDescent="0.3">
      <c r="A729" s="1" t="s">
        <v>14</v>
      </c>
      <c r="B729" s="1" t="s">
        <v>219</v>
      </c>
      <c r="C729" s="1" t="s">
        <v>33</v>
      </c>
      <c r="D729" s="1" t="s">
        <v>17</v>
      </c>
      <c r="E729" s="1" t="s">
        <v>23</v>
      </c>
      <c r="F729" s="7">
        <v>40825</v>
      </c>
      <c r="G729" s="1" t="s">
        <v>808</v>
      </c>
      <c r="H729" s="7">
        <v>40871</v>
      </c>
      <c r="I729" s="1">
        <f>Europe_Sales_Records[[#This Row],[Ship Date]]-Europe_Sales_Records[[#This Row],[Order Date]]</f>
        <v>46</v>
      </c>
      <c r="J729" s="1">
        <v>3069</v>
      </c>
      <c r="K729" s="1">
        <v>9.33</v>
      </c>
      <c r="L729" s="1">
        <v>6.92</v>
      </c>
      <c r="M729" s="1">
        <f>Europe_Sales_Records[[#This Row],[Unit Price]]-Europe_Sales_Records[[#This Row],[Unit Cost]]</f>
        <v>2.41</v>
      </c>
      <c r="N729" s="1">
        <v>28633.77</v>
      </c>
      <c r="O729" s="6">
        <v>21237.48</v>
      </c>
      <c r="P729" s="1">
        <v>7396.29</v>
      </c>
    </row>
    <row r="730" spans="1:16" x14ac:dyDescent="0.3">
      <c r="A730" s="1" t="s">
        <v>14</v>
      </c>
      <c r="B730" s="1" t="s">
        <v>219</v>
      </c>
      <c r="C730" s="1" t="s">
        <v>79</v>
      </c>
      <c r="D730" s="1" t="s">
        <v>22</v>
      </c>
      <c r="E730" s="1" t="s">
        <v>30</v>
      </c>
      <c r="F730" s="7">
        <v>40707</v>
      </c>
      <c r="G730" s="1" t="s">
        <v>809</v>
      </c>
      <c r="H730" s="7">
        <v>40753</v>
      </c>
      <c r="I730" s="1">
        <f>Europe_Sales_Records[[#This Row],[Ship Date]]-Europe_Sales_Records[[#This Row],[Order Date]]</f>
        <v>46</v>
      </c>
      <c r="J730" s="1">
        <v>5177</v>
      </c>
      <c r="K730" s="1">
        <v>81.73</v>
      </c>
      <c r="L730" s="1">
        <v>56.67</v>
      </c>
      <c r="M730" s="1">
        <f>Europe_Sales_Records[[#This Row],[Unit Price]]-Europe_Sales_Records[[#This Row],[Unit Cost]]</f>
        <v>25.060000000000002</v>
      </c>
      <c r="N730" s="1">
        <v>423116.21</v>
      </c>
      <c r="O730" s="6">
        <v>293380.59000000003</v>
      </c>
      <c r="P730" s="1">
        <v>129735.62</v>
      </c>
    </row>
    <row r="731" spans="1:16" x14ac:dyDescent="0.3">
      <c r="A731" s="1" t="s">
        <v>14</v>
      </c>
      <c r="B731" s="1" t="s">
        <v>152</v>
      </c>
      <c r="C731" s="1" t="s">
        <v>33</v>
      </c>
      <c r="D731" s="1" t="s">
        <v>17</v>
      </c>
      <c r="E731" s="1" t="s">
        <v>45</v>
      </c>
      <c r="F731" s="7">
        <v>40768</v>
      </c>
      <c r="G731" s="1" t="s">
        <v>810</v>
      </c>
      <c r="H731" s="7">
        <v>40773</v>
      </c>
      <c r="I731" s="1">
        <f>Europe_Sales_Records[[#This Row],[Ship Date]]-Europe_Sales_Records[[#This Row],[Order Date]]</f>
        <v>5</v>
      </c>
      <c r="J731" s="1">
        <v>1457</v>
      </c>
      <c r="K731" s="1">
        <v>9.33</v>
      </c>
      <c r="L731" s="1">
        <v>6.92</v>
      </c>
      <c r="M731" s="1">
        <f>Europe_Sales_Records[[#This Row],[Unit Price]]-Europe_Sales_Records[[#This Row],[Unit Cost]]</f>
        <v>2.41</v>
      </c>
      <c r="N731" s="1">
        <v>13593.81</v>
      </c>
      <c r="O731" s="6">
        <v>10082.44</v>
      </c>
      <c r="P731" s="1">
        <v>3511.37</v>
      </c>
    </row>
    <row r="732" spans="1:16" x14ac:dyDescent="0.3">
      <c r="A732" s="1" t="s">
        <v>14</v>
      </c>
      <c r="B732" s="1" t="s">
        <v>71</v>
      </c>
      <c r="C732" s="1" t="s">
        <v>52</v>
      </c>
      <c r="D732" s="1" t="s">
        <v>22</v>
      </c>
      <c r="E732" s="1" t="s">
        <v>23</v>
      </c>
      <c r="F732" s="7">
        <v>41604</v>
      </c>
      <c r="G732" s="1" t="s">
        <v>811</v>
      </c>
      <c r="H732" s="7">
        <v>41641</v>
      </c>
      <c r="I732" s="1">
        <f>Europe_Sales_Records[[#This Row],[Ship Date]]-Europe_Sales_Records[[#This Row],[Order Date]]</f>
        <v>37</v>
      </c>
      <c r="J732" s="1">
        <v>1212</v>
      </c>
      <c r="K732" s="1">
        <v>255.28</v>
      </c>
      <c r="L732" s="1">
        <v>159.41999999999999</v>
      </c>
      <c r="M732" s="1">
        <f>Europe_Sales_Records[[#This Row],[Unit Price]]-Europe_Sales_Records[[#This Row],[Unit Cost]]</f>
        <v>95.860000000000014</v>
      </c>
      <c r="N732" s="1">
        <v>309399.36</v>
      </c>
      <c r="O732" s="6">
        <v>193217.04</v>
      </c>
      <c r="P732" s="1">
        <v>116182.32</v>
      </c>
    </row>
    <row r="733" spans="1:16" x14ac:dyDescent="0.3">
      <c r="A733" s="1" t="s">
        <v>14</v>
      </c>
      <c r="B733" s="1" t="s">
        <v>129</v>
      </c>
      <c r="C733" s="1" t="s">
        <v>33</v>
      </c>
      <c r="D733" s="1" t="s">
        <v>22</v>
      </c>
      <c r="E733" s="1" t="s">
        <v>23</v>
      </c>
      <c r="F733" s="7">
        <v>41867</v>
      </c>
      <c r="G733" s="1" t="s">
        <v>812</v>
      </c>
      <c r="H733" s="7">
        <v>41913</v>
      </c>
      <c r="I733" s="1">
        <f>Europe_Sales_Records[[#This Row],[Ship Date]]-Europe_Sales_Records[[#This Row],[Order Date]]</f>
        <v>46</v>
      </c>
      <c r="J733" s="1">
        <v>1354</v>
      </c>
      <c r="K733" s="1">
        <v>9.33</v>
      </c>
      <c r="L733" s="1">
        <v>6.92</v>
      </c>
      <c r="M733" s="1">
        <f>Europe_Sales_Records[[#This Row],[Unit Price]]-Europe_Sales_Records[[#This Row],[Unit Cost]]</f>
        <v>2.41</v>
      </c>
      <c r="N733" s="1">
        <v>12632.82</v>
      </c>
      <c r="O733" s="6">
        <v>9369.68</v>
      </c>
      <c r="P733" s="1">
        <v>3263.14</v>
      </c>
    </row>
    <row r="734" spans="1:16" x14ac:dyDescent="0.3">
      <c r="A734" s="1" t="s">
        <v>14</v>
      </c>
      <c r="B734" s="1" t="s">
        <v>77</v>
      </c>
      <c r="C734" s="1" t="s">
        <v>52</v>
      </c>
      <c r="D734" s="1" t="s">
        <v>17</v>
      </c>
      <c r="E734" s="1" t="s">
        <v>18</v>
      </c>
      <c r="F734" s="7">
        <v>41266</v>
      </c>
      <c r="G734" s="1" t="s">
        <v>813</v>
      </c>
      <c r="H734" s="7">
        <v>41291</v>
      </c>
      <c r="I734" s="1">
        <f>Europe_Sales_Records[[#This Row],[Ship Date]]-Europe_Sales_Records[[#This Row],[Order Date]]</f>
        <v>25</v>
      </c>
      <c r="J734" s="1">
        <v>8379</v>
      </c>
      <c r="K734" s="1">
        <v>255.28</v>
      </c>
      <c r="L734" s="1">
        <v>159.41999999999999</v>
      </c>
      <c r="M734" s="1">
        <f>Europe_Sales_Records[[#This Row],[Unit Price]]-Europe_Sales_Records[[#This Row],[Unit Cost]]</f>
        <v>95.860000000000014</v>
      </c>
      <c r="N734" s="1">
        <v>2138991.12</v>
      </c>
      <c r="O734" s="6">
        <v>1335780.18</v>
      </c>
      <c r="P734" s="1">
        <v>803210.94</v>
      </c>
    </row>
    <row r="735" spans="1:16" x14ac:dyDescent="0.3">
      <c r="A735" s="1" t="s">
        <v>14</v>
      </c>
      <c r="B735" s="1" t="s">
        <v>127</v>
      </c>
      <c r="C735" s="1" t="s">
        <v>39</v>
      </c>
      <c r="D735" s="1" t="s">
        <v>22</v>
      </c>
      <c r="E735" s="1" t="s">
        <v>18</v>
      </c>
      <c r="F735" s="7">
        <v>41011</v>
      </c>
      <c r="G735" s="1" t="s">
        <v>814</v>
      </c>
      <c r="H735" s="7">
        <v>41024</v>
      </c>
      <c r="I735" s="1">
        <f>Europe_Sales_Records[[#This Row],[Ship Date]]-Europe_Sales_Records[[#This Row],[Order Date]]</f>
        <v>13</v>
      </c>
      <c r="J735" s="1">
        <v>8940</v>
      </c>
      <c r="K735" s="1">
        <v>154.06</v>
      </c>
      <c r="L735" s="1">
        <v>90.93</v>
      </c>
      <c r="M735" s="1">
        <f>Europe_Sales_Records[[#This Row],[Unit Price]]-Europe_Sales_Records[[#This Row],[Unit Cost]]</f>
        <v>63.129999999999995</v>
      </c>
      <c r="N735" s="1">
        <v>1377296.4</v>
      </c>
      <c r="O735" s="6">
        <v>812914.2</v>
      </c>
      <c r="P735" s="1">
        <v>564382.19999999995</v>
      </c>
    </row>
    <row r="736" spans="1:16" x14ac:dyDescent="0.3">
      <c r="A736" s="1" t="s">
        <v>14</v>
      </c>
      <c r="B736" s="1" t="s">
        <v>28</v>
      </c>
      <c r="C736" s="1" t="s">
        <v>29</v>
      </c>
      <c r="D736" s="1" t="s">
        <v>22</v>
      </c>
      <c r="E736" s="1" t="s">
        <v>45</v>
      </c>
      <c r="F736" s="7">
        <v>42310</v>
      </c>
      <c r="G736" s="1" t="s">
        <v>815</v>
      </c>
      <c r="H736" s="7">
        <v>42352</v>
      </c>
      <c r="I736" s="1">
        <f>Europe_Sales_Records[[#This Row],[Ship Date]]-Europe_Sales_Records[[#This Row],[Order Date]]</f>
        <v>42</v>
      </c>
      <c r="J736" s="1">
        <v>4047</v>
      </c>
      <c r="K736" s="1">
        <v>651.21</v>
      </c>
      <c r="L736" s="1">
        <v>524.96</v>
      </c>
      <c r="M736" s="1">
        <f>Europe_Sales_Records[[#This Row],[Unit Price]]-Europe_Sales_Records[[#This Row],[Unit Cost]]</f>
        <v>126.25</v>
      </c>
      <c r="N736" s="1">
        <v>2635446.87</v>
      </c>
      <c r="O736" s="6">
        <v>2124513.12</v>
      </c>
      <c r="P736" s="1">
        <v>510933.75</v>
      </c>
    </row>
    <row r="737" spans="1:16" x14ac:dyDescent="0.3">
      <c r="A737" s="1" t="s">
        <v>14</v>
      </c>
      <c r="B737" s="1" t="s">
        <v>15</v>
      </c>
      <c r="C737" s="1" t="s">
        <v>57</v>
      </c>
      <c r="D737" s="1" t="s">
        <v>17</v>
      </c>
      <c r="E737" s="1" t="s">
        <v>30</v>
      </c>
      <c r="F737" s="7">
        <v>42139</v>
      </c>
      <c r="G737" s="1" t="s">
        <v>816</v>
      </c>
      <c r="H737" s="7">
        <v>42177</v>
      </c>
      <c r="I737" s="1">
        <f>Europe_Sales_Records[[#This Row],[Ship Date]]-Europe_Sales_Records[[#This Row],[Order Date]]</f>
        <v>38</v>
      </c>
      <c r="J737" s="1">
        <v>7009</v>
      </c>
      <c r="K737" s="1">
        <v>668.27</v>
      </c>
      <c r="L737" s="1">
        <v>502.54</v>
      </c>
      <c r="M737" s="1">
        <f>Europe_Sales_Records[[#This Row],[Unit Price]]-Europe_Sales_Records[[#This Row],[Unit Cost]]</f>
        <v>165.72999999999996</v>
      </c>
      <c r="N737" s="1">
        <v>4683904.43</v>
      </c>
      <c r="O737" s="6">
        <v>3522302.86</v>
      </c>
      <c r="P737" s="1">
        <v>1161601.57</v>
      </c>
    </row>
    <row r="738" spans="1:16" x14ac:dyDescent="0.3">
      <c r="A738" s="1" t="s">
        <v>14</v>
      </c>
      <c r="B738" s="1" t="s">
        <v>137</v>
      </c>
      <c r="C738" s="1" t="s">
        <v>21</v>
      </c>
      <c r="D738" s="1" t="s">
        <v>17</v>
      </c>
      <c r="E738" s="1" t="s">
        <v>30</v>
      </c>
      <c r="F738" s="7">
        <v>40489</v>
      </c>
      <c r="G738" s="1" t="s">
        <v>817</v>
      </c>
      <c r="H738" s="7">
        <v>40514</v>
      </c>
      <c r="I738" s="1">
        <f>Europe_Sales_Records[[#This Row],[Ship Date]]-Europe_Sales_Records[[#This Row],[Order Date]]</f>
        <v>25</v>
      </c>
      <c r="J738" s="1">
        <v>9895</v>
      </c>
      <c r="K738" s="1">
        <v>109.28</v>
      </c>
      <c r="L738" s="1">
        <v>35.840000000000003</v>
      </c>
      <c r="M738" s="1">
        <f>Europe_Sales_Records[[#This Row],[Unit Price]]-Europe_Sales_Records[[#This Row],[Unit Cost]]</f>
        <v>73.44</v>
      </c>
      <c r="N738" s="1">
        <v>1081325.6000000001</v>
      </c>
      <c r="O738" s="6">
        <v>354636.79999999999</v>
      </c>
      <c r="P738" s="1">
        <v>726688.8</v>
      </c>
    </row>
    <row r="739" spans="1:16" x14ac:dyDescent="0.3">
      <c r="A739" s="1" t="s">
        <v>14</v>
      </c>
      <c r="B739" s="1" t="s">
        <v>232</v>
      </c>
      <c r="C739" s="1" t="s">
        <v>26</v>
      </c>
      <c r="D739" s="1" t="s">
        <v>22</v>
      </c>
      <c r="E739" s="1" t="s">
        <v>45</v>
      </c>
      <c r="F739" s="7">
        <v>41804</v>
      </c>
      <c r="G739" s="1" t="s">
        <v>818</v>
      </c>
      <c r="H739" s="7">
        <v>41836</v>
      </c>
      <c r="I739" s="1">
        <f>Europe_Sales_Records[[#This Row],[Ship Date]]-Europe_Sales_Records[[#This Row],[Order Date]]</f>
        <v>32</v>
      </c>
      <c r="J739" s="1">
        <v>701</v>
      </c>
      <c r="K739" s="1">
        <v>205.7</v>
      </c>
      <c r="L739" s="1">
        <v>117.11</v>
      </c>
      <c r="M739" s="1">
        <f>Europe_Sales_Records[[#This Row],[Unit Price]]-Europe_Sales_Records[[#This Row],[Unit Cost]]</f>
        <v>88.589999999999989</v>
      </c>
      <c r="N739" s="1">
        <v>144195.70000000001</v>
      </c>
      <c r="O739" s="6">
        <v>82094.11</v>
      </c>
      <c r="P739" s="1">
        <v>62101.59</v>
      </c>
    </row>
    <row r="740" spans="1:16" x14ac:dyDescent="0.3">
      <c r="A740" s="1" t="s">
        <v>14</v>
      </c>
      <c r="B740" s="1" t="s">
        <v>77</v>
      </c>
      <c r="C740" s="1" t="s">
        <v>60</v>
      </c>
      <c r="D740" s="1" t="s">
        <v>22</v>
      </c>
      <c r="E740" s="1" t="s">
        <v>45</v>
      </c>
      <c r="F740" s="7">
        <v>40344</v>
      </c>
      <c r="G740" s="1" t="s">
        <v>819</v>
      </c>
      <c r="H740" s="7">
        <v>40362</v>
      </c>
      <c r="I740" s="1">
        <f>Europe_Sales_Records[[#This Row],[Ship Date]]-Europe_Sales_Records[[#This Row],[Order Date]]</f>
        <v>18</v>
      </c>
      <c r="J740" s="1">
        <v>2070</v>
      </c>
      <c r="K740" s="1">
        <v>437.2</v>
      </c>
      <c r="L740" s="1">
        <v>263.33</v>
      </c>
      <c r="M740" s="1">
        <f>Europe_Sales_Records[[#This Row],[Unit Price]]-Europe_Sales_Records[[#This Row],[Unit Cost]]</f>
        <v>173.87</v>
      </c>
      <c r="N740" s="1">
        <v>905004</v>
      </c>
      <c r="O740" s="6">
        <v>545093.1</v>
      </c>
      <c r="P740" s="1">
        <v>359910.9</v>
      </c>
    </row>
    <row r="741" spans="1:16" x14ac:dyDescent="0.3">
      <c r="A741" s="1" t="s">
        <v>14</v>
      </c>
      <c r="B741" s="1" t="s">
        <v>118</v>
      </c>
      <c r="C741" s="1" t="s">
        <v>33</v>
      </c>
      <c r="D741" s="1" t="s">
        <v>17</v>
      </c>
      <c r="E741" s="1" t="s">
        <v>30</v>
      </c>
      <c r="F741" s="7">
        <v>42301</v>
      </c>
      <c r="G741" s="1" t="s">
        <v>820</v>
      </c>
      <c r="H741" s="7">
        <v>42309</v>
      </c>
      <c r="I741" s="1">
        <f>Europe_Sales_Records[[#This Row],[Ship Date]]-Europe_Sales_Records[[#This Row],[Order Date]]</f>
        <v>8</v>
      </c>
      <c r="J741" s="1">
        <v>3540</v>
      </c>
      <c r="K741" s="1">
        <v>9.33</v>
      </c>
      <c r="L741" s="1">
        <v>6.92</v>
      </c>
      <c r="M741" s="1">
        <f>Europe_Sales_Records[[#This Row],[Unit Price]]-Europe_Sales_Records[[#This Row],[Unit Cost]]</f>
        <v>2.41</v>
      </c>
      <c r="N741" s="1">
        <v>33028.199999999997</v>
      </c>
      <c r="O741" s="6">
        <v>24496.799999999999</v>
      </c>
      <c r="P741" s="1">
        <v>8531.4</v>
      </c>
    </row>
    <row r="742" spans="1:16" x14ac:dyDescent="0.3">
      <c r="A742" s="1" t="s">
        <v>14</v>
      </c>
      <c r="B742" s="1" t="s">
        <v>101</v>
      </c>
      <c r="C742" s="1" t="s">
        <v>57</v>
      </c>
      <c r="D742" s="1" t="s">
        <v>17</v>
      </c>
      <c r="E742" s="1" t="s">
        <v>23</v>
      </c>
      <c r="F742" s="7">
        <v>41926</v>
      </c>
      <c r="G742" s="1" t="s">
        <v>821</v>
      </c>
      <c r="H742" s="7">
        <v>41937</v>
      </c>
      <c r="I742" s="1">
        <f>Europe_Sales_Records[[#This Row],[Ship Date]]-Europe_Sales_Records[[#This Row],[Order Date]]</f>
        <v>11</v>
      </c>
      <c r="J742" s="1">
        <v>4839</v>
      </c>
      <c r="K742" s="1">
        <v>668.27</v>
      </c>
      <c r="L742" s="1">
        <v>502.54</v>
      </c>
      <c r="M742" s="1">
        <f>Europe_Sales_Records[[#This Row],[Unit Price]]-Europe_Sales_Records[[#This Row],[Unit Cost]]</f>
        <v>165.72999999999996</v>
      </c>
      <c r="N742" s="1">
        <v>3233758.53</v>
      </c>
      <c r="O742" s="6">
        <v>2431791.06</v>
      </c>
      <c r="P742" s="1">
        <v>801967.47</v>
      </c>
    </row>
    <row r="743" spans="1:16" x14ac:dyDescent="0.3">
      <c r="A743" s="1" t="s">
        <v>14</v>
      </c>
      <c r="B743" s="1" t="s">
        <v>219</v>
      </c>
      <c r="C743" s="1" t="s">
        <v>39</v>
      </c>
      <c r="D743" s="1" t="s">
        <v>17</v>
      </c>
      <c r="E743" s="1" t="s">
        <v>45</v>
      </c>
      <c r="F743" s="7">
        <v>41949</v>
      </c>
      <c r="G743" s="1" t="s">
        <v>822</v>
      </c>
      <c r="H743" s="7">
        <v>41961</v>
      </c>
      <c r="I743" s="1">
        <f>Europe_Sales_Records[[#This Row],[Ship Date]]-Europe_Sales_Records[[#This Row],[Order Date]]</f>
        <v>12</v>
      </c>
      <c r="J743" s="1">
        <v>2809</v>
      </c>
      <c r="K743" s="1">
        <v>154.06</v>
      </c>
      <c r="L743" s="1">
        <v>90.93</v>
      </c>
      <c r="M743" s="1">
        <f>Europe_Sales_Records[[#This Row],[Unit Price]]-Europe_Sales_Records[[#This Row],[Unit Cost]]</f>
        <v>63.129999999999995</v>
      </c>
      <c r="N743" s="1">
        <v>432754.54</v>
      </c>
      <c r="O743" s="6">
        <v>255422.37</v>
      </c>
      <c r="P743" s="1">
        <v>177332.17</v>
      </c>
    </row>
    <row r="744" spans="1:16" x14ac:dyDescent="0.3">
      <c r="A744" s="1" t="s">
        <v>14</v>
      </c>
      <c r="B744" s="1" t="s">
        <v>67</v>
      </c>
      <c r="C744" s="1" t="s">
        <v>48</v>
      </c>
      <c r="D744" s="1" t="s">
        <v>22</v>
      </c>
      <c r="E744" s="1" t="s">
        <v>18</v>
      </c>
      <c r="F744" s="7">
        <v>40458</v>
      </c>
      <c r="G744" s="1" t="s">
        <v>823</v>
      </c>
      <c r="H744" s="7">
        <v>40470</v>
      </c>
      <c r="I744" s="1">
        <f>Europe_Sales_Records[[#This Row],[Ship Date]]-Europe_Sales_Records[[#This Row],[Order Date]]</f>
        <v>12</v>
      </c>
      <c r="J744" s="1">
        <v>5075</v>
      </c>
      <c r="K744" s="1">
        <v>152.58000000000001</v>
      </c>
      <c r="L744" s="1">
        <v>97.44</v>
      </c>
      <c r="M744" s="1">
        <f>Europe_Sales_Records[[#This Row],[Unit Price]]-Europe_Sales_Records[[#This Row],[Unit Cost]]</f>
        <v>55.140000000000015</v>
      </c>
      <c r="N744" s="1">
        <v>774343.5</v>
      </c>
      <c r="O744" s="6">
        <v>494508</v>
      </c>
      <c r="P744" s="1">
        <v>279835.5</v>
      </c>
    </row>
    <row r="745" spans="1:16" x14ac:dyDescent="0.3">
      <c r="A745" s="1" t="s">
        <v>14</v>
      </c>
      <c r="B745" s="1" t="s">
        <v>106</v>
      </c>
      <c r="C745" s="1" t="s">
        <v>52</v>
      </c>
      <c r="D745" s="1" t="s">
        <v>22</v>
      </c>
      <c r="E745" s="1" t="s">
        <v>18</v>
      </c>
      <c r="F745" s="7">
        <v>41666</v>
      </c>
      <c r="G745" s="1" t="s">
        <v>824</v>
      </c>
      <c r="H745" s="7">
        <v>41699</v>
      </c>
      <c r="I745" s="1">
        <f>Europe_Sales_Records[[#This Row],[Ship Date]]-Europe_Sales_Records[[#This Row],[Order Date]]</f>
        <v>33</v>
      </c>
      <c r="J745" s="1">
        <v>3287</v>
      </c>
      <c r="K745" s="1">
        <v>255.28</v>
      </c>
      <c r="L745" s="1">
        <v>159.41999999999999</v>
      </c>
      <c r="M745" s="1">
        <f>Europe_Sales_Records[[#This Row],[Unit Price]]-Europe_Sales_Records[[#This Row],[Unit Cost]]</f>
        <v>95.860000000000014</v>
      </c>
      <c r="N745" s="1">
        <v>839105.36</v>
      </c>
      <c r="O745" s="6">
        <v>524013.54</v>
      </c>
      <c r="P745" s="1">
        <v>315091.82</v>
      </c>
    </row>
    <row r="746" spans="1:16" x14ac:dyDescent="0.3">
      <c r="A746" s="1" t="s">
        <v>14</v>
      </c>
      <c r="B746" s="1" t="s">
        <v>219</v>
      </c>
      <c r="C746" s="1" t="s">
        <v>16</v>
      </c>
      <c r="D746" s="1" t="s">
        <v>22</v>
      </c>
      <c r="E746" s="1" t="s">
        <v>23</v>
      </c>
      <c r="F746" s="7">
        <v>42134</v>
      </c>
      <c r="G746" s="1" t="s">
        <v>825</v>
      </c>
      <c r="H746" s="7">
        <v>42165</v>
      </c>
      <c r="I746" s="1">
        <f>Europe_Sales_Records[[#This Row],[Ship Date]]-Europe_Sales_Records[[#This Row],[Order Date]]</f>
        <v>31</v>
      </c>
      <c r="J746" s="1">
        <v>317</v>
      </c>
      <c r="K746" s="1">
        <v>47.45</v>
      </c>
      <c r="L746" s="1">
        <v>31.79</v>
      </c>
      <c r="M746" s="1">
        <f>Europe_Sales_Records[[#This Row],[Unit Price]]-Europe_Sales_Records[[#This Row],[Unit Cost]]</f>
        <v>15.660000000000004</v>
      </c>
      <c r="N746" s="1">
        <v>15041.65</v>
      </c>
      <c r="O746" s="6">
        <v>10077.43</v>
      </c>
      <c r="P746" s="1">
        <v>4964.22</v>
      </c>
    </row>
    <row r="747" spans="1:16" x14ac:dyDescent="0.3">
      <c r="A747" s="1" t="s">
        <v>14</v>
      </c>
      <c r="B747" s="1" t="s">
        <v>172</v>
      </c>
      <c r="C747" s="1" t="s">
        <v>48</v>
      </c>
      <c r="D747" s="1" t="s">
        <v>17</v>
      </c>
      <c r="E747" s="1" t="s">
        <v>30</v>
      </c>
      <c r="F747" s="7">
        <v>40852</v>
      </c>
      <c r="G747" s="1" t="s">
        <v>826</v>
      </c>
      <c r="H747" s="7">
        <v>40871</v>
      </c>
      <c r="I747" s="1">
        <f>Europe_Sales_Records[[#This Row],[Ship Date]]-Europe_Sales_Records[[#This Row],[Order Date]]</f>
        <v>19</v>
      </c>
      <c r="J747" s="1">
        <v>3006</v>
      </c>
      <c r="K747" s="1">
        <v>152.58000000000001</v>
      </c>
      <c r="L747" s="1">
        <v>97.44</v>
      </c>
      <c r="M747" s="1">
        <f>Europe_Sales_Records[[#This Row],[Unit Price]]-Europe_Sales_Records[[#This Row],[Unit Cost]]</f>
        <v>55.140000000000015</v>
      </c>
      <c r="N747" s="1">
        <v>458655.48</v>
      </c>
      <c r="O747" s="6">
        <v>292904.64</v>
      </c>
      <c r="P747" s="1">
        <v>165750.84</v>
      </c>
    </row>
    <row r="748" spans="1:16" x14ac:dyDescent="0.3">
      <c r="A748" s="1" t="s">
        <v>14</v>
      </c>
      <c r="B748" s="1" t="s">
        <v>101</v>
      </c>
      <c r="C748" s="1" t="s">
        <v>21</v>
      </c>
      <c r="D748" s="1" t="s">
        <v>22</v>
      </c>
      <c r="E748" s="1" t="s">
        <v>45</v>
      </c>
      <c r="F748" s="7">
        <v>42549</v>
      </c>
      <c r="G748" s="1" t="s">
        <v>827</v>
      </c>
      <c r="H748" s="7">
        <v>42590</v>
      </c>
      <c r="I748" s="1">
        <f>Europe_Sales_Records[[#This Row],[Ship Date]]-Europe_Sales_Records[[#This Row],[Order Date]]</f>
        <v>41</v>
      </c>
      <c r="J748" s="1">
        <v>1562</v>
      </c>
      <c r="K748" s="1">
        <v>109.28</v>
      </c>
      <c r="L748" s="1">
        <v>35.840000000000003</v>
      </c>
      <c r="M748" s="1">
        <f>Europe_Sales_Records[[#This Row],[Unit Price]]-Europe_Sales_Records[[#This Row],[Unit Cost]]</f>
        <v>73.44</v>
      </c>
      <c r="N748" s="1">
        <v>170695.36</v>
      </c>
      <c r="O748" s="6">
        <v>55982.080000000002</v>
      </c>
      <c r="P748" s="1">
        <v>114713.28</v>
      </c>
    </row>
    <row r="749" spans="1:16" x14ac:dyDescent="0.3">
      <c r="A749" s="1" t="s">
        <v>14</v>
      </c>
      <c r="B749" s="1" t="s">
        <v>94</v>
      </c>
      <c r="C749" s="1" t="s">
        <v>21</v>
      </c>
      <c r="D749" s="1" t="s">
        <v>22</v>
      </c>
      <c r="E749" s="1" t="s">
        <v>18</v>
      </c>
      <c r="F749" s="7">
        <v>41841</v>
      </c>
      <c r="G749" s="1" t="s">
        <v>828</v>
      </c>
      <c r="H749" s="7">
        <v>41843</v>
      </c>
      <c r="I749" s="1">
        <f>Europe_Sales_Records[[#This Row],[Ship Date]]-Europe_Sales_Records[[#This Row],[Order Date]]</f>
        <v>2</v>
      </c>
      <c r="J749" s="1">
        <v>1645</v>
      </c>
      <c r="K749" s="1">
        <v>109.28</v>
      </c>
      <c r="L749" s="1">
        <v>35.840000000000003</v>
      </c>
      <c r="M749" s="1">
        <f>Europe_Sales_Records[[#This Row],[Unit Price]]-Europe_Sales_Records[[#This Row],[Unit Cost]]</f>
        <v>73.44</v>
      </c>
      <c r="N749" s="1">
        <v>179765.6</v>
      </c>
      <c r="O749" s="6">
        <v>58956.800000000003</v>
      </c>
      <c r="P749" s="1">
        <v>120808.8</v>
      </c>
    </row>
    <row r="750" spans="1:16" x14ac:dyDescent="0.3">
      <c r="A750" s="1" t="s">
        <v>14</v>
      </c>
      <c r="B750" s="1" t="s">
        <v>65</v>
      </c>
      <c r="C750" s="1" t="s">
        <v>29</v>
      </c>
      <c r="D750" s="1" t="s">
        <v>22</v>
      </c>
      <c r="E750" s="1" t="s">
        <v>23</v>
      </c>
      <c r="F750" s="7">
        <v>42155</v>
      </c>
      <c r="G750" s="1" t="s">
        <v>829</v>
      </c>
      <c r="H750" s="7">
        <v>42166</v>
      </c>
      <c r="I750" s="1">
        <f>Europe_Sales_Records[[#This Row],[Ship Date]]-Europe_Sales_Records[[#This Row],[Order Date]]</f>
        <v>11</v>
      </c>
      <c r="J750" s="1">
        <v>8918</v>
      </c>
      <c r="K750" s="1">
        <v>651.21</v>
      </c>
      <c r="L750" s="1">
        <v>524.96</v>
      </c>
      <c r="M750" s="1">
        <f>Europe_Sales_Records[[#This Row],[Unit Price]]-Europe_Sales_Records[[#This Row],[Unit Cost]]</f>
        <v>126.25</v>
      </c>
      <c r="N750" s="1">
        <v>5807490.7800000003</v>
      </c>
      <c r="O750" s="6">
        <v>4681593.28</v>
      </c>
      <c r="P750" s="1">
        <v>1125897.5</v>
      </c>
    </row>
    <row r="751" spans="1:16" x14ac:dyDescent="0.3">
      <c r="A751" s="1" t="s">
        <v>14</v>
      </c>
      <c r="B751" s="1" t="s">
        <v>150</v>
      </c>
      <c r="C751" s="1" t="s">
        <v>16</v>
      </c>
      <c r="D751" s="1" t="s">
        <v>22</v>
      </c>
      <c r="E751" s="1" t="s">
        <v>45</v>
      </c>
      <c r="F751" s="7">
        <v>42074</v>
      </c>
      <c r="G751" s="1" t="s">
        <v>830</v>
      </c>
      <c r="H751" s="7">
        <v>42111</v>
      </c>
      <c r="I751" s="1">
        <f>Europe_Sales_Records[[#This Row],[Ship Date]]-Europe_Sales_Records[[#This Row],[Order Date]]</f>
        <v>37</v>
      </c>
      <c r="J751" s="1">
        <v>1545</v>
      </c>
      <c r="K751" s="1">
        <v>47.45</v>
      </c>
      <c r="L751" s="1">
        <v>31.79</v>
      </c>
      <c r="M751" s="1">
        <f>Europe_Sales_Records[[#This Row],[Unit Price]]-Europe_Sales_Records[[#This Row],[Unit Cost]]</f>
        <v>15.660000000000004</v>
      </c>
      <c r="N751" s="1">
        <v>73310.25</v>
      </c>
      <c r="O751" s="6">
        <v>49115.55</v>
      </c>
      <c r="P751" s="1">
        <v>24194.7</v>
      </c>
    </row>
    <row r="752" spans="1:16" x14ac:dyDescent="0.3">
      <c r="A752" s="1" t="s">
        <v>14</v>
      </c>
      <c r="B752" s="1" t="s">
        <v>71</v>
      </c>
      <c r="C752" s="1" t="s">
        <v>39</v>
      </c>
      <c r="D752" s="1" t="s">
        <v>17</v>
      </c>
      <c r="E752" s="1" t="s">
        <v>30</v>
      </c>
      <c r="F752" s="7">
        <v>40875</v>
      </c>
      <c r="G752" s="1" t="s">
        <v>831</v>
      </c>
      <c r="H752" s="7">
        <v>40887</v>
      </c>
      <c r="I752" s="1">
        <f>Europe_Sales_Records[[#This Row],[Ship Date]]-Europe_Sales_Records[[#This Row],[Order Date]]</f>
        <v>12</v>
      </c>
      <c r="J752" s="1">
        <v>192</v>
      </c>
      <c r="K752" s="1">
        <v>154.06</v>
      </c>
      <c r="L752" s="1">
        <v>90.93</v>
      </c>
      <c r="M752" s="1">
        <f>Europe_Sales_Records[[#This Row],[Unit Price]]-Europe_Sales_Records[[#This Row],[Unit Cost]]</f>
        <v>63.129999999999995</v>
      </c>
      <c r="N752" s="1">
        <v>29579.52</v>
      </c>
      <c r="O752" s="6">
        <v>17458.560000000001</v>
      </c>
      <c r="P752" s="1">
        <v>12120.96</v>
      </c>
    </row>
    <row r="753" spans="1:16" x14ac:dyDescent="0.3">
      <c r="A753" s="1" t="s">
        <v>14</v>
      </c>
      <c r="B753" s="1" t="s">
        <v>127</v>
      </c>
      <c r="C753" s="1" t="s">
        <v>16</v>
      </c>
      <c r="D753" s="1" t="s">
        <v>17</v>
      </c>
      <c r="E753" s="1" t="s">
        <v>30</v>
      </c>
      <c r="F753" s="7">
        <v>42921</v>
      </c>
      <c r="G753" s="1" t="s">
        <v>832</v>
      </c>
      <c r="H753" s="7">
        <v>42961</v>
      </c>
      <c r="I753" s="1">
        <f>Europe_Sales_Records[[#This Row],[Ship Date]]-Europe_Sales_Records[[#This Row],[Order Date]]</f>
        <v>40</v>
      </c>
      <c r="J753" s="1">
        <v>5745</v>
      </c>
      <c r="K753" s="1">
        <v>47.45</v>
      </c>
      <c r="L753" s="1">
        <v>31.79</v>
      </c>
      <c r="M753" s="1">
        <f>Europe_Sales_Records[[#This Row],[Unit Price]]-Europe_Sales_Records[[#This Row],[Unit Cost]]</f>
        <v>15.660000000000004</v>
      </c>
      <c r="N753" s="1">
        <v>272600.25</v>
      </c>
      <c r="O753" s="6">
        <v>182633.55</v>
      </c>
      <c r="P753" s="1">
        <v>89966.7</v>
      </c>
    </row>
    <row r="754" spans="1:16" x14ac:dyDescent="0.3">
      <c r="A754" s="1" t="s">
        <v>14</v>
      </c>
      <c r="B754" s="1" t="s">
        <v>50</v>
      </c>
      <c r="C754" s="1" t="s">
        <v>57</v>
      </c>
      <c r="D754" s="1" t="s">
        <v>22</v>
      </c>
      <c r="E754" s="1" t="s">
        <v>18</v>
      </c>
      <c r="F754" s="7">
        <v>41863</v>
      </c>
      <c r="G754" s="1" t="s">
        <v>833</v>
      </c>
      <c r="H754" s="7">
        <v>41876</v>
      </c>
      <c r="I754" s="1">
        <f>Europe_Sales_Records[[#This Row],[Ship Date]]-Europe_Sales_Records[[#This Row],[Order Date]]</f>
        <v>13</v>
      </c>
      <c r="J754" s="1">
        <v>611</v>
      </c>
      <c r="K754" s="1">
        <v>668.27</v>
      </c>
      <c r="L754" s="1">
        <v>502.54</v>
      </c>
      <c r="M754" s="1">
        <f>Europe_Sales_Records[[#This Row],[Unit Price]]-Europe_Sales_Records[[#This Row],[Unit Cost]]</f>
        <v>165.72999999999996</v>
      </c>
      <c r="N754" s="1">
        <v>408312.97</v>
      </c>
      <c r="O754" s="6">
        <v>307051.94</v>
      </c>
      <c r="P754" s="1">
        <v>101261.03</v>
      </c>
    </row>
    <row r="755" spans="1:16" x14ac:dyDescent="0.3">
      <c r="A755" s="1" t="s">
        <v>14</v>
      </c>
      <c r="B755" s="1" t="s">
        <v>81</v>
      </c>
      <c r="C755" s="1" t="s">
        <v>52</v>
      </c>
      <c r="D755" s="1" t="s">
        <v>22</v>
      </c>
      <c r="E755" s="1" t="s">
        <v>23</v>
      </c>
      <c r="F755" s="7">
        <v>40196</v>
      </c>
      <c r="G755" s="1" t="s">
        <v>834</v>
      </c>
      <c r="H755" s="7">
        <v>40227</v>
      </c>
      <c r="I755" s="1">
        <f>Europe_Sales_Records[[#This Row],[Ship Date]]-Europe_Sales_Records[[#This Row],[Order Date]]</f>
        <v>31</v>
      </c>
      <c r="J755" s="1">
        <v>649</v>
      </c>
      <c r="K755" s="1">
        <v>255.28</v>
      </c>
      <c r="L755" s="1">
        <v>159.41999999999999</v>
      </c>
      <c r="M755" s="1">
        <f>Europe_Sales_Records[[#This Row],[Unit Price]]-Europe_Sales_Records[[#This Row],[Unit Cost]]</f>
        <v>95.860000000000014</v>
      </c>
      <c r="N755" s="1">
        <v>165676.72</v>
      </c>
      <c r="O755" s="6">
        <v>103463.58</v>
      </c>
      <c r="P755" s="1">
        <v>62213.14</v>
      </c>
    </row>
    <row r="756" spans="1:16" x14ac:dyDescent="0.3">
      <c r="A756" s="1" t="s">
        <v>14</v>
      </c>
      <c r="B756" s="1" t="s">
        <v>101</v>
      </c>
      <c r="C756" s="1" t="s">
        <v>16</v>
      </c>
      <c r="D756" s="1" t="s">
        <v>17</v>
      </c>
      <c r="E756" s="1" t="s">
        <v>45</v>
      </c>
      <c r="F756" s="7">
        <v>42190</v>
      </c>
      <c r="G756" s="1" t="s">
        <v>835</v>
      </c>
      <c r="H756" s="7">
        <v>42206</v>
      </c>
      <c r="I756" s="1">
        <f>Europe_Sales_Records[[#This Row],[Ship Date]]-Europe_Sales_Records[[#This Row],[Order Date]]</f>
        <v>16</v>
      </c>
      <c r="J756" s="1">
        <v>5919</v>
      </c>
      <c r="K756" s="1">
        <v>47.45</v>
      </c>
      <c r="L756" s="1">
        <v>31.79</v>
      </c>
      <c r="M756" s="1">
        <f>Europe_Sales_Records[[#This Row],[Unit Price]]-Europe_Sales_Records[[#This Row],[Unit Cost]]</f>
        <v>15.660000000000004</v>
      </c>
      <c r="N756" s="1">
        <v>280856.55</v>
      </c>
      <c r="O756" s="6">
        <v>188165.01</v>
      </c>
      <c r="P756" s="1">
        <v>92691.54</v>
      </c>
    </row>
    <row r="757" spans="1:16" x14ac:dyDescent="0.3">
      <c r="A757" s="1" t="s">
        <v>14</v>
      </c>
      <c r="B757" s="1" t="s">
        <v>129</v>
      </c>
      <c r="C757" s="1" t="s">
        <v>39</v>
      </c>
      <c r="D757" s="1" t="s">
        <v>17</v>
      </c>
      <c r="E757" s="1" t="s">
        <v>30</v>
      </c>
      <c r="F757" s="7">
        <v>40551</v>
      </c>
      <c r="G757" s="1" t="s">
        <v>836</v>
      </c>
      <c r="H757" s="7">
        <v>40555</v>
      </c>
      <c r="I757" s="1">
        <f>Europe_Sales_Records[[#This Row],[Ship Date]]-Europe_Sales_Records[[#This Row],[Order Date]]</f>
        <v>4</v>
      </c>
      <c r="J757" s="1">
        <v>4046</v>
      </c>
      <c r="K757" s="1">
        <v>154.06</v>
      </c>
      <c r="L757" s="1">
        <v>90.93</v>
      </c>
      <c r="M757" s="1">
        <f>Europe_Sales_Records[[#This Row],[Unit Price]]-Europe_Sales_Records[[#This Row],[Unit Cost]]</f>
        <v>63.129999999999995</v>
      </c>
      <c r="N757" s="1">
        <v>623326.76</v>
      </c>
      <c r="O757" s="6">
        <v>367902.78</v>
      </c>
      <c r="P757" s="1">
        <v>255423.98</v>
      </c>
    </row>
    <row r="758" spans="1:16" x14ac:dyDescent="0.3">
      <c r="A758" s="1" t="s">
        <v>14</v>
      </c>
      <c r="B758" s="1" t="s">
        <v>75</v>
      </c>
      <c r="C758" s="1" t="s">
        <v>60</v>
      </c>
      <c r="D758" s="1" t="s">
        <v>22</v>
      </c>
      <c r="E758" s="1" t="s">
        <v>45</v>
      </c>
      <c r="F758" s="7">
        <v>41576</v>
      </c>
      <c r="G758" s="1" t="s">
        <v>837</v>
      </c>
      <c r="H758" s="7">
        <v>41585</v>
      </c>
      <c r="I758" s="1">
        <f>Europe_Sales_Records[[#This Row],[Ship Date]]-Europe_Sales_Records[[#This Row],[Order Date]]</f>
        <v>9</v>
      </c>
      <c r="J758" s="1">
        <v>7623</v>
      </c>
      <c r="K758" s="1">
        <v>437.2</v>
      </c>
      <c r="L758" s="1">
        <v>263.33</v>
      </c>
      <c r="M758" s="1">
        <f>Europe_Sales_Records[[#This Row],[Unit Price]]-Europe_Sales_Records[[#This Row],[Unit Cost]]</f>
        <v>173.87</v>
      </c>
      <c r="N758" s="1">
        <v>3332775.6</v>
      </c>
      <c r="O758" s="6">
        <v>2007364.59</v>
      </c>
      <c r="P758" s="1">
        <v>1325411.01</v>
      </c>
    </row>
    <row r="759" spans="1:16" x14ac:dyDescent="0.3">
      <c r="A759" s="1" t="s">
        <v>14</v>
      </c>
      <c r="B759" s="1" t="s">
        <v>81</v>
      </c>
      <c r="C759" s="1" t="s">
        <v>48</v>
      </c>
      <c r="D759" s="1" t="s">
        <v>17</v>
      </c>
      <c r="E759" s="1" t="s">
        <v>45</v>
      </c>
      <c r="F759" s="7">
        <v>42212</v>
      </c>
      <c r="G759" s="1" t="s">
        <v>838</v>
      </c>
      <c r="H759" s="7">
        <v>42227</v>
      </c>
      <c r="I759" s="1">
        <f>Europe_Sales_Records[[#This Row],[Ship Date]]-Europe_Sales_Records[[#This Row],[Order Date]]</f>
        <v>15</v>
      </c>
      <c r="J759" s="1">
        <v>171</v>
      </c>
      <c r="K759" s="1">
        <v>152.58000000000001</v>
      </c>
      <c r="L759" s="1">
        <v>97.44</v>
      </c>
      <c r="M759" s="1">
        <f>Europe_Sales_Records[[#This Row],[Unit Price]]-Europe_Sales_Records[[#This Row],[Unit Cost]]</f>
        <v>55.140000000000015</v>
      </c>
      <c r="N759" s="1">
        <v>26091.18</v>
      </c>
      <c r="O759" s="6">
        <v>16662.240000000002</v>
      </c>
      <c r="P759" s="1">
        <v>9428.94</v>
      </c>
    </row>
    <row r="760" spans="1:16" x14ac:dyDescent="0.3">
      <c r="A760" s="1" t="s">
        <v>14</v>
      </c>
      <c r="B760" s="1" t="s">
        <v>63</v>
      </c>
      <c r="C760" s="1" t="s">
        <v>29</v>
      </c>
      <c r="D760" s="1" t="s">
        <v>22</v>
      </c>
      <c r="E760" s="1" t="s">
        <v>30</v>
      </c>
      <c r="F760" s="7">
        <v>42856</v>
      </c>
      <c r="G760" s="1" t="s">
        <v>839</v>
      </c>
      <c r="H760" s="7">
        <v>42883</v>
      </c>
      <c r="I760" s="1">
        <f>Europe_Sales_Records[[#This Row],[Ship Date]]-Europe_Sales_Records[[#This Row],[Order Date]]</f>
        <v>27</v>
      </c>
      <c r="J760" s="1">
        <v>6287</v>
      </c>
      <c r="K760" s="1">
        <v>651.21</v>
      </c>
      <c r="L760" s="1">
        <v>524.96</v>
      </c>
      <c r="M760" s="1">
        <f>Europe_Sales_Records[[#This Row],[Unit Price]]-Europe_Sales_Records[[#This Row],[Unit Cost]]</f>
        <v>126.25</v>
      </c>
      <c r="N760" s="1">
        <v>4094157.27</v>
      </c>
      <c r="O760" s="6">
        <v>3300423.52</v>
      </c>
      <c r="P760" s="1">
        <v>793733.75</v>
      </c>
    </row>
    <row r="761" spans="1:16" x14ac:dyDescent="0.3">
      <c r="A761" s="1" t="s">
        <v>14</v>
      </c>
      <c r="B761" s="1" t="s">
        <v>232</v>
      </c>
      <c r="C761" s="1" t="s">
        <v>39</v>
      </c>
      <c r="D761" s="1" t="s">
        <v>22</v>
      </c>
      <c r="E761" s="1" t="s">
        <v>18</v>
      </c>
      <c r="F761" s="7">
        <v>42061</v>
      </c>
      <c r="G761" s="1" t="s">
        <v>840</v>
      </c>
      <c r="H761" s="7">
        <v>42095</v>
      </c>
      <c r="I761" s="1">
        <f>Europe_Sales_Records[[#This Row],[Ship Date]]-Europe_Sales_Records[[#This Row],[Order Date]]</f>
        <v>34</v>
      </c>
      <c r="J761" s="1">
        <v>4013</v>
      </c>
      <c r="K761" s="1">
        <v>154.06</v>
      </c>
      <c r="L761" s="1">
        <v>90.93</v>
      </c>
      <c r="M761" s="1">
        <f>Europe_Sales_Records[[#This Row],[Unit Price]]-Europe_Sales_Records[[#This Row],[Unit Cost]]</f>
        <v>63.129999999999995</v>
      </c>
      <c r="N761" s="1">
        <v>618242.78</v>
      </c>
      <c r="O761" s="6">
        <v>364902.09</v>
      </c>
      <c r="P761" s="1">
        <v>253340.69</v>
      </c>
    </row>
    <row r="762" spans="1:16" x14ac:dyDescent="0.3">
      <c r="A762" s="1" t="s">
        <v>14</v>
      </c>
      <c r="B762" s="1" t="s">
        <v>15</v>
      </c>
      <c r="C762" s="1" t="s">
        <v>26</v>
      </c>
      <c r="D762" s="1" t="s">
        <v>22</v>
      </c>
      <c r="E762" s="1" t="s">
        <v>45</v>
      </c>
      <c r="F762" s="7">
        <v>41321</v>
      </c>
      <c r="G762" s="1" t="s">
        <v>841</v>
      </c>
      <c r="H762" s="7">
        <v>41365</v>
      </c>
      <c r="I762" s="1">
        <f>Europe_Sales_Records[[#This Row],[Ship Date]]-Europe_Sales_Records[[#This Row],[Order Date]]</f>
        <v>44</v>
      </c>
      <c r="J762" s="1">
        <v>6903</v>
      </c>
      <c r="K762" s="1">
        <v>205.7</v>
      </c>
      <c r="L762" s="1">
        <v>117.11</v>
      </c>
      <c r="M762" s="1">
        <f>Europe_Sales_Records[[#This Row],[Unit Price]]-Europe_Sales_Records[[#This Row],[Unit Cost]]</f>
        <v>88.589999999999989</v>
      </c>
      <c r="N762" s="1">
        <v>1419947.1</v>
      </c>
      <c r="O762" s="6">
        <v>808410.33</v>
      </c>
      <c r="P762" s="1">
        <v>611536.77</v>
      </c>
    </row>
    <row r="763" spans="1:16" x14ac:dyDescent="0.3">
      <c r="A763" s="1" t="s">
        <v>14</v>
      </c>
      <c r="B763" s="1" t="s">
        <v>63</v>
      </c>
      <c r="C763" s="1" t="s">
        <v>48</v>
      </c>
      <c r="D763" s="1" t="s">
        <v>22</v>
      </c>
      <c r="E763" s="1" t="s">
        <v>23</v>
      </c>
      <c r="F763" s="7">
        <v>42812</v>
      </c>
      <c r="G763" s="1" t="s">
        <v>842</v>
      </c>
      <c r="H763" s="7">
        <v>42839</v>
      </c>
      <c r="I763" s="1">
        <f>Europe_Sales_Records[[#This Row],[Ship Date]]-Europe_Sales_Records[[#This Row],[Order Date]]</f>
        <v>27</v>
      </c>
      <c r="J763" s="1">
        <v>9640</v>
      </c>
      <c r="K763" s="1">
        <v>152.58000000000001</v>
      </c>
      <c r="L763" s="1">
        <v>97.44</v>
      </c>
      <c r="M763" s="1">
        <f>Europe_Sales_Records[[#This Row],[Unit Price]]-Europe_Sales_Records[[#This Row],[Unit Cost]]</f>
        <v>55.140000000000015</v>
      </c>
      <c r="N763" s="1">
        <v>1470871.2</v>
      </c>
      <c r="O763" s="6">
        <v>939321.6</v>
      </c>
      <c r="P763" s="1">
        <v>531549.6</v>
      </c>
    </row>
    <row r="764" spans="1:16" x14ac:dyDescent="0.3">
      <c r="A764" s="1" t="s">
        <v>14</v>
      </c>
      <c r="B764" s="1" t="s">
        <v>54</v>
      </c>
      <c r="C764" s="1" t="s">
        <v>16</v>
      </c>
      <c r="D764" s="1" t="s">
        <v>17</v>
      </c>
      <c r="E764" s="1" t="s">
        <v>23</v>
      </c>
      <c r="F764" s="7">
        <v>42304</v>
      </c>
      <c r="G764" s="1" t="s">
        <v>843</v>
      </c>
      <c r="H764" s="7">
        <v>42347</v>
      </c>
      <c r="I764" s="1">
        <f>Europe_Sales_Records[[#This Row],[Ship Date]]-Europe_Sales_Records[[#This Row],[Order Date]]</f>
        <v>43</v>
      </c>
      <c r="J764" s="1">
        <v>3134</v>
      </c>
      <c r="K764" s="1">
        <v>47.45</v>
      </c>
      <c r="L764" s="1">
        <v>31.79</v>
      </c>
      <c r="M764" s="1">
        <f>Europe_Sales_Records[[#This Row],[Unit Price]]-Europe_Sales_Records[[#This Row],[Unit Cost]]</f>
        <v>15.660000000000004</v>
      </c>
      <c r="N764" s="1">
        <v>148708.29999999999</v>
      </c>
      <c r="O764" s="6">
        <v>99629.86</v>
      </c>
      <c r="P764" s="1">
        <v>49078.44</v>
      </c>
    </row>
    <row r="765" spans="1:16" x14ac:dyDescent="0.3">
      <c r="A765" s="1" t="s">
        <v>14</v>
      </c>
      <c r="B765" s="1" t="s">
        <v>65</v>
      </c>
      <c r="C765" s="1" t="s">
        <v>48</v>
      </c>
      <c r="D765" s="1" t="s">
        <v>17</v>
      </c>
      <c r="E765" s="1" t="s">
        <v>23</v>
      </c>
      <c r="F765" s="7">
        <v>41869</v>
      </c>
      <c r="G765" s="1" t="s">
        <v>844</v>
      </c>
      <c r="H765" s="7">
        <v>41908</v>
      </c>
      <c r="I765" s="1">
        <f>Europe_Sales_Records[[#This Row],[Ship Date]]-Europe_Sales_Records[[#This Row],[Order Date]]</f>
        <v>39</v>
      </c>
      <c r="J765" s="1">
        <v>4869</v>
      </c>
      <c r="K765" s="1">
        <v>152.58000000000001</v>
      </c>
      <c r="L765" s="1">
        <v>97.44</v>
      </c>
      <c r="M765" s="1">
        <f>Europe_Sales_Records[[#This Row],[Unit Price]]-Europe_Sales_Records[[#This Row],[Unit Cost]]</f>
        <v>55.140000000000015</v>
      </c>
      <c r="N765" s="1">
        <v>742912.02</v>
      </c>
      <c r="O765" s="6">
        <v>474435.36</v>
      </c>
      <c r="P765" s="1">
        <v>268476.65999999997</v>
      </c>
    </row>
    <row r="766" spans="1:16" x14ac:dyDescent="0.3">
      <c r="A766" s="1" t="s">
        <v>14</v>
      </c>
      <c r="B766" s="1" t="s">
        <v>63</v>
      </c>
      <c r="C766" s="1" t="s">
        <v>29</v>
      </c>
      <c r="D766" s="1" t="s">
        <v>22</v>
      </c>
      <c r="E766" s="1" t="s">
        <v>30</v>
      </c>
      <c r="F766" s="7">
        <v>41441</v>
      </c>
      <c r="G766" s="1" t="s">
        <v>845</v>
      </c>
      <c r="H766" s="7">
        <v>41445</v>
      </c>
      <c r="I766" s="1">
        <f>Europe_Sales_Records[[#This Row],[Ship Date]]-Europe_Sales_Records[[#This Row],[Order Date]]</f>
        <v>4</v>
      </c>
      <c r="J766" s="1">
        <v>520</v>
      </c>
      <c r="K766" s="1">
        <v>651.21</v>
      </c>
      <c r="L766" s="1">
        <v>524.96</v>
      </c>
      <c r="M766" s="1">
        <f>Europe_Sales_Records[[#This Row],[Unit Price]]-Europe_Sales_Records[[#This Row],[Unit Cost]]</f>
        <v>126.25</v>
      </c>
      <c r="N766" s="1">
        <v>338629.2</v>
      </c>
      <c r="O766" s="6">
        <v>272979.20000000001</v>
      </c>
      <c r="P766" s="1">
        <v>65650</v>
      </c>
    </row>
    <row r="767" spans="1:16" x14ac:dyDescent="0.3">
      <c r="A767" s="1" t="s">
        <v>14</v>
      </c>
      <c r="B767" s="1" t="s">
        <v>65</v>
      </c>
      <c r="C767" s="1" t="s">
        <v>39</v>
      </c>
      <c r="D767" s="1" t="s">
        <v>17</v>
      </c>
      <c r="E767" s="1" t="s">
        <v>23</v>
      </c>
      <c r="F767" s="7">
        <v>40719</v>
      </c>
      <c r="G767" s="1" t="s">
        <v>846</v>
      </c>
      <c r="H767" s="7">
        <v>40727</v>
      </c>
      <c r="I767" s="1">
        <f>Europe_Sales_Records[[#This Row],[Ship Date]]-Europe_Sales_Records[[#This Row],[Order Date]]</f>
        <v>8</v>
      </c>
      <c r="J767" s="1">
        <v>3705</v>
      </c>
      <c r="K767" s="1">
        <v>154.06</v>
      </c>
      <c r="L767" s="1">
        <v>90.93</v>
      </c>
      <c r="M767" s="1">
        <f>Europe_Sales_Records[[#This Row],[Unit Price]]-Europe_Sales_Records[[#This Row],[Unit Cost]]</f>
        <v>63.129999999999995</v>
      </c>
      <c r="N767" s="1">
        <v>570792.30000000005</v>
      </c>
      <c r="O767" s="6">
        <v>336895.65</v>
      </c>
      <c r="P767" s="1">
        <v>233896.65</v>
      </c>
    </row>
    <row r="768" spans="1:16" x14ac:dyDescent="0.3">
      <c r="A768" s="1" t="s">
        <v>14</v>
      </c>
      <c r="B768" s="1" t="s">
        <v>77</v>
      </c>
      <c r="C768" s="1" t="s">
        <v>33</v>
      </c>
      <c r="D768" s="1" t="s">
        <v>22</v>
      </c>
      <c r="E768" s="1" t="s">
        <v>18</v>
      </c>
      <c r="F768" s="7">
        <v>42695</v>
      </c>
      <c r="G768" s="1" t="s">
        <v>847</v>
      </c>
      <c r="H768" s="7">
        <v>42722</v>
      </c>
      <c r="I768" s="1">
        <f>Europe_Sales_Records[[#This Row],[Ship Date]]-Europe_Sales_Records[[#This Row],[Order Date]]</f>
        <v>27</v>
      </c>
      <c r="J768" s="1">
        <v>8115</v>
      </c>
      <c r="K768" s="1">
        <v>9.33</v>
      </c>
      <c r="L768" s="1">
        <v>6.92</v>
      </c>
      <c r="M768" s="1">
        <f>Europe_Sales_Records[[#This Row],[Unit Price]]-Europe_Sales_Records[[#This Row],[Unit Cost]]</f>
        <v>2.41</v>
      </c>
      <c r="N768" s="1">
        <v>75712.95</v>
      </c>
      <c r="O768" s="6">
        <v>56155.8</v>
      </c>
      <c r="P768" s="1">
        <v>19557.150000000001</v>
      </c>
    </row>
    <row r="769" spans="1:16" x14ac:dyDescent="0.3">
      <c r="A769" s="1" t="s">
        <v>14</v>
      </c>
      <c r="B769" s="1" t="s">
        <v>56</v>
      </c>
      <c r="C769" s="1" t="s">
        <v>21</v>
      </c>
      <c r="D769" s="1" t="s">
        <v>17</v>
      </c>
      <c r="E769" s="1" t="s">
        <v>23</v>
      </c>
      <c r="F769" s="7">
        <v>41767</v>
      </c>
      <c r="G769" s="1" t="s">
        <v>848</v>
      </c>
      <c r="H769" s="7">
        <v>41813</v>
      </c>
      <c r="I769" s="1">
        <f>Europe_Sales_Records[[#This Row],[Ship Date]]-Europe_Sales_Records[[#This Row],[Order Date]]</f>
        <v>46</v>
      </c>
      <c r="J769" s="1">
        <v>9186</v>
      </c>
      <c r="K769" s="1">
        <v>109.28</v>
      </c>
      <c r="L769" s="1">
        <v>35.840000000000003</v>
      </c>
      <c r="M769" s="1">
        <f>Europe_Sales_Records[[#This Row],[Unit Price]]-Europe_Sales_Records[[#This Row],[Unit Cost]]</f>
        <v>73.44</v>
      </c>
      <c r="N769" s="1">
        <v>1003846.08</v>
      </c>
      <c r="O769" s="6">
        <v>329226.23999999999</v>
      </c>
      <c r="P769" s="1">
        <v>674619.84</v>
      </c>
    </row>
    <row r="770" spans="1:16" x14ac:dyDescent="0.3">
      <c r="A770" s="1" t="s">
        <v>14</v>
      </c>
      <c r="B770" s="1" t="s">
        <v>28</v>
      </c>
      <c r="C770" s="1" t="s">
        <v>42</v>
      </c>
      <c r="D770" s="1" t="s">
        <v>17</v>
      </c>
      <c r="E770" s="1" t="s">
        <v>45</v>
      </c>
      <c r="F770" s="7">
        <v>41006</v>
      </c>
      <c r="G770" s="1" t="s">
        <v>849</v>
      </c>
      <c r="H770" s="7">
        <v>41033</v>
      </c>
      <c r="I770" s="1">
        <f>Europe_Sales_Records[[#This Row],[Ship Date]]-Europe_Sales_Records[[#This Row],[Order Date]]</f>
        <v>27</v>
      </c>
      <c r="J770" s="1">
        <v>6473</v>
      </c>
      <c r="K770" s="1">
        <v>421.89</v>
      </c>
      <c r="L770" s="1">
        <v>364.69</v>
      </c>
      <c r="M770" s="1">
        <f>Europe_Sales_Records[[#This Row],[Unit Price]]-Europe_Sales_Records[[#This Row],[Unit Cost]]</f>
        <v>57.199999999999989</v>
      </c>
      <c r="N770" s="1">
        <v>2730893.97</v>
      </c>
      <c r="O770" s="6">
        <v>2360638.37</v>
      </c>
      <c r="P770" s="1">
        <v>370255.6</v>
      </c>
    </row>
    <row r="771" spans="1:16" x14ac:dyDescent="0.3">
      <c r="A771" s="1" t="s">
        <v>14</v>
      </c>
      <c r="B771" s="1" t="s">
        <v>44</v>
      </c>
      <c r="C771" s="1" t="s">
        <v>29</v>
      </c>
      <c r="D771" s="1" t="s">
        <v>17</v>
      </c>
      <c r="E771" s="1" t="s">
        <v>30</v>
      </c>
      <c r="F771" s="7">
        <v>42842</v>
      </c>
      <c r="G771" s="1" t="s">
        <v>850</v>
      </c>
      <c r="H771" s="7">
        <v>42856</v>
      </c>
      <c r="I771" s="1">
        <f>Europe_Sales_Records[[#This Row],[Ship Date]]-Europe_Sales_Records[[#This Row],[Order Date]]</f>
        <v>14</v>
      </c>
      <c r="J771" s="1">
        <v>4529</v>
      </c>
      <c r="K771" s="1">
        <v>651.21</v>
      </c>
      <c r="L771" s="1">
        <v>524.96</v>
      </c>
      <c r="M771" s="1">
        <f>Europe_Sales_Records[[#This Row],[Unit Price]]-Europe_Sales_Records[[#This Row],[Unit Cost]]</f>
        <v>126.25</v>
      </c>
      <c r="N771" s="1">
        <v>2949330.09</v>
      </c>
      <c r="O771" s="6">
        <v>2377543.84</v>
      </c>
      <c r="P771" s="1">
        <v>571786.25</v>
      </c>
    </row>
    <row r="772" spans="1:16" x14ac:dyDescent="0.3">
      <c r="A772" s="1" t="s">
        <v>14</v>
      </c>
      <c r="B772" s="1" t="s">
        <v>129</v>
      </c>
      <c r="C772" s="1" t="s">
        <v>57</v>
      </c>
      <c r="D772" s="1" t="s">
        <v>17</v>
      </c>
      <c r="E772" s="1" t="s">
        <v>23</v>
      </c>
      <c r="F772" s="7">
        <v>40931</v>
      </c>
      <c r="G772" s="1" t="s">
        <v>851</v>
      </c>
      <c r="H772" s="7">
        <v>40950</v>
      </c>
      <c r="I772" s="1">
        <f>Europe_Sales_Records[[#This Row],[Ship Date]]-Europe_Sales_Records[[#This Row],[Order Date]]</f>
        <v>19</v>
      </c>
      <c r="J772" s="1">
        <v>9146</v>
      </c>
      <c r="K772" s="1">
        <v>668.27</v>
      </c>
      <c r="L772" s="1">
        <v>502.54</v>
      </c>
      <c r="M772" s="1">
        <f>Europe_Sales_Records[[#This Row],[Unit Price]]-Europe_Sales_Records[[#This Row],[Unit Cost]]</f>
        <v>165.72999999999996</v>
      </c>
      <c r="N772" s="1">
        <v>6111997.4199999999</v>
      </c>
      <c r="O772" s="6">
        <v>4596230.84</v>
      </c>
      <c r="P772" s="1">
        <v>1515766.58</v>
      </c>
    </row>
    <row r="773" spans="1:16" x14ac:dyDescent="0.3">
      <c r="A773" s="1" t="s">
        <v>14</v>
      </c>
      <c r="B773" s="1" t="s">
        <v>35</v>
      </c>
      <c r="C773" s="1" t="s">
        <v>21</v>
      </c>
      <c r="D773" s="1" t="s">
        <v>22</v>
      </c>
      <c r="E773" s="1" t="s">
        <v>18</v>
      </c>
      <c r="F773" s="7">
        <v>41707</v>
      </c>
      <c r="G773" s="1" t="s">
        <v>852</v>
      </c>
      <c r="H773" s="7">
        <v>41707</v>
      </c>
      <c r="I773" s="1">
        <f>Europe_Sales_Records[[#This Row],[Ship Date]]-Europe_Sales_Records[[#This Row],[Order Date]]</f>
        <v>0</v>
      </c>
      <c r="J773" s="1">
        <v>9053</v>
      </c>
      <c r="K773" s="1">
        <v>109.28</v>
      </c>
      <c r="L773" s="1">
        <v>35.840000000000003</v>
      </c>
      <c r="M773" s="1">
        <f>Europe_Sales_Records[[#This Row],[Unit Price]]-Europe_Sales_Records[[#This Row],[Unit Cost]]</f>
        <v>73.44</v>
      </c>
      <c r="N773" s="1">
        <v>989311.84</v>
      </c>
      <c r="O773" s="6">
        <v>324459.52000000002</v>
      </c>
      <c r="P773" s="1">
        <v>664852.31999999995</v>
      </c>
    </row>
    <row r="774" spans="1:16" x14ac:dyDescent="0.3">
      <c r="A774" s="1" t="s">
        <v>14</v>
      </c>
      <c r="B774" s="1" t="s">
        <v>219</v>
      </c>
      <c r="C774" s="1" t="s">
        <v>42</v>
      </c>
      <c r="D774" s="1" t="s">
        <v>17</v>
      </c>
      <c r="E774" s="1" t="s">
        <v>30</v>
      </c>
      <c r="F774" s="7">
        <v>41143</v>
      </c>
      <c r="G774" s="1" t="s">
        <v>853</v>
      </c>
      <c r="H774" s="7">
        <v>41185</v>
      </c>
      <c r="I774" s="1">
        <f>Europe_Sales_Records[[#This Row],[Ship Date]]-Europe_Sales_Records[[#This Row],[Order Date]]</f>
        <v>42</v>
      </c>
      <c r="J774" s="1">
        <v>2089</v>
      </c>
      <c r="K774" s="1">
        <v>421.89</v>
      </c>
      <c r="L774" s="1">
        <v>364.69</v>
      </c>
      <c r="M774" s="1">
        <f>Europe_Sales_Records[[#This Row],[Unit Price]]-Europe_Sales_Records[[#This Row],[Unit Cost]]</f>
        <v>57.199999999999989</v>
      </c>
      <c r="N774" s="1">
        <v>881328.21</v>
      </c>
      <c r="O774" s="6">
        <v>761837.41</v>
      </c>
      <c r="P774" s="1">
        <v>119490.8</v>
      </c>
    </row>
    <row r="775" spans="1:16" x14ac:dyDescent="0.3">
      <c r="A775" s="1" t="s">
        <v>14</v>
      </c>
      <c r="B775" s="1" t="s">
        <v>101</v>
      </c>
      <c r="C775" s="1" t="s">
        <v>42</v>
      </c>
      <c r="D775" s="1" t="s">
        <v>17</v>
      </c>
      <c r="E775" s="1" t="s">
        <v>18</v>
      </c>
      <c r="F775" s="7">
        <v>41826</v>
      </c>
      <c r="G775" s="1" t="s">
        <v>854</v>
      </c>
      <c r="H775" s="7">
        <v>41856</v>
      </c>
      <c r="I775" s="1">
        <f>Europe_Sales_Records[[#This Row],[Ship Date]]-Europe_Sales_Records[[#This Row],[Order Date]]</f>
        <v>30</v>
      </c>
      <c r="J775" s="1">
        <v>6380</v>
      </c>
      <c r="K775" s="1">
        <v>421.89</v>
      </c>
      <c r="L775" s="1">
        <v>364.69</v>
      </c>
      <c r="M775" s="1">
        <f>Europe_Sales_Records[[#This Row],[Unit Price]]-Europe_Sales_Records[[#This Row],[Unit Cost]]</f>
        <v>57.199999999999989</v>
      </c>
      <c r="N775" s="1">
        <v>2691658.2</v>
      </c>
      <c r="O775" s="6">
        <v>2326722.2000000002</v>
      </c>
      <c r="P775" s="1">
        <v>364936</v>
      </c>
    </row>
    <row r="776" spans="1:16" x14ac:dyDescent="0.3">
      <c r="A776" s="1" t="s">
        <v>14</v>
      </c>
      <c r="B776" s="1" t="s">
        <v>152</v>
      </c>
      <c r="C776" s="1" t="s">
        <v>52</v>
      </c>
      <c r="D776" s="1" t="s">
        <v>17</v>
      </c>
      <c r="E776" s="1" t="s">
        <v>23</v>
      </c>
      <c r="F776" s="7">
        <v>41856</v>
      </c>
      <c r="G776" s="1" t="s">
        <v>855</v>
      </c>
      <c r="H776" s="7">
        <v>41884</v>
      </c>
      <c r="I776" s="1">
        <f>Europe_Sales_Records[[#This Row],[Ship Date]]-Europe_Sales_Records[[#This Row],[Order Date]]</f>
        <v>28</v>
      </c>
      <c r="J776" s="1">
        <v>6552</v>
      </c>
      <c r="K776" s="1">
        <v>255.28</v>
      </c>
      <c r="L776" s="1">
        <v>159.41999999999999</v>
      </c>
      <c r="M776" s="1">
        <f>Europe_Sales_Records[[#This Row],[Unit Price]]-Europe_Sales_Records[[#This Row],[Unit Cost]]</f>
        <v>95.860000000000014</v>
      </c>
      <c r="N776" s="1">
        <v>1672594.56</v>
      </c>
      <c r="O776" s="6">
        <v>1044519.84</v>
      </c>
      <c r="P776" s="1">
        <v>628074.72</v>
      </c>
    </row>
    <row r="777" spans="1:16" x14ac:dyDescent="0.3">
      <c r="A777" s="1" t="s">
        <v>14</v>
      </c>
      <c r="B777" s="1" t="s">
        <v>20</v>
      </c>
      <c r="C777" s="1" t="s">
        <v>42</v>
      </c>
      <c r="D777" s="1" t="s">
        <v>17</v>
      </c>
      <c r="E777" s="1" t="s">
        <v>18</v>
      </c>
      <c r="F777" s="7">
        <v>42347</v>
      </c>
      <c r="G777" s="1" t="s">
        <v>856</v>
      </c>
      <c r="H777" s="7">
        <v>42380</v>
      </c>
      <c r="I777" s="1">
        <f>Europe_Sales_Records[[#This Row],[Ship Date]]-Europe_Sales_Records[[#This Row],[Order Date]]</f>
        <v>33</v>
      </c>
      <c r="J777" s="1">
        <v>8342</v>
      </c>
      <c r="K777" s="1">
        <v>421.89</v>
      </c>
      <c r="L777" s="1">
        <v>364.69</v>
      </c>
      <c r="M777" s="1">
        <f>Europe_Sales_Records[[#This Row],[Unit Price]]-Europe_Sales_Records[[#This Row],[Unit Cost]]</f>
        <v>57.199999999999989</v>
      </c>
      <c r="N777" s="1">
        <v>3519406.38</v>
      </c>
      <c r="O777" s="6">
        <v>3042243.98</v>
      </c>
      <c r="P777" s="1">
        <v>477162.4</v>
      </c>
    </row>
    <row r="778" spans="1:16" x14ac:dyDescent="0.3">
      <c r="A778" s="1" t="s">
        <v>14</v>
      </c>
      <c r="B778" s="1" t="s">
        <v>41</v>
      </c>
      <c r="C778" s="1" t="s">
        <v>79</v>
      </c>
      <c r="D778" s="1" t="s">
        <v>17</v>
      </c>
      <c r="E778" s="1" t="s">
        <v>23</v>
      </c>
      <c r="F778" s="7">
        <v>41853</v>
      </c>
      <c r="G778" s="1" t="s">
        <v>857</v>
      </c>
      <c r="H778" s="7">
        <v>41862</v>
      </c>
      <c r="I778" s="1">
        <f>Europe_Sales_Records[[#This Row],[Ship Date]]-Europe_Sales_Records[[#This Row],[Order Date]]</f>
        <v>9</v>
      </c>
      <c r="J778" s="1">
        <v>3383</v>
      </c>
      <c r="K778" s="1">
        <v>81.73</v>
      </c>
      <c r="L778" s="1">
        <v>56.67</v>
      </c>
      <c r="M778" s="1">
        <f>Europe_Sales_Records[[#This Row],[Unit Price]]-Europe_Sales_Records[[#This Row],[Unit Cost]]</f>
        <v>25.060000000000002</v>
      </c>
      <c r="N778" s="1">
        <v>276492.59000000003</v>
      </c>
      <c r="O778" s="6">
        <v>191714.61</v>
      </c>
      <c r="P778" s="1">
        <v>84777.98</v>
      </c>
    </row>
    <row r="779" spans="1:16" x14ac:dyDescent="0.3">
      <c r="A779" s="1" t="s">
        <v>14</v>
      </c>
      <c r="B779" s="1" t="s">
        <v>157</v>
      </c>
      <c r="C779" s="1" t="s">
        <v>29</v>
      </c>
      <c r="D779" s="1" t="s">
        <v>22</v>
      </c>
      <c r="E779" s="1" t="s">
        <v>18</v>
      </c>
      <c r="F779" s="7">
        <v>41416</v>
      </c>
      <c r="G779" s="1" t="s">
        <v>858</v>
      </c>
      <c r="H779" s="7">
        <v>41431</v>
      </c>
      <c r="I779" s="1">
        <f>Europe_Sales_Records[[#This Row],[Ship Date]]-Europe_Sales_Records[[#This Row],[Order Date]]</f>
        <v>15</v>
      </c>
      <c r="J779" s="1">
        <v>4602</v>
      </c>
      <c r="K779" s="1">
        <v>651.21</v>
      </c>
      <c r="L779" s="1">
        <v>524.96</v>
      </c>
      <c r="M779" s="1">
        <f>Europe_Sales_Records[[#This Row],[Unit Price]]-Europe_Sales_Records[[#This Row],[Unit Cost]]</f>
        <v>126.25</v>
      </c>
      <c r="N779" s="1">
        <v>2996868.42</v>
      </c>
      <c r="O779" s="6">
        <v>2415865.92</v>
      </c>
      <c r="P779" s="1">
        <v>581002.5</v>
      </c>
    </row>
    <row r="780" spans="1:16" x14ac:dyDescent="0.3">
      <c r="A780" s="1" t="s">
        <v>14</v>
      </c>
      <c r="B780" s="1" t="s">
        <v>73</v>
      </c>
      <c r="C780" s="1" t="s">
        <v>39</v>
      </c>
      <c r="D780" s="1" t="s">
        <v>22</v>
      </c>
      <c r="E780" s="1" t="s">
        <v>18</v>
      </c>
      <c r="F780" s="7">
        <v>41182</v>
      </c>
      <c r="G780" s="1" t="s">
        <v>859</v>
      </c>
      <c r="H780" s="7">
        <v>41211</v>
      </c>
      <c r="I780" s="1">
        <f>Europe_Sales_Records[[#This Row],[Ship Date]]-Europe_Sales_Records[[#This Row],[Order Date]]</f>
        <v>29</v>
      </c>
      <c r="J780" s="1">
        <v>3341</v>
      </c>
      <c r="K780" s="1">
        <v>154.06</v>
      </c>
      <c r="L780" s="1">
        <v>90.93</v>
      </c>
      <c r="M780" s="1">
        <f>Europe_Sales_Records[[#This Row],[Unit Price]]-Europe_Sales_Records[[#This Row],[Unit Cost]]</f>
        <v>63.129999999999995</v>
      </c>
      <c r="N780" s="1">
        <v>514714.46</v>
      </c>
      <c r="O780" s="6">
        <v>303797.13</v>
      </c>
      <c r="P780" s="1">
        <v>210917.33</v>
      </c>
    </row>
    <row r="781" spans="1:16" x14ac:dyDescent="0.3">
      <c r="A781" s="1" t="s">
        <v>14</v>
      </c>
      <c r="B781" s="1" t="s">
        <v>180</v>
      </c>
      <c r="C781" s="1" t="s">
        <v>39</v>
      </c>
      <c r="D781" s="1" t="s">
        <v>17</v>
      </c>
      <c r="E781" s="1" t="s">
        <v>23</v>
      </c>
      <c r="F781" s="7">
        <v>40642</v>
      </c>
      <c r="G781" s="1" t="s">
        <v>860</v>
      </c>
      <c r="H781" s="7">
        <v>40686</v>
      </c>
      <c r="I781" s="1">
        <f>Europe_Sales_Records[[#This Row],[Ship Date]]-Europe_Sales_Records[[#This Row],[Order Date]]</f>
        <v>44</v>
      </c>
      <c r="J781" s="1">
        <v>8076</v>
      </c>
      <c r="K781" s="1">
        <v>154.06</v>
      </c>
      <c r="L781" s="1">
        <v>90.93</v>
      </c>
      <c r="M781" s="1">
        <f>Europe_Sales_Records[[#This Row],[Unit Price]]-Europe_Sales_Records[[#This Row],[Unit Cost]]</f>
        <v>63.129999999999995</v>
      </c>
      <c r="N781" s="1">
        <v>1244188.56</v>
      </c>
      <c r="O781" s="6">
        <v>734350.68</v>
      </c>
      <c r="P781" s="1">
        <v>509837.88</v>
      </c>
    </row>
    <row r="782" spans="1:16" x14ac:dyDescent="0.3">
      <c r="A782" s="1" t="s">
        <v>14</v>
      </c>
      <c r="B782" s="1" t="s">
        <v>50</v>
      </c>
      <c r="C782" s="1" t="s">
        <v>48</v>
      </c>
      <c r="D782" s="1" t="s">
        <v>17</v>
      </c>
      <c r="E782" s="1" t="s">
        <v>18</v>
      </c>
      <c r="F782" s="7">
        <v>42739</v>
      </c>
      <c r="G782" s="1" t="s">
        <v>861</v>
      </c>
      <c r="H782" s="7">
        <v>42752</v>
      </c>
      <c r="I782" s="1">
        <f>Europe_Sales_Records[[#This Row],[Ship Date]]-Europe_Sales_Records[[#This Row],[Order Date]]</f>
        <v>13</v>
      </c>
      <c r="J782" s="1">
        <v>2902</v>
      </c>
      <c r="K782" s="1">
        <v>152.58000000000001</v>
      </c>
      <c r="L782" s="1">
        <v>97.44</v>
      </c>
      <c r="M782" s="1">
        <f>Europe_Sales_Records[[#This Row],[Unit Price]]-Europe_Sales_Records[[#This Row],[Unit Cost]]</f>
        <v>55.140000000000015</v>
      </c>
      <c r="N782" s="1">
        <v>442787.16</v>
      </c>
      <c r="O782" s="6">
        <v>282770.88</v>
      </c>
      <c r="P782" s="1">
        <v>160016.28</v>
      </c>
    </row>
    <row r="783" spans="1:16" x14ac:dyDescent="0.3">
      <c r="A783" s="1" t="s">
        <v>14</v>
      </c>
      <c r="B783" s="1" t="s">
        <v>116</v>
      </c>
      <c r="C783" s="1" t="s">
        <v>33</v>
      </c>
      <c r="D783" s="1" t="s">
        <v>17</v>
      </c>
      <c r="E783" s="1" t="s">
        <v>45</v>
      </c>
      <c r="F783" s="7">
        <v>41682</v>
      </c>
      <c r="G783" s="1" t="s">
        <v>862</v>
      </c>
      <c r="H783" s="7">
        <v>41688</v>
      </c>
      <c r="I783" s="1">
        <f>Europe_Sales_Records[[#This Row],[Ship Date]]-Europe_Sales_Records[[#This Row],[Order Date]]</f>
        <v>6</v>
      </c>
      <c r="J783" s="1">
        <v>493</v>
      </c>
      <c r="K783" s="1">
        <v>9.33</v>
      </c>
      <c r="L783" s="1">
        <v>6.92</v>
      </c>
      <c r="M783" s="1">
        <f>Europe_Sales_Records[[#This Row],[Unit Price]]-Europe_Sales_Records[[#This Row],[Unit Cost]]</f>
        <v>2.41</v>
      </c>
      <c r="N783" s="1">
        <v>4599.6899999999996</v>
      </c>
      <c r="O783" s="6">
        <v>3411.56</v>
      </c>
      <c r="P783" s="1">
        <v>1188.1300000000001</v>
      </c>
    </row>
    <row r="784" spans="1:16" x14ac:dyDescent="0.3">
      <c r="A784" s="1" t="s">
        <v>14</v>
      </c>
      <c r="B784" s="1" t="s">
        <v>81</v>
      </c>
      <c r="C784" s="1" t="s">
        <v>42</v>
      </c>
      <c r="D784" s="1" t="s">
        <v>22</v>
      </c>
      <c r="E784" s="1" t="s">
        <v>30</v>
      </c>
      <c r="F784" s="7">
        <v>42897</v>
      </c>
      <c r="G784" s="1" t="s">
        <v>863</v>
      </c>
      <c r="H784" s="7">
        <v>42921</v>
      </c>
      <c r="I784" s="1">
        <f>Europe_Sales_Records[[#This Row],[Ship Date]]-Europe_Sales_Records[[#This Row],[Order Date]]</f>
        <v>24</v>
      </c>
      <c r="J784" s="1">
        <v>1046</v>
      </c>
      <c r="K784" s="1">
        <v>421.89</v>
      </c>
      <c r="L784" s="1">
        <v>364.69</v>
      </c>
      <c r="M784" s="1">
        <f>Europe_Sales_Records[[#This Row],[Unit Price]]-Europe_Sales_Records[[#This Row],[Unit Cost]]</f>
        <v>57.199999999999989</v>
      </c>
      <c r="N784" s="1">
        <v>441296.94</v>
      </c>
      <c r="O784" s="6">
        <v>381465.74</v>
      </c>
      <c r="P784" s="1">
        <v>59831.199999999997</v>
      </c>
    </row>
    <row r="785" spans="1:16" x14ac:dyDescent="0.3">
      <c r="A785" s="1" t="s">
        <v>14</v>
      </c>
      <c r="B785" s="1" t="s">
        <v>56</v>
      </c>
      <c r="C785" s="1" t="s">
        <v>60</v>
      </c>
      <c r="D785" s="1" t="s">
        <v>17</v>
      </c>
      <c r="E785" s="1" t="s">
        <v>45</v>
      </c>
      <c r="F785" s="7">
        <v>41885</v>
      </c>
      <c r="G785" s="1" t="s">
        <v>864</v>
      </c>
      <c r="H785" s="7">
        <v>41923</v>
      </c>
      <c r="I785" s="1">
        <f>Europe_Sales_Records[[#This Row],[Ship Date]]-Europe_Sales_Records[[#This Row],[Order Date]]</f>
        <v>38</v>
      </c>
      <c r="J785" s="1">
        <v>9357</v>
      </c>
      <c r="K785" s="1">
        <v>437.2</v>
      </c>
      <c r="L785" s="1">
        <v>263.33</v>
      </c>
      <c r="M785" s="1">
        <f>Europe_Sales_Records[[#This Row],[Unit Price]]-Europe_Sales_Records[[#This Row],[Unit Cost]]</f>
        <v>173.87</v>
      </c>
      <c r="N785" s="1">
        <v>4090880.4</v>
      </c>
      <c r="O785" s="6">
        <v>2463978.81</v>
      </c>
      <c r="P785" s="1">
        <v>1626901.59</v>
      </c>
    </row>
    <row r="786" spans="1:16" x14ac:dyDescent="0.3">
      <c r="A786" s="1" t="s">
        <v>14</v>
      </c>
      <c r="B786" s="1" t="s">
        <v>77</v>
      </c>
      <c r="C786" s="1" t="s">
        <v>16</v>
      </c>
      <c r="D786" s="1" t="s">
        <v>22</v>
      </c>
      <c r="E786" s="1" t="s">
        <v>23</v>
      </c>
      <c r="F786" s="7">
        <v>42490</v>
      </c>
      <c r="G786" s="1" t="s">
        <v>865</v>
      </c>
      <c r="H786" s="7">
        <v>42506</v>
      </c>
      <c r="I786" s="1">
        <f>Europe_Sales_Records[[#This Row],[Ship Date]]-Europe_Sales_Records[[#This Row],[Order Date]]</f>
        <v>16</v>
      </c>
      <c r="J786" s="1">
        <v>800</v>
      </c>
      <c r="K786" s="1">
        <v>47.45</v>
      </c>
      <c r="L786" s="1">
        <v>31.79</v>
      </c>
      <c r="M786" s="1">
        <f>Europe_Sales_Records[[#This Row],[Unit Price]]-Europe_Sales_Records[[#This Row],[Unit Cost]]</f>
        <v>15.660000000000004</v>
      </c>
      <c r="N786" s="1">
        <v>37960</v>
      </c>
      <c r="O786" s="6">
        <v>25432</v>
      </c>
      <c r="P786" s="1">
        <v>12528</v>
      </c>
    </row>
    <row r="787" spans="1:16" x14ac:dyDescent="0.3">
      <c r="A787" s="1" t="s">
        <v>14</v>
      </c>
      <c r="B787" s="1" t="s">
        <v>232</v>
      </c>
      <c r="C787" s="1" t="s">
        <v>21</v>
      </c>
      <c r="D787" s="1" t="s">
        <v>22</v>
      </c>
      <c r="E787" s="1" t="s">
        <v>45</v>
      </c>
      <c r="F787" s="7">
        <v>41108</v>
      </c>
      <c r="G787" s="1" t="s">
        <v>866</v>
      </c>
      <c r="H787" s="7">
        <v>41137</v>
      </c>
      <c r="I787" s="1">
        <f>Europe_Sales_Records[[#This Row],[Ship Date]]-Europe_Sales_Records[[#This Row],[Order Date]]</f>
        <v>29</v>
      </c>
      <c r="J787" s="1">
        <v>4302</v>
      </c>
      <c r="K787" s="1">
        <v>109.28</v>
      </c>
      <c r="L787" s="1">
        <v>35.840000000000003</v>
      </c>
      <c r="M787" s="1">
        <f>Europe_Sales_Records[[#This Row],[Unit Price]]-Europe_Sales_Records[[#This Row],[Unit Cost]]</f>
        <v>73.44</v>
      </c>
      <c r="N787" s="1">
        <v>470122.56</v>
      </c>
      <c r="O787" s="6">
        <v>154183.67999999999</v>
      </c>
      <c r="P787" s="1">
        <v>315938.88</v>
      </c>
    </row>
    <row r="788" spans="1:16" x14ac:dyDescent="0.3">
      <c r="A788" s="1" t="s">
        <v>14</v>
      </c>
      <c r="B788" s="1" t="s">
        <v>106</v>
      </c>
      <c r="C788" s="1" t="s">
        <v>52</v>
      </c>
      <c r="D788" s="1" t="s">
        <v>17</v>
      </c>
      <c r="E788" s="1" t="s">
        <v>18</v>
      </c>
      <c r="F788" s="7">
        <v>42895</v>
      </c>
      <c r="G788" s="1" t="s">
        <v>867</v>
      </c>
      <c r="H788" s="7">
        <v>42921</v>
      </c>
      <c r="I788" s="1">
        <f>Europe_Sales_Records[[#This Row],[Ship Date]]-Europe_Sales_Records[[#This Row],[Order Date]]</f>
        <v>26</v>
      </c>
      <c r="J788" s="1">
        <v>1534</v>
      </c>
      <c r="K788" s="1">
        <v>255.28</v>
      </c>
      <c r="L788" s="1">
        <v>159.41999999999999</v>
      </c>
      <c r="M788" s="1">
        <f>Europe_Sales_Records[[#This Row],[Unit Price]]-Europe_Sales_Records[[#This Row],[Unit Cost]]</f>
        <v>95.860000000000014</v>
      </c>
      <c r="N788" s="1">
        <v>391599.52</v>
      </c>
      <c r="O788" s="6">
        <v>244550.28</v>
      </c>
      <c r="P788" s="1">
        <v>147049.24</v>
      </c>
    </row>
    <row r="789" spans="1:16" x14ac:dyDescent="0.3">
      <c r="A789" s="1" t="s">
        <v>14</v>
      </c>
      <c r="B789" s="1" t="s">
        <v>35</v>
      </c>
      <c r="C789" s="1" t="s">
        <v>60</v>
      </c>
      <c r="D789" s="1" t="s">
        <v>17</v>
      </c>
      <c r="E789" s="1" t="s">
        <v>18</v>
      </c>
      <c r="F789" s="7">
        <v>41727</v>
      </c>
      <c r="G789" s="1" t="s">
        <v>868</v>
      </c>
      <c r="H789" s="7">
        <v>41773</v>
      </c>
      <c r="I789" s="1">
        <f>Europe_Sales_Records[[#This Row],[Ship Date]]-Europe_Sales_Records[[#This Row],[Order Date]]</f>
        <v>46</v>
      </c>
      <c r="J789" s="1">
        <v>1997</v>
      </c>
      <c r="K789" s="1">
        <v>437.2</v>
      </c>
      <c r="L789" s="1">
        <v>263.33</v>
      </c>
      <c r="M789" s="1">
        <f>Europe_Sales_Records[[#This Row],[Unit Price]]-Europe_Sales_Records[[#This Row],[Unit Cost]]</f>
        <v>173.87</v>
      </c>
      <c r="N789" s="1">
        <v>873088.4</v>
      </c>
      <c r="O789" s="6">
        <v>525870.01</v>
      </c>
      <c r="P789" s="1">
        <v>347218.39</v>
      </c>
    </row>
    <row r="790" spans="1:16" x14ac:dyDescent="0.3">
      <c r="A790" s="1" t="s">
        <v>14</v>
      </c>
      <c r="B790" s="1" t="s">
        <v>120</v>
      </c>
      <c r="C790" s="1" t="s">
        <v>79</v>
      </c>
      <c r="D790" s="1" t="s">
        <v>17</v>
      </c>
      <c r="E790" s="1" t="s">
        <v>45</v>
      </c>
      <c r="F790" s="7">
        <v>40680</v>
      </c>
      <c r="G790" s="1" t="s">
        <v>869</v>
      </c>
      <c r="H790" s="7">
        <v>40688</v>
      </c>
      <c r="I790" s="1">
        <f>Europe_Sales_Records[[#This Row],[Ship Date]]-Europe_Sales_Records[[#This Row],[Order Date]]</f>
        <v>8</v>
      </c>
      <c r="J790" s="1">
        <v>6960</v>
      </c>
      <c r="K790" s="1">
        <v>81.73</v>
      </c>
      <c r="L790" s="1">
        <v>56.67</v>
      </c>
      <c r="M790" s="1">
        <f>Europe_Sales_Records[[#This Row],[Unit Price]]-Europe_Sales_Records[[#This Row],[Unit Cost]]</f>
        <v>25.060000000000002</v>
      </c>
      <c r="N790" s="1">
        <v>568840.80000000005</v>
      </c>
      <c r="O790" s="6">
        <v>394423.2</v>
      </c>
      <c r="P790" s="1">
        <v>174417.6</v>
      </c>
    </row>
    <row r="791" spans="1:16" x14ac:dyDescent="0.3">
      <c r="A791" s="1" t="s">
        <v>14</v>
      </c>
      <c r="B791" s="1" t="s">
        <v>15</v>
      </c>
      <c r="C791" s="1" t="s">
        <v>21</v>
      </c>
      <c r="D791" s="1" t="s">
        <v>17</v>
      </c>
      <c r="E791" s="1" t="s">
        <v>30</v>
      </c>
      <c r="F791" s="7">
        <v>41142</v>
      </c>
      <c r="G791" s="1" t="s">
        <v>870</v>
      </c>
      <c r="H791" s="7">
        <v>41177</v>
      </c>
      <c r="I791" s="1">
        <f>Europe_Sales_Records[[#This Row],[Ship Date]]-Europe_Sales_Records[[#This Row],[Order Date]]</f>
        <v>35</v>
      </c>
      <c r="J791" s="1">
        <v>2942</v>
      </c>
      <c r="K791" s="1">
        <v>109.28</v>
      </c>
      <c r="L791" s="1">
        <v>35.840000000000003</v>
      </c>
      <c r="M791" s="1">
        <f>Europe_Sales_Records[[#This Row],[Unit Price]]-Europe_Sales_Records[[#This Row],[Unit Cost]]</f>
        <v>73.44</v>
      </c>
      <c r="N791" s="1">
        <v>321501.76</v>
      </c>
      <c r="O791" s="6">
        <v>105441.28</v>
      </c>
      <c r="P791" s="1">
        <v>216060.48</v>
      </c>
    </row>
    <row r="792" spans="1:16" x14ac:dyDescent="0.3">
      <c r="A792" s="1" t="s">
        <v>14</v>
      </c>
      <c r="B792" s="1" t="s">
        <v>106</v>
      </c>
      <c r="C792" s="1" t="s">
        <v>33</v>
      </c>
      <c r="D792" s="1" t="s">
        <v>22</v>
      </c>
      <c r="E792" s="1" t="s">
        <v>23</v>
      </c>
      <c r="F792" s="7">
        <v>41484</v>
      </c>
      <c r="G792" s="1" t="s">
        <v>871</v>
      </c>
      <c r="H792" s="7">
        <v>41496</v>
      </c>
      <c r="I792" s="1">
        <f>Europe_Sales_Records[[#This Row],[Ship Date]]-Europe_Sales_Records[[#This Row],[Order Date]]</f>
        <v>12</v>
      </c>
      <c r="J792" s="1">
        <v>7371</v>
      </c>
      <c r="K792" s="1">
        <v>9.33</v>
      </c>
      <c r="L792" s="1">
        <v>6.92</v>
      </c>
      <c r="M792" s="1">
        <f>Europe_Sales_Records[[#This Row],[Unit Price]]-Europe_Sales_Records[[#This Row],[Unit Cost]]</f>
        <v>2.41</v>
      </c>
      <c r="N792" s="1">
        <v>68771.429999999993</v>
      </c>
      <c r="O792" s="6">
        <v>51007.32</v>
      </c>
      <c r="P792" s="1">
        <v>17764.11</v>
      </c>
    </row>
    <row r="793" spans="1:16" x14ac:dyDescent="0.3">
      <c r="A793" s="1" t="s">
        <v>14</v>
      </c>
      <c r="B793" s="1" t="s">
        <v>81</v>
      </c>
      <c r="C793" s="1" t="s">
        <v>26</v>
      </c>
      <c r="D793" s="1" t="s">
        <v>17</v>
      </c>
      <c r="E793" s="1" t="s">
        <v>45</v>
      </c>
      <c r="F793" s="7">
        <v>40729</v>
      </c>
      <c r="G793" s="1" t="s">
        <v>872</v>
      </c>
      <c r="H793" s="7">
        <v>40761</v>
      </c>
      <c r="I793" s="1">
        <f>Europe_Sales_Records[[#This Row],[Ship Date]]-Europe_Sales_Records[[#This Row],[Order Date]]</f>
        <v>32</v>
      </c>
      <c r="J793" s="1">
        <v>567</v>
      </c>
      <c r="K793" s="1">
        <v>205.7</v>
      </c>
      <c r="L793" s="1">
        <v>117.11</v>
      </c>
      <c r="M793" s="1">
        <f>Europe_Sales_Records[[#This Row],[Unit Price]]-Europe_Sales_Records[[#This Row],[Unit Cost]]</f>
        <v>88.589999999999989</v>
      </c>
      <c r="N793" s="1">
        <v>116631.9</v>
      </c>
      <c r="O793" s="6">
        <v>66401.37</v>
      </c>
      <c r="P793" s="1">
        <v>50230.53</v>
      </c>
    </row>
    <row r="794" spans="1:16" x14ac:dyDescent="0.3">
      <c r="A794" s="1" t="s">
        <v>14</v>
      </c>
      <c r="B794" s="1" t="s">
        <v>38</v>
      </c>
      <c r="C794" s="1" t="s">
        <v>52</v>
      </c>
      <c r="D794" s="1" t="s">
        <v>22</v>
      </c>
      <c r="E794" s="1" t="s">
        <v>30</v>
      </c>
      <c r="F794" s="7">
        <v>41055</v>
      </c>
      <c r="G794" s="1" t="s">
        <v>873</v>
      </c>
      <c r="H794" s="7">
        <v>41103</v>
      </c>
      <c r="I794" s="1">
        <f>Europe_Sales_Records[[#This Row],[Ship Date]]-Europe_Sales_Records[[#This Row],[Order Date]]</f>
        <v>48</v>
      </c>
      <c r="J794" s="1">
        <v>4876</v>
      </c>
      <c r="K794" s="1">
        <v>255.28</v>
      </c>
      <c r="L794" s="1">
        <v>159.41999999999999</v>
      </c>
      <c r="M794" s="1">
        <f>Europe_Sales_Records[[#This Row],[Unit Price]]-Europe_Sales_Records[[#This Row],[Unit Cost]]</f>
        <v>95.860000000000014</v>
      </c>
      <c r="N794" s="1">
        <v>1244745.28</v>
      </c>
      <c r="O794" s="6">
        <v>777331.92</v>
      </c>
      <c r="P794" s="1">
        <v>467413.36</v>
      </c>
    </row>
    <row r="795" spans="1:16" x14ac:dyDescent="0.3">
      <c r="A795" s="1" t="s">
        <v>14</v>
      </c>
      <c r="B795" s="1" t="s">
        <v>118</v>
      </c>
      <c r="C795" s="1" t="s">
        <v>16</v>
      </c>
      <c r="D795" s="1" t="s">
        <v>22</v>
      </c>
      <c r="E795" s="1" t="s">
        <v>23</v>
      </c>
      <c r="F795" s="7">
        <v>40882</v>
      </c>
      <c r="G795" s="1" t="s">
        <v>874</v>
      </c>
      <c r="H795" s="7">
        <v>40884</v>
      </c>
      <c r="I795" s="1">
        <f>Europe_Sales_Records[[#This Row],[Ship Date]]-Europe_Sales_Records[[#This Row],[Order Date]]</f>
        <v>2</v>
      </c>
      <c r="J795" s="1">
        <v>9679</v>
      </c>
      <c r="K795" s="1">
        <v>47.45</v>
      </c>
      <c r="L795" s="1">
        <v>31.79</v>
      </c>
      <c r="M795" s="1">
        <f>Europe_Sales_Records[[#This Row],[Unit Price]]-Europe_Sales_Records[[#This Row],[Unit Cost]]</f>
        <v>15.660000000000004</v>
      </c>
      <c r="N795" s="1">
        <v>459268.55</v>
      </c>
      <c r="O795" s="6">
        <v>307695.40999999997</v>
      </c>
      <c r="P795" s="1">
        <v>151573.14000000001</v>
      </c>
    </row>
    <row r="796" spans="1:16" x14ac:dyDescent="0.3">
      <c r="A796" s="1" t="s">
        <v>14</v>
      </c>
      <c r="B796" s="1" t="s">
        <v>129</v>
      </c>
      <c r="C796" s="1" t="s">
        <v>16</v>
      </c>
      <c r="D796" s="1" t="s">
        <v>22</v>
      </c>
      <c r="E796" s="1" t="s">
        <v>23</v>
      </c>
      <c r="F796" s="7">
        <v>40688</v>
      </c>
      <c r="G796" s="1" t="s">
        <v>875</v>
      </c>
      <c r="H796" s="7">
        <v>40693</v>
      </c>
      <c r="I796" s="1">
        <f>Europe_Sales_Records[[#This Row],[Ship Date]]-Europe_Sales_Records[[#This Row],[Order Date]]</f>
        <v>5</v>
      </c>
      <c r="J796" s="1">
        <v>7523</v>
      </c>
      <c r="K796" s="1">
        <v>47.45</v>
      </c>
      <c r="L796" s="1">
        <v>31.79</v>
      </c>
      <c r="M796" s="1">
        <f>Europe_Sales_Records[[#This Row],[Unit Price]]-Europe_Sales_Records[[#This Row],[Unit Cost]]</f>
        <v>15.660000000000004</v>
      </c>
      <c r="N796" s="1">
        <v>356966.35</v>
      </c>
      <c r="O796" s="6">
        <v>239156.17</v>
      </c>
      <c r="P796" s="1">
        <v>117810.18</v>
      </c>
    </row>
    <row r="797" spans="1:16" x14ac:dyDescent="0.3">
      <c r="A797" s="1" t="s">
        <v>14</v>
      </c>
      <c r="B797" s="1" t="s">
        <v>15</v>
      </c>
      <c r="C797" s="1" t="s">
        <v>16</v>
      </c>
      <c r="D797" s="1" t="s">
        <v>22</v>
      </c>
      <c r="E797" s="1" t="s">
        <v>23</v>
      </c>
      <c r="F797" s="7">
        <v>40300</v>
      </c>
      <c r="G797" s="1" t="s">
        <v>876</v>
      </c>
      <c r="H797" s="7">
        <v>40301</v>
      </c>
      <c r="I797" s="1">
        <f>Europe_Sales_Records[[#This Row],[Ship Date]]-Europe_Sales_Records[[#This Row],[Order Date]]</f>
        <v>1</v>
      </c>
      <c r="J797" s="1">
        <v>1785</v>
      </c>
      <c r="K797" s="1">
        <v>47.45</v>
      </c>
      <c r="L797" s="1">
        <v>31.79</v>
      </c>
      <c r="M797" s="1">
        <f>Europe_Sales_Records[[#This Row],[Unit Price]]-Europe_Sales_Records[[#This Row],[Unit Cost]]</f>
        <v>15.660000000000004</v>
      </c>
      <c r="N797" s="1">
        <v>84698.25</v>
      </c>
      <c r="O797" s="6">
        <v>56745.15</v>
      </c>
      <c r="P797" s="1">
        <v>27953.1</v>
      </c>
    </row>
    <row r="798" spans="1:16" x14ac:dyDescent="0.3">
      <c r="A798" s="1" t="s">
        <v>14</v>
      </c>
      <c r="B798" s="1" t="s">
        <v>157</v>
      </c>
      <c r="C798" s="1" t="s">
        <v>16</v>
      </c>
      <c r="D798" s="1" t="s">
        <v>17</v>
      </c>
      <c r="E798" s="1" t="s">
        <v>45</v>
      </c>
      <c r="F798" s="7">
        <v>42805</v>
      </c>
      <c r="G798" s="1" t="s">
        <v>877</v>
      </c>
      <c r="H798" s="7">
        <v>42816</v>
      </c>
      <c r="I798" s="1">
        <f>Europe_Sales_Records[[#This Row],[Ship Date]]-Europe_Sales_Records[[#This Row],[Order Date]]</f>
        <v>11</v>
      </c>
      <c r="J798" s="1">
        <v>5796</v>
      </c>
      <c r="K798" s="1">
        <v>47.45</v>
      </c>
      <c r="L798" s="1">
        <v>31.79</v>
      </c>
      <c r="M798" s="1">
        <f>Europe_Sales_Records[[#This Row],[Unit Price]]-Europe_Sales_Records[[#This Row],[Unit Cost]]</f>
        <v>15.660000000000004</v>
      </c>
      <c r="N798" s="1">
        <v>275020.2</v>
      </c>
      <c r="O798" s="6">
        <v>184254.84</v>
      </c>
      <c r="P798" s="1">
        <v>90765.36</v>
      </c>
    </row>
    <row r="799" spans="1:16" x14ac:dyDescent="0.3">
      <c r="A799" s="1" t="s">
        <v>14</v>
      </c>
      <c r="B799" s="1" t="s">
        <v>129</v>
      </c>
      <c r="C799" s="1" t="s">
        <v>48</v>
      </c>
      <c r="D799" s="1" t="s">
        <v>22</v>
      </c>
      <c r="E799" s="1" t="s">
        <v>30</v>
      </c>
      <c r="F799" s="7">
        <v>42600</v>
      </c>
      <c r="G799" s="1" t="s">
        <v>878</v>
      </c>
      <c r="H799" s="7">
        <v>42614</v>
      </c>
      <c r="I799" s="1">
        <f>Europe_Sales_Records[[#This Row],[Ship Date]]-Europe_Sales_Records[[#This Row],[Order Date]]</f>
        <v>14</v>
      </c>
      <c r="J799" s="1">
        <v>480</v>
      </c>
      <c r="K799" s="1">
        <v>152.58000000000001</v>
      </c>
      <c r="L799" s="1">
        <v>97.44</v>
      </c>
      <c r="M799" s="1">
        <f>Europe_Sales_Records[[#This Row],[Unit Price]]-Europe_Sales_Records[[#This Row],[Unit Cost]]</f>
        <v>55.140000000000015</v>
      </c>
      <c r="N799" s="1">
        <v>73238.399999999994</v>
      </c>
      <c r="O799" s="6">
        <v>46771.199999999997</v>
      </c>
      <c r="P799" s="1">
        <v>26467.200000000001</v>
      </c>
    </row>
    <row r="800" spans="1:16" x14ac:dyDescent="0.3">
      <c r="A800" s="1" t="s">
        <v>14</v>
      </c>
      <c r="B800" s="1" t="s">
        <v>25</v>
      </c>
      <c r="C800" s="1" t="s">
        <v>16</v>
      </c>
      <c r="D800" s="1" t="s">
        <v>22</v>
      </c>
      <c r="E800" s="1" t="s">
        <v>45</v>
      </c>
      <c r="F800" s="7">
        <v>42688</v>
      </c>
      <c r="G800" s="1" t="s">
        <v>879</v>
      </c>
      <c r="H800" s="7">
        <v>42717</v>
      </c>
      <c r="I800" s="1">
        <f>Europe_Sales_Records[[#This Row],[Ship Date]]-Europe_Sales_Records[[#This Row],[Order Date]]</f>
        <v>29</v>
      </c>
      <c r="J800" s="1">
        <v>9269</v>
      </c>
      <c r="K800" s="1">
        <v>47.45</v>
      </c>
      <c r="L800" s="1">
        <v>31.79</v>
      </c>
      <c r="M800" s="1">
        <f>Europe_Sales_Records[[#This Row],[Unit Price]]-Europe_Sales_Records[[#This Row],[Unit Cost]]</f>
        <v>15.660000000000004</v>
      </c>
      <c r="N800" s="1">
        <v>439814.05</v>
      </c>
      <c r="O800" s="6">
        <v>294661.51</v>
      </c>
      <c r="P800" s="1">
        <v>145152.54</v>
      </c>
    </row>
    <row r="801" spans="1:16" x14ac:dyDescent="0.3">
      <c r="A801" s="1" t="s">
        <v>14</v>
      </c>
      <c r="B801" s="1" t="s">
        <v>59</v>
      </c>
      <c r="C801" s="1" t="s">
        <v>29</v>
      </c>
      <c r="D801" s="1" t="s">
        <v>17</v>
      </c>
      <c r="E801" s="1" t="s">
        <v>45</v>
      </c>
      <c r="F801" s="7">
        <v>42342</v>
      </c>
      <c r="G801" s="1" t="s">
        <v>880</v>
      </c>
      <c r="H801" s="7">
        <v>42379</v>
      </c>
      <c r="I801" s="1">
        <f>Europe_Sales_Records[[#This Row],[Ship Date]]-Europe_Sales_Records[[#This Row],[Order Date]]</f>
        <v>37</v>
      </c>
      <c r="J801" s="1">
        <v>7376</v>
      </c>
      <c r="K801" s="1">
        <v>651.21</v>
      </c>
      <c r="L801" s="1">
        <v>524.96</v>
      </c>
      <c r="M801" s="1">
        <f>Europe_Sales_Records[[#This Row],[Unit Price]]-Europe_Sales_Records[[#This Row],[Unit Cost]]</f>
        <v>126.25</v>
      </c>
      <c r="N801" s="1">
        <v>4803324.96</v>
      </c>
      <c r="O801" s="6">
        <v>3872104.96</v>
      </c>
      <c r="P801" s="1">
        <v>931220</v>
      </c>
    </row>
    <row r="802" spans="1:16" x14ac:dyDescent="0.3">
      <c r="A802" s="1" t="s">
        <v>14</v>
      </c>
      <c r="B802" s="1" t="s">
        <v>172</v>
      </c>
      <c r="C802" s="1" t="s">
        <v>57</v>
      </c>
      <c r="D802" s="1" t="s">
        <v>17</v>
      </c>
      <c r="E802" s="1" t="s">
        <v>30</v>
      </c>
      <c r="F802" s="7">
        <v>42811</v>
      </c>
      <c r="G802" s="1" t="s">
        <v>881</v>
      </c>
      <c r="H802" s="7">
        <v>42827</v>
      </c>
      <c r="I802" s="1">
        <f>Europe_Sales_Records[[#This Row],[Ship Date]]-Europe_Sales_Records[[#This Row],[Order Date]]</f>
        <v>16</v>
      </c>
      <c r="J802" s="1">
        <v>6134</v>
      </c>
      <c r="K802" s="1">
        <v>668.27</v>
      </c>
      <c r="L802" s="1">
        <v>502.54</v>
      </c>
      <c r="M802" s="1">
        <f>Europe_Sales_Records[[#This Row],[Unit Price]]-Europe_Sales_Records[[#This Row],[Unit Cost]]</f>
        <v>165.72999999999996</v>
      </c>
      <c r="N802" s="1">
        <v>4099168.18</v>
      </c>
      <c r="O802" s="6">
        <v>3082580.36</v>
      </c>
      <c r="P802" s="1">
        <v>1016587.82</v>
      </c>
    </row>
    <row r="803" spans="1:16" x14ac:dyDescent="0.3">
      <c r="A803" s="1" t="s">
        <v>14</v>
      </c>
      <c r="B803" s="1" t="s">
        <v>28</v>
      </c>
      <c r="C803" s="1" t="s">
        <v>26</v>
      </c>
      <c r="D803" s="1" t="s">
        <v>17</v>
      </c>
      <c r="E803" s="1" t="s">
        <v>45</v>
      </c>
      <c r="F803" s="7">
        <v>40591</v>
      </c>
      <c r="G803" s="1" t="s">
        <v>882</v>
      </c>
      <c r="H803" s="7">
        <v>40617</v>
      </c>
      <c r="I803" s="1">
        <f>Europe_Sales_Records[[#This Row],[Ship Date]]-Europe_Sales_Records[[#This Row],[Order Date]]</f>
        <v>26</v>
      </c>
      <c r="J803" s="1">
        <v>4448</v>
      </c>
      <c r="K803" s="1">
        <v>205.7</v>
      </c>
      <c r="L803" s="1">
        <v>117.11</v>
      </c>
      <c r="M803" s="1">
        <f>Europe_Sales_Records[[#This Row],[Unit Price]]-Europe_Sales_Records[[#This Row],[Unit Cost]]</f>
        <v>88.589999999999989</v>
      </c>
      <c r="N803" s="1">
        <v>914953.6</v>
      </c>
      <c r="O803" s="6">
        <v>520905.28</v>
      </c>
      <c r="P803" s="1">
        <v>394048.32</v>
      </c>
    </row>
    <row r="804" spans="1:16" x14ac:dyDescent="0.3">
      <c r="A804" s="1" t="s">
        <v>14</v>
      </c>
      <c r="B804" s="1" t="s">
        <v>84</v>
      </c>
      <c r="C804" s="1" t="s">
        <v>39</v>
      </c>
      <c r="D804" s="1" t="s">
        <v>22</v>
      </c>
      <c r="E804" s="1" t="s">
        <v>30</v>
      </c>
      <c r="F804" s="7">
        <v>40620</v>
      </c>
      <c r="G804" s="1" t="s">
        <v>883</v>
      </c>
      <c r="H804" s="7">
        <v>40635</v>
      </c>
      <c r="I804" s="1">
        <f>Europe_Sales_Records[[#This Row],[Ship Date]]-Europe_Sales_Records[[#This Row],[Order Date]]</f>
        <v>15</v>
      </c>
      <c r="J804" s="1">
        <v>5539</v>
      </c>
      <c r="K804" s="1">
        <v>154.06</v>
      </c>
      <c r="L804" s="1">
        <v>90.93</v>
      </c>
      <c r="M804" s="1">
        <f>Europe_Sales_Records[[#This Row],[Unit Price]]-Europe_Sales_Records[[#This Row],[Unit Cost]]</f>
        <v>63.129999999999995</v>
      </c>
      <c r="N804" s="1">
        <v>853338.34</v>
      </c>
      <c r="O804" s="6">
        <v>503661.27</v>
      </c>
      <c r="P804" s="1">
        <v>349677.07</v>
      </c>
    </row>
    <row r="805" spans="1:16" x14ac:dyDescent="0.3">
      <c r="A805" s="1" t="s">
        <v>14</v>
      </c>
      <c r="B805" s="1" t="s">
        <v>65</v>
      </c>
      <c r="C805" s="1" t="s">
        <v>16</v>
      </c>
      <c r="D805" s="1" t="s">
        <v>17</v>
      </c>
      <c r="E805" s="1" t="s">
        <v>45</v>
      </c>
      <c r="F805" s="7">
        <v>42703</v>
      </c>
      <c r="G805" s="1" t="s">
        <v>884</v>
      </c>
      <c r="H805" s="7">
        <v>42703</v>
      </c>
      <c r="I805" s="1">
        <f>Europe_Sales_Records[[#This Row],[Ship Date]]-Europe_Sales_Records[[#This Row],[Order Date]]</f>
        <v>0</v>
      </c>
      <c r="J805" s="1">
        <v>2466</v>
      </c>
      <c r="K805" s="1">
        <v>47.45</v>
      </c>
      <c r="L805" s="1">
        <v>31.79</v>
      </c>
      <c r="M805" s="1">
        <f>Europe_Sales_Records[[#This Row],[Unit Price]]-Europe_Sales_Records[[#This Row],[Unit Cost]]</f>
        <v>15.660000000000004</v>
      </c>
      <c r="N805" s="1">
        <v>117011.7</v>
      </c>
      <c r="O805" s="6">
        <v>78394.14</v>
      </c>
      <c r="P805" s="1">
        <v>38617.56</v>
      </c>
    </row>
    <row r="806" spans="1:16" x14ac:dyDescent="0.3">
      <c r="A806" s="1" t="s">
        <v>14</v>
      </c>
      <c r="B806" s="1" t="s">
        <v>180</v>
      </c>
      <c r="C806" s="1" t="s">
        <v>52</v>
      </c>
      <c r="D806" s="1" t="s">
        <v>22</v>
      </c>
      <c r="E806" s="1" t="s">
        <v>45</v>
      </c>
      <c r="F806" s="7">
        <v>42112</v>
      </c>
      <c r="G806" s="1" t="s">
        <v>885</v>
      </c>
      <c r="H806" s="7">
        <v>42134</v>
      </c>
      <c r="I806" s="1">
        <f>Europe_Sales_Records[[#This Row],[Ship Date]]-Europe_Sales_Records[[#This Row],[Order Date]]</f>
        <v>22</v>
      </c>
      <c r="J806" s="1">
        <v>2144</v>
      </c>
      <c r="K806" s="1">
        <v>255.28</v>
      </c>
      <c r="L806" s="1">
        <v>159.41999999999999</v>
      </c>
      <c r="M806" s="1">
        <f>Europe_Sales_Records[[#This Row],[Unit Price]]-Europe_Sales_Records[[#This Row],[Unit Cost]]</f>
        <v>95.860000000000014</v>
      </c>
      <c r="N806" s="1">
        <v>547320.31999999995</v>
      </c>
      <c r="O806" s="6">
        <v>341796.48</v>
      </c>
      <c r="P806" s="1">
        <v>205523.84</v>
      </c>
    </row>
    <row r="807" spans="1:16" x14ac:dyDescent="0.3">
      <c r="A807" s="1" t="s">
        <v>14</v>
      </c>
      <c r="B807" s="1" t="s">
        <v>150</v>
      </c>
      <c r="C807" s="1" t="s">
        <v>79</v>
      </c>
      <c r="D807" s="1" t="s">
        <v>22</v>
      </c>
      <c r="E807" s="1" t="s">
        <v>18</v>
      </c>
      <c r="F807" s="7">
        <v>40334</v>
      </c>
      <c r="G807" s="1" t="s">
        <v>886</v>
      </c>
      <c r="H807" s="7">
        <v>40354</v>
      </c>
      <c r="I807" s="1">
        <f>Europe_Sales_Records[[#This Row],[Ship Date]]-Europe_Sales_Records[[#This Row],[Order Date]]</f>
        <v>20</v>
      </c>
      <c r="J807" s="1">
        <v>4419</v>
      </c>
      <c r="K807" s="1">
        <v>81.73</v>
      </c>
      <c r="L807" s="1">
        <v>56.67</v>
      </c>
      <c r="M807" s="1">
        <f>Europe_Sales_Records[[#This Row],[Unit Price]]-Europe_Sales_Records[[#This Row],[Unit Cost]]</f>
        <v>25.060000000000002</v>
      </c>
      <c r="N807" s="1">
        <v>361164.87</v>
      </c>
      <c r="O807" s="6">
        <v>250424.73</v>
      </c>
      <c r="P807" s="1">
        <v>110740.14</v>
      </c>
    </row>
    <row r="808" spans="1:16" x14ac:dyDescent="0.3">
      <c r="A808" s="1" t="s">
        <v>14</v>
      </c>
      <c r="B808" s="1" t="s">
        <v>63</v>
      </c>
      <c r="C808" s="1" t="s">
        <v>79</v>
      </c>
      <c r="D808" s="1" t="s">
        <v>22</v>
      </c>
      <c r="E808" s="1" t="s">
        <v>30</v>
      </c>
      <c r="F808" s="7">
        <v>41666</v>
      </c>
      <c r="G808" s="1" t="s">
        <v>887</v>
      </c>
      <c r="H808" s="7">
        <v>41687</v>
      </c>
      <c r="I808" s="1">
        <f>Europe_Sales_Records[[#This Row],[Ship Date]]-Europe_Sales_Records[[#This Row],[Order Date]]</f>
        <v>21</v>
      </c>
      <c r="J808" s="1">
        <v>792</v>
      </c>
      <c r="K808" s="1">
        <v>81.73</v>
      </c>
      <c r="L808" s="1">
        <v>56.67</v>
      </c>
      <c r="M808" s="1">
        <f>Europe_Sales_Records[[#This Row],[Unit Price]]-Europe_Sales_Records[[#This Row],[Unit Cost]]</f>
        <v>25.060000000000002</v>
      </c>
      <c r="N808" s="1">
        <v>64730.16</v>
      </c>
      <c r="O808" s="6">
        <v>44882.64</v>
      </c>
      <c r="P808" s="1">
        <v>19847.52</v>
      </c>
    </row>
    <row r="809" spans="1:16" x14ac:dyDescent="0.3">
      <c r="A809" s="1" t="s">
        <v>14</v>
      </c>
      <c r="B809" s="1" t="s">
        <v>71</v>
      </c>
      <c r="C809" s="1" t="s">
        <v>29</v>
      </c>
      <c r="D809" s="1" t="s">
        <v>22</v>
      </c>
      <c r="E809" s="1" t="s">
        <v>23</v>
      </c>
      <c r="F809" s="7">
        <v>42309</v>
      </c>
      <c r="G809" s="1" t="s">
        <v>888</v>
      </c>
      <c r="H809" s="7">
        <v>42353</v>
      </c>
      <c r="I809" s="1">
        <f>Europe_Sales_Records[[#This Row],[Ship Date]]-Europe_Sales_Records[[#This Row],[Order Date]]</f>
        <v>44</v>
      </c>
      <c r="J809" s="1">
        <v>7322</v>
      </c>
      <c r="K809" s="1">
        <v>651.21</v>
      </c>
      <c r="L809" s="1">
        <v>524.96</v>
      </c>
      <c r="M809" s="1">
        <f>Europe_Sales_Records[[#This Row],[Unit Price]]-Europe_Sales_Records[[#This Row],[Unit Cost]]</f>
        <v>126.25</v>
      </c>
      <c r="N809" s="1">
        <v>4768159.62</v>
      </c>
      <c r="O809" s="6">
        <v>3843757.12</v>
      </c>
      <c r="P809" s="1">
        <v>924402.5</v>
      </c>
    </row>
    <row r="810" spans="1:16" x14ac:dyDescent="0.3">
      <c r="A810" s="1" t="s">
        <v>14</v>
      </c>
      <c r="B810" s="1" t="s">
        <v>91</v>
      </c>
      <c r="C810" s="1" t="s">
        <v>39</v>
      </c>
      <c r="D810" s="1" t="s">
        <v>22</v>
      </c>
      <c r="E810" s="1" t="s">
        <v>30</v>
      </c>
      <c r="F810" s="7">
        <v>42505</v>
      </c>
      <c r="G810" s="1" t="s">
        <v>889</v>
      </c>
      <c r="H810" s="7">
        <v>42521</v>
      </c>
      <c r="I810" s="1">
        <f>Europe_Sales_Records[[#This Row],[Ship Date]]-Europe_Sales_Records[[#This Row],[Order Date]]</f>
        <v>16</v>
      </c>
      <c r="J810" s="1">
        <v>9132</v>
      </c>
      <c r="K810" s="1">
        <v>154.06</v>
      </c>
      <c r="L810" s="1">
        <v>90.93</v>
      </c>
      <c r="M810" s="1">
        <f>Europe_Sales_Records[[#This Row],[Unit Price]]-Europe_Sales_Records[[#This Row],[Unit Cost]]</f>
        <v>63.129999999999995</v>
      </c>
      <c r="N810" s="1">
        <v>1406875.92</v>
      </c>
      <c r="O810" s="6">
        <v>830372.76</v>
      </c>
      <c r="P810" s="1">
        <v>576503.16</v>
      </c>
    </row>
    <row r="811" spans="1:16" x14ac:dyDescent="0.3">
      <c r="A811" s="1" t="s">
        <v>14</v>
      </c>
      <c r="B811" s="1" t="s">
        <v>116</v>
      </c>
      <c r="C811" s="1" t="s">
        <v>29</v>
      </c>
      <c r="D811" s="1" t="s">
        <v>22</v>
      </c>
      <c r="E811" s="1" t="s">
        <v>45</v>
      </c>
      <c r="F811" s="7">
        <v>41574</v>
      </c>
      <c r="G811" s="1" t="s">
        <v>890</v>
      </c>
      <c r="H811" s="7">
        <v>41580</v>
      </c>
      <c r="I811" s="1">
        <f>Europe_Sales_Records[[#This Row],[Ship Date]]-Europe_Sales_Records[[#This Row],[Order Date]]</f>
        <v>6</v>
      </c>
      <c r="J811" s="1">
        <v>1962</v>
      </c>
      <c r="K811" s="1">
        <v>651.21</v>
      </c>
      <c r="L811" s="1">
        <v>524.96</v>
      </c>
      <c r="M811" s="1">
        <f>Europe_Sales_Records[[#This Row],[Unit Price]]-Europe_Sales_Records[[#This Row],[Unit Cost]]</f>
        <v>126.25</v>
      </c>
      <c r="N811" s="1">
        <v>1277674.02</v>
      </c>
      <c r="O811" s="6">
        <v>1029971.52</v>
      </c>
      <c r="P811" s="1">
        <v>247702.5</v>
      </c>
    </row>
    <row r="812" spans="1:16" x14ac:dyDescent="0.3">
      <c r="A812" s="1" t="s">
        <v>14</v>
      </c>
      <c r="B812" s="1" t="s">
        <v>54</v>
      </c>
      <c r="C812" s="1" t="s">
        <v>29</v>
      </c>
      <c r="D812" s="1" t="s">
        <v>17</v>
      </c>
      <c r="E812" s="1" t="s">
        <v>23</v>
      </c>
      <c r="F812" s="7">
        <v>40576</v>
      </c>
      <c r="G812" s="1" t="s">
        <v>891</v>
      </c>
      <c r="H812" s="7">
        <v>40599</v>
      </c>
      <c r="I812" s="1">
        <f>Europe_Sales_Records[[#This Row],[Ship Date]]-Europe_Sales_Records[[#This Row],[Order Date]]</f>
        <v>23</v>
      </c>
      <c r="J812" s="1">
        <v>3824</v>
      </c>
      <c r="K812" s="1">
        <v>651.21</v>
      </c>
      <c r="L812" s="1">
        <v>524.96</v>
      </c>
      <c r="M812" s="1">
        <f>Europe_Sales_Records[[#This Row],[Unit Price]]-Europe_Sales_Records[[#This Row],[Unit Cost]]</f>
        <v>126.25</v>
      </c>
      <c r="N812" s="1">
        <v>2490227.04</v>
      </c>
      <c r="O812" s="6">
        <v>2007447.04</v>
      </c>
      <c r="P812" s="1">
        <v>482780</v>
      </c>
    </row>
    <row r="813" spans="1:16" x14ac:dyDescent="0.3">
      <c r="A813" s="1" t="s">
        <v>14</v>
      </c>
      <c r="B813" s="1" t="s">
        <v>97</v>
      </c>
      <c r="C813" s="1" t="s">
        <v>29</v>
      </c>
      <c r="D813" s="1" t="s">
        <v>17</v>
      </c>
      <c r="E813" s="1" t="s">
        <v>18</v>
      </c>
      <c r="F813" s="7">
        <v>40670</v>
      </c>
      <c r="G813" s="1" t="s">
        <v>892</v>
      </c>
      <c r="H813" s="7">
        <v>40687</v>
      </c>
      <c r="I813" s="1">
        <f>Europe_Sales_Records[[#This Row],[Ship Date]]-Europe_Sales_Records[[#This Row],[Order Date]]</f>
        <v>17</v>
      </c>
      <c r="J813" s="1">
        <v>6375</v>
      </c>
      <c r="K813" s="1">
        <v>651.21</v>
      </c>
      <c r="L813" s="1">
        <v>524.96</v>
      </c>
      <c r="M813" s="1">
        <f>Europe_Sales_Records[[#This Row],[Unit Price]]-Europe_Sales_Records[[#This Row],[Unit Cost]]</f>
        <v>126.25</v>
      </c>
      <c r="N813" s="1">
        <v>4151463.75</v>
      </c>
      <c r="O813" s="6">
        <v>3346620</v>
      </c>
      <c r="P813" s="1">
        <v>804843.75</v>
      </c>
    </row>
    <row r="814" spans="1:16" x14ac:dyDescent="0.3">
      <c r="A814" s="1" t="s">
        <v>14</v>
      </c>
      <c r="B814" s="1" t="s">
        <v>44</v>
      </c>
      <c r="C814" s="1" t="s">
        <v>33</v>
      </c>
      <c r="D814" s="1" t="s">
        <v>17</v>
      </c>
      <c r="E814" s="1" t="s">
        <v>30</v>
      </c>
      <c r="F814" s="7">
        <v>40441</v>
      </c>
      <c r="G814" s="1" t="s">
        <v>893</v>
      </c>
      <c r="H814" s="7">
        <v>40453</v>
      </c>
      <c r="I814" s="1">
        <f>Europe_Sales_Records[[#This Row],[Ship Date]]-Europe_Sales_Records[[#This Row],[Order Date]]</f>
        <v>12</v>
      </c>
      <c r="J814" s="1">
        <v>4080</v>
      </c>
      <c r="K814" s="1">
        <v>9.33</v>
      </c>
      <c r="L814" s="1">
        <v>6.92</v>
      </c>
      <c r="M814" s="1">
        <f>Europe_Sales_Records[[#This Row],[Unit Price]]-Europe_Sales_Records[[#This Row],[Unit Cost]]</f>
        <v>2.41</v>
      </c>
      <c r="N814" s="1">
        <v>38066.400000000001</v>
      </c>
      <c r="O814" s="6">
        <v>28233.599999999999</v>
      </c>
      <c r="P814" s="1">
        <v>9832.7999999999993</v>
      </c>
    </row>
    <row r="815" spans="1:16" x14ac:dyDescent="0.3">
      <c r="A815" s="1" t="s">
        <v>14</v>
      </c>
      <c r="B815" s="1" t="s">
        <v>131</v>
      </c>
      <c r="C815" s="1" t="s">
        <v>21</v>
      </c>
      <c r="D815" s="1" t="s">
        <v>22</v>
      </c>
      <c r="E815" s="1" t="s">
        <v>23</v>
      </c>
      <c r="F815" s="7">
        <v>40286</v>
      </c>
      <c r="G815" s="1" t="s">
        <v>894</v>
      </c>
      <c r="H815" s="7">
        <v>40309</v>
      </c>
      <c r="I815" s="1">
        <f>Europe_Sales_Records[[#This Row],[Ship Date]]-Europe_Sales_Records[[#This Row],[Order Date]]</f>
        <v>23</v>
      </c>
      <c r="J815" s="1">
        <v>6667</v>
      </c>
      <c r="K815" s="1">
        <v>109.28</v>
      </c>
      <c r="L815" s="1">
        <v>35.840000000000003</v>
      </c>
      <c r="M815" s="1">
        <f>Europe_Sales_Records[[#This Row],[Unit Price]]-Europe_Sales_Records[[#This Row],[Unit Cost]]</f>
        <v>73.44</v>
      </c>
      <c r="N815" s="1">
        <v>728569.76</v>
      </c>
      <c r="O815" s="6">
        <v>238945.28</v>
      </c>
      <c r="P815" s="1">
        <v>489624.48</v>
      </c>
    </row>
    <row r="816" spans="1:16" x14ac:dyDescent="0.3">
      <c r="A816" s="1" t="s">
        <v>14</v>
      </c>
      <c r="B816" s="1" t="s">
        <v>176</v>
      </c>
      <c r="C816" s="1" t="s">
        <v>48</v>
      </c>
      <c r="D816" s="1" t="s">
        <v>17</v>
      </c>
      <c r="E816" s="1" t="s">
        <v>18</v>
      </c>
      <c r="F816" s="7">
        <v>42385</v>
      </c>
      <c r="G816" s="1" t="s">
        <v>895</v>
      </c>
      <c r="H816" s="7">
        <v>42419</v>
      </c>
      <c r="I816" s="1">
        <f>Europe_Sales_Records[[#This Row],[Ship Date]]-Europe_Sales_Records[[#This Row],[Order Date]]</f>
        <v>34</v>
      </c>
      <c r="J816" s="1">
        <v>2300</v>
      </c>
      <c r="K816" s="1">
        <v>152.58000000000001</v>
      </c>
      <c r="L816" s="1">
        <v>97.44</v>
      </c>
      <c r="M816" s="1">
        <f>Europe_Sales_Records[[#This Row],[Unit Price]]-Europe_Sales_Records[[#This Row],[Unit Cost]]</f>
        <v>55.140000000000015</v>
      </c>
      <c r="N816" s="1">
        <v>350934</v>
      </c>
      <c r="O816" s="6">
        <v>224112</v>
      </c>
      <c r="P816" s="1">
        <v>126822</v>
      </c>
    </row>
    <row r="817" spans="1:16" x14ac:dyDescent="0.3">
      <c r="A817" s="1" t="s">
        <v>14</v>
      </c>
      <c r="B817" s="1" t="s">
        <v>69</v>
      </c>
      <c r="C817" s="1" t="s">
        <v>60</v>
      </c>
      <c r="D817" s="1" t="s">
        <v>17</v>
      </c>
      <c r="E817" s="1" t="s">
        <v>45</v>
      </c>
      <c r="F817" s="7">
        <v>40646</v>
      </c>
      <c r="G817" s="1" t="s">
        <v>896</v>
      </c>
      <c r="H817" s="7">
        <v>40675</v>
      </c>
      <c r="I817" s="1">
        <f>Europe_Sales_Records[[#This Row],[Ship Date]]-Europe_Sales_Records[[#This Row],[Order Date]]</f>
        <v>29</v>
      </c>
      <c r="J817" s="1">
        <v>4175</v>
      </c>
      <c r="K817" s="1">
        <v>437.2</v>
      </c>
      <c r="L817" s="1">
        <v>263.33</v>
      </c>
      <c r="M817" s="1">
        <f>Europe_Sales_Records[[#This Row],[Unit Price]]-Europe_Sales_Records[[#This Row],[Unit Cost]]</f>
        <v>173.87</v>
      </c>
      <c r="N817" s="1">
        <v>1825310</v>
      </c>
      <c r="O817" s="6">
        <v>1099402.75</v>
      </c>
      <c r="P817" s="1">
        <v>725907.25</v>
      </c>
    </row>
    <row r="818" spans="1:16" x14ac:dyDescent="0.3">
      <c r="A818" s="1" t="s">
        <v>14</v>
      </c>
      <c r="B818" s="1" t="s">
        <v>73</v>
      </c>
      <c r="C818" s="1" t="s">
        <v>57</v>
      </c>
      <c r="D818" s="1" t="s">
        <v>22</v>
      </c>
      <c r="E818" s="1" t="s">
        <v>18</v>
      </c>
      <c r="F818" s="7">
        <v>42581</v>
      </c>
      <c r="G818" s="1" t="s">
        <v>897</v>
      </c>
      <c r="H818" s="7">
        <v>42586</v>
      </c>
      <c r="I818" s="1">
        <f>Europe_Sales_Records[[#This Row],[Ship Date]]-Europe_Sales_Records[[#This Row],[Order Date]]</f>
        <v>5</v>
      </c>
      <c r="J818" s="1">
        <v>7756</v>
      </c>
      <c r="K818" s="1">
        <v>668.27</v>
      </c>
      <c r="L818" s="1">
        <v>502.54</v>
      </c>
      <c r="M818" s="1">
        <f>Europe_Sales_Records[[#This Row],[Unit Price]]-Europe_Sales_Records[[#This Row],[Unit Cost]]</f>
        <v>165.72999999999996</v>
      </c>
      <c r="N818" s="1">
        <v>5183102.12</v>
      </c>
      <c r="O818" s="6">
        <v>3897700.24</v>
      </c>
      <c r="P818" s="1">
        <v>1285401.8799999999</v>
      </c>
    </row>
    <row r="819" spans="1:16" x14ac:dyDescent="0.3">
      <c r="A819" s="1" t="s">
        <v>14</v>
      </c>
      <c r="B819" s="1" t="s">
        <v>87</v>
      </c>
      <c r="C819" s="1" t="s">
        <v>33</v>
      </c>
      <c r="D819" s="1" t="s">
        <v>17</v>
      </c>
      <c r="E819" s="1" t="s">
        <v>23</v>
      </c>
      <c r="F819" s="7">
        <v>41028</v>
      </c>
      <c r="G819" s="1" t="s">
        <v>898</v>
      </c>
      <c r="H819" s="7">
        <v>41041</v>
      </c>
      <c r="I819" s="1">
        <f>Europe_Sales_Records[[#This Row],[Ship Date]]-Europe_Sales_Records[[#This Row],[Order Date]]</f>
        <v>13</v>
      </c>
      <c r="J819" s="1">
        <v>7008</v>
      </c>
      <c r="K819" s="1">
        <v>9.33</v>
      </c>
      <c r="L819" s="1">
        <v>6.92</v>
      </c>
      <c r="M819" s="1">
        <f>Europe_Sales_Records[[#This Row],[Unit Price]]-Europe_Sales_Records[[#This Row],[Unit Cost]]</f>
        <v>2.41</v>
      </c>
      <c r="N819" s="1">
        <v>65384.639999999999</v>
      </c>
      <c r="O819" s="6">
        <v>48495.360000000001</v>
      </c>
      <c r="P819" s="1">
        <v>16889.28</v>
      </c>
    </row>
    <row r="820" spans="1:16" x14ac:dyDescent="0.3">
      <c r="A820" s="1" t="s">
        <v>14</v>
      </c>
      <c r="B820" s="1" t="s">
        <v>20</v>
      </c>
      <c r="C820" s="1" t="s">
        <v>39</v>
      </c>
      <c r="D820" s="1" t="s">
        <v>22</v>
      </c>
      <c r="E820" s="1" t="s">
        <v>18</v>
      </c>
      <c r="F820" s="7">
        <v>40970</v>
      </c>
      <c r="G820" s="1" t="s">
        <v>899</v>
      </c>
      <c r="H820" s="7">
        <v>41015</v>
      </c>
      <c r="I820" s="1">
        <f>Europe_Sales_Records[[#This Row],[Ship Date]]-Europe_Sales_Records[[#This Row],[Order Date]]</f>
        <v>45</v>
      </c>
      <c r="J820" s="1">
        <v>3035</v>
      </c>
      <c r="K820" s="1">
        <v>154.06</v>
      </c>
      <c r="L820" s="1">
        <v>90.93</v>
      </c>
      <c r="M820" s="1">
        <f>Europe_Sales_Records[[#This Row],[Unit Price]]-Europe_Sales_Records[[#This Row],[Unit Cost]]</f>
        <v>63.129999999999995</v>
      </c>
      <c r="N820" s="1">
        <v>467572.1</v>
      </c>
      <c r="O820" s="6">
        <v>275972.55</v>
      </c>
      <c r="P820" s="1">
        <v>191599.55</v>
      </c>
    </row>
    <row r="821" spans="1:16" x14ac:dyDescent="0.3">
      <c r="A821" s="1" t="s">
        <v>14</v>
      </c>
      <c r="B821" s="1" t="s">
        <v>59</v>
      </c>
      <c r="C821" s="1" t="s">
        <v>16</v>
      </c>
      <c r="D821" s="1" t="s">
        <v>22</v>
      </c>
      <c r="E821" s="1" t="s">
        <v>23</v>
      </c>
      <c r="F821" s="7">
        <v>41689</v>
      </c>
      <c r="G821" s="1" t="s">
        <v>900</v>
      </c>
      <c r="H821" s="7">
        <v>41731</v>
      </c>
      <c r="I821" s="1">
        <f>Europe_Sales_Records[[#This Row],[Ship Date]]-Europe_Sales_Records[[#This Row],[Order Date]]</f>
        <v>42</v>
      </c>
      <c r="J821" s="1">
        <v>3403</v>
      </c>
      <c r="K821" s="1">
        <v>47.45</v>
      </c>
      <c r="L821" s="1">
        <v>31.79</v>
      </c>
      <c r="M821" s="1">
        <f>Europe_Sales_Records[[#This Row],[Unit Price]]-Europe_Sales_Records[[#This Row],[Unit Cost]]</f>
        <v>15.660000000000004</v>
      </c>
      <c r="N821" s="1">
        <v>161472.35</v>
      </c>
      <c r="O821" s="6">
        <v>108181.37</v>
      </c>
      <c r="P821" s="1">
        <v>53290.98</v>
      </c>
    </row>
    <row r="822" spans="1:16" x14ac:dyDescent="0.3">
      <c r="A822" s="1" t="s">
        <v>14</v>
      </c>
      <c r="B822" s="1" t="s">
        <v>77</v>
      </c>
      <c r="C822" s="1" t="s">
        <v>52</v>
      </c>
      <c r="D822" s="1" t="s">
        <v>17</v>
      </c>
      <c r="E822" s="1" t="s">
        <v>30</v>
      </c>
      <c r="F822" s="7">
        <v>41085</v>
      </c>
      <c r="G822" s="1" t="s">
        <v>901</v>
      </c>
      <c r="H822" s="7">
        <v>41133</v>
      </c>
      <c r="I822" s="1">
        <f>Europe_Sales_Records[[#This Row],[Ship Date]]-Europe_Sales_Records[[#This Row],[Order Date]]</f>
        <v>48</v>
      </c>
      <c r="J822" s="1">
        <v>6686</v>
      </c>
      <c r="K822" s="1">
        <v>255.28</v>
      </c>
      <c r="L822" s="1">
        <v>159.41999999999999</v>
      </c>
      <c r="M822" s="1">
        <f>Europe_Sales_Records[[#This Row],[Unit Price]]-Europe_Sales_Records[[#This Row],[Unit Cost]]</f>
        <v>95.860000000000014</v>
      </c>
      <c r="N822" s="1">
        <v>1706802.08</v>
      </c>
      <c r="O822" s="6">
        <v>1065882.1200000001</v>
      </c>
      <c r="P822" s="1">
        <v>640919.96</v>
      </c>
    </row>
    <row r="823" spans="1:16" x14ac:dyDescent="0.3">
      <c r="A823" s="1" t="s">
        <v>14</v>
      </c>
      <c r="B823" s="1" t="s">
        <v>75</v>
      </c>
      <c r="C823" s="1" t="s">
        <v>42</v>
      </c>
      <c r="D823" s="1" t="s">
        <v>17</v>
      </c>
      <c r="E823" s="1" t="s">
        <v>23</v>
      </c>
      <c r="F823" s="7">
        <v>41907</v>
      </c>
      <c r="G823" s="1" t="s">
        <v>902</v>
      </c>
      <c r="H823" s="7">
        <v>41917</v>
      </c>
      <c r="I823" s="1">
        <f>Europe_Sales_Records[[#This Row],[Ship Date]]-Europe_Sales_Records[[#This Row],[Order Date]]</f>
        <v>10</v>
      </c>
      <c r="J823" s="1">
        <v>2180</v>
      </c>
      <c r="K823" s="1">
        <v>421.89</v>
      </c>
      <c r="L823" s="1">
        <v>364.69</v>
      </c>
      <c r="M823" s="1">
        <f>Europe_Sales_Records[[#This Row],[Unit Price]]-Europe_Sales_Records[[#This Row],[Unit Cost]]</f>
        <v>57.199999999999989</v>
      </c>
      <c r="N823" s="1">
        <v>919720.2</v>
      </c>
      <c r="O823" s="6">
        <v>795024.2</v>
      </c>
      <c r="P823" s="1">
        <v>124696</v>
      </c>
    </row>
    <row r="824" spans="1:16" x14ac:dyDescent="0.3">
      <c r="A824" s="1" t="s">
        <v>14</v>
      </c>
      <c r="B824" s="1" t="s">
        <v>106</v>
      </c>
      <c r="C824" s="1" t="s">
        <v>48</v>
      </c>
      <c r="D824" s="1" t="s">
        <v>17</v>
      </c>
      <c r="E824" s="1" t="s">
        <v>23</v>
      </c>
      <c r="F824" s="7">
        <v>40299</v>
      </c>
      <c r="G824" s="1" t="s">
        <v>903</v>
      </c>
      <c r="H824" s="7">
        <v>40318</v>
      </c>
      <c r="I824" s="1">
        <f>Europe_Sales_Records[[#This Row],[Ship Date]]-Europe_Sales_Records[[#This Row],[Order Date]]</f>
        <v>19</v>
      </c>
      <c r="J824" s="1">
        <v>5772</v>
      </c>
      <c r="K824" s="1">
        <v>152.58000000000001</v>
      </c>
      <c r="L824" s="1">
        <v>97.44</v>
      </c>
      <c r="M824" s="1">
        <f>Europe_Sales_Records[[#This Row],[Unit Price]]-Europe_Sales_Records[[#This Row],[Unit Cost]]</f>
        <v>55.140000000000015</v>
      </c>
      <c r="N824" s="1">
        <v>880691.76</v>
      </c>
      <c r="O824" s="6">
        <v>562423.68000000005</v>
      </c>
      <c r="P824" s="1">
        <v>318268.08</v>
      </c>
    </row>
    <row r="825" spans="1:16" x14ac:dyDescent="0.3">
      <c r="A825" s="1" t="s">
        <v>14</v>
      </c>
      <c r="B825" s="1" t="s">
        <v>172</v>
      </c>
      <c r="C825" s="1" t="s">
        <v>29</v>
      </c>
      <c r="D825" s="1" t="s">
        <v>22</v>
      </c>
      <c r="E825" s="1" t="s">
        <v>30</v>
      </c>
      <c r="F825" s="7">
        <v>42701</v>
      </c>
      <c r="G825" s="1" t="s">
        <v>904</v>
      </c>
      <c r="H825" s="7">
        <v>42702</v>
      </c>
      <c r="I825" s="1">
        <f>Europe_Sales_Records[[#This Row],[Ship Date]]-Europe_Sales_Records[[#This Row],[Order Date]]</f>
        <v>1</v>
      </c>
      <c r="J825" s="1">
        <v>2162</v>
      </c>
      <c r="K825" s="1">
        <v>651.21</v>
      </c>
      <c r="L825" s="1">
        <v>524.96</v>
      </c>
      <c r="M825" s="1">
        <f>Europe_Sales_Records[[#This Row],[Unit Price]]-Europe_Sales_Records[[#This Row],[Unit Cost]]</f>
        <v>126.25</v>
      </c>
      <c r="N825" s="1">
        <v>1407916.02</v>
      </c>
      <c r="O825" s="6">
        <v>1134963.52</v>
      </c>
      <c r="P825" s="1">
        <v>272952.5</v>
      </c>
    </row>
    <row r="826" spans="1:16" x14ac:dyDescent="0.3">
      <c r="A826" s="1" t="s">
        <v>14</v>
      </c>
      <c r="B826" s="1" t="s">
        <v>73</v>
      </c>
      <c r="C826" s="1" t="s">
        <v>79</v>
      </c>
      <c r="D826" s="1" t="s">
        <v>22</v>
      </c>
      <c r="E826" s="1" t="s">
        <v>18</v>
      </c>
      <c r="F826" s="7">
        <v>41430</v>
      </c>
      <c r="G826" s="1" t="s">
        <v>905</v>
      </c>
      <c r="H826" s="7">
        <v>41435</v>
      </c>
      <c r="I826" s="1">
        <f>Europe_Sales_Records[[#This Row],[Ship Date]]-Europe_Sales_Records[[#This Row],[Order Date]]</f>
        <v>5</v>
      </c>
      <c r="J826" s="1">
        <v>8860</v>
      </c>
      <c r="K826" s="1">
        <v>81.73</v>
      </c>
      <c r="L826" s="1">
        <v>56.67</v>
      </c>
      <c r="M826" s="1">
        <f>Europe_Sales_Records[[#This Row],[Unit Price]]-Europe_Sales_Records[[#This Row],[Unit Cost]]</f>
        <v>25.060000000000002</v>
      </c>
      <c r="N826" s="1">
        <v>724127.8</v>
      </c>
      <c r="O826" s="6">
        <v>502096.2</v>
      </c>
      <c r="P826" s="1">
        <v>222031.6</v>
      </c>
    </row>
    <row r="827" spans="1:16" x14ac:dyDescent="0.3">
      <c r="A827" s="1" t="s">
        <v>14</v>
      </c>
      <c r="B827" s="1" t="s">
        <v>67</v>
      </c>
      <c r="C827" s="1" t="s">
        <v>79</v>
      </c>
      <c r="D827" s="1" t="s">
        <v>22</v>
      </c>
      <c r="E827" s="1" t="s">
        <v>45</v>
      </c>
      <c r="F827" s="7">
        <v>42046</v>
      </c>
      <c r="G827" s="1" t="s">
        <v>906</v>
      </c>
      <c r="H827" s="7">
        <v>42047</v>
      </c>
      <c r="I827" s="1">
        <f>Europe_Sales_Records[[#This Row],[Ship Date]]-Europe_Sales_Records[[#This Row],[Order Date]]</f>
        <v>1</v>
      </c>
      <c r="J827" s="1">
        <v>5104</v>
      </c>
      <c r="K827" s="1">
        <v>81.73</v>
      </c>
      <c r="L827" s="1">
        <v>56.67</v>
      </c>
      <c r="M827" s="1">
        <f>Europe_Sales_Records[[#This Row],[Unit Price]]-Europe_Sales_Records[[#This Row],[Unit Cost]]</f>
        <v>25.060000000000002</v>
      </c>
      <c r="N827" s="1">
        <v>417149.92</v>
      </c>
      <c r="O827" s="6">
        <v>289243.68</v>
      </c>
      <c r="P827" s="1">
        <v>127906.24000000001</v>
      </c>
    </row>
    <row r="828" spans="1:16" x14ac:dyDescent="0.3">
      <c r="A828" s="1" t="s">
        <v>14</v>
      </c>
      <c r="B828" s="1" t="s">
        <v>94</v>
      </c>
      <c r="C828" s="1" t="s">
        <v>26</v>
      </c>
      <c r="D828" s="1" t="s">
        <v>22</v>
      </c>
      <c r="E828" s="1" t="s">
        <v>45</v>
      </c>
      <c r="F828" s="7">
        <v>41896</v>
      </c>
      <c r="G828" s="1" t="s">
        <v>907</v>
      </c>
      <c r="H828" s="7">
        <v>41922</v>
      </c>
      <c r="I828" s="1">
        <f>Europe_Sales_Records[[#This Row],[Ship Date]]-Europe_Sales_Records[[#This Row],[Order Date]]</f>
        <v>26</v>
      </c>
      <c r="J828" s="1">
        <v>5735</v>
      </c>
      <c r="K828" s="1">
        <v>205.7</v>
      </c>
      <c r="L828" s="1">
        <v>117.11</v>
      </c>
      <c r="M828" s="1">
        <f>Europe_Sales_Records[[#This Row],[Unit Price]]-Europe_Sales_Records[[#This Row],[Unit Cost]]</f>
        <v>88.589999999999989</v>
      </c>
      <c r="N828" s="1">
        <v>1179689.5</v>
      </c>
      <c r="O828" s="6">
        <v>671625.85</v>
      </c>
      <c r="P828" s="1">
        <v>508063.65</v>
      </c>
    </row>
    <row r="829" spans="1:16" x14ac:dyDescent="0.3">
      <c r="A829" s="1" t="s">
        <v>14</v>
      </c>
      <c r="B829" s="1" t="s">
        <v>25</v>
      </c>
      <c r="C829" s="1" t="s">
        <v>29</v>
      </c>
      <c r="D829" s="1" t="s">
        <v>22</v>
      </c>
      <c r="E829" s="1" t="s">
        <v>30</v>
      </c>
      <c r="F829" s="7">
        <v>41710</v>
      </c>
      <c r="G829" s="1" t="s">
        <v>908</v>
      </c>
      <c r="H829" s="7">
        <v>41726</v>
      </c>
      <c r="I829" s="1">
        <f>Europe_Sales_Records[[#This Row],[Ship Date]]-Europe_Sales_Records[[#This Row],[Order Date]]</f>
        <v>16</v>
      </c>
      <c r="J829" s="1">
        <v>2717</v>
      </c>
      <c r="K829" s="1">
        <v>651.21</v>
      </c>
      <c r="L829" s="1">
        <v>524.96</v>
      </c>
      <c r="M829" s="1">
        <f>Europe_Sales_Records[[#This Row],[Unit Price]]-Europe_Sales_Records[[#This Row],[Unit Cost]]</f>
        <v>126.25</v>
      </c>
      <c r="N829" s="1">
        <v>1769337.57</v>
      </c>
      <c r="O829" s="6">
        <v>1426316.32</v>
      </c>
      <c r="P829" s="1">
        <v>343021.25</v>
      </c>
    </row>
    <row r="830" spans="1:16" x14ac:dyDescent="0.3">
      <c r="A830" s="1" t="s">
        <v>14</v>
      </c>
      <c r="B830" s="1" t="s">
        <v>172</v>
      </c>
      <c r="C830" s="1" t="s">
        <v>52</v>
      </c>
      <c r="D830" s="1" t="s">
        <v>22</v>
      </c>
      <c r="E830" s="1" t="s">
        <v>18</v>
      </c>
      <c r="F830" s="7">
        <v>42879</v>
      </c>
      <c r="G830" s="1" t="s">
        <v>909</v>
      </c>
      <c r="H830" s="7">
        <v>42925</v>
      </c>
      <c r="I830" s="1">
        <f>Europe_Sales_Records[[#This Row],[Ship Date]]-Europe_Sales_Records[[#This Row],[Order Date]]</f>
        <v>46</v>
      </c>
      <c r="J830" s="1">
        <v>5762</v>
      </c>
      <c r="K830" s="1">
        <v>255.28</v>
      </c>
      <c r="L830" s="1">
        <v>159.41999999999999</v>
      </c>
      <c r="M830" s="1">
        <f>Europe_Sales_Records[[#This Row],[Unit Price]]-Europe_Sales_Records[[#This Row],[Unit Cost]]</f>
        <v>95.860000000000014</v>
      </c>
      <c r="N830" s="1">
        <v>1470923.36</v>
      </c>
      <c r="O830" s="6">
        <v>918578.04</v>
      </c>
      <c r="P830" s="1">
        <v>552345.31999999995</v>
      </c>
    </row>
    <row r="831" spans="1:16" x14ac:dyDescent="0.3">
      <c r="A831" s="1" t="s">
        <v>14</v>
      </c>
      <c r="B831" s="1" t="s">
        <v>32</v>
      </c>
      <c r="C831" s="1" t="s">
        <v>21</v>
      </c>
      <c r="D831" s="1" t="s">
        <v>17</v>
      </c>
      <c r="E831" s="1" t="s">
        <v>45</v>
      </c>
      <c r="F831" s="7">
        <v>41433</v>
      </c>
      <c r="G831" s="1" t="s">
        <v>910</v>
      </c>
      <c r="H831" s="7">
        <v>41464</v>
      </c>
      <c r="I831" s="1">
        <f>Europe_Sales_Records[[#This Row],[Ship Date]]-Europe_Sales_Records[[#This Row],[Order Date]]</f>
        <v>31</v>
      </c>
      <c r="J831" s="1">
        <v>6169</v>
      </c>
      <c r="K831" s="1">
        <v>109.28</v>
      </c>
      <c r="L831" s="1">
        <v>35.840000000000003</v>
      </c>
      <c r="M831" s="1">
        <f>Europe_Sales_Records[[#This Row],[Unit Price]]-Europe_Sales_Records[[#This Row],[Unit Cost]]</f>
        <v>73.44</v>
      </c>
      <c r="N831" s="1">
        <v>674148.32</v>
      </c>
      <c r="O831" s="6">
        <v>221096.95999999999</v>
      </c>
      <c r="P831" s="1">
        <v>453051.36</v>
      </c>
    </row>
    <row r="832" spans="1:16" x14ac:dyDescent="0.3">
      <c r="A832" s="1" t="s">
        <v>14</v>
      </c>
      <c r="B832" s="1" t="s">
        <v>47</v>
      </c>
      <c r="C832" s="1" t="s">
        <v>39</v>
      </c>
      <c r="D832" s="1" t="s">
        <v>22</v>
      </c>
      <c r="E832" s="1" t="s">
        <v>30</v>
      </c>
      <c r="F832" s="7">
        <v>42864</v>
      </c>
      <c r="G832" s="1" t="s">
        <v>911</v>
      </c>
      <c r="H832" s="7">
        <v>42868</v>
      </c>
      <c r="I832" s="1">
        <f>Europe_Sales_Records[[#This Row],[Ship Date]]-Europe_Sales_Records[[#This Row],[Order Date]]</f>
        <v>4</v>
      </c>
      <c r="J832" s="1">
        <v>2349</v>
      </c>
      <c r="K832" s="1">
        <v>154.06</v>
      </c>
      <c r="L832" s="1">
        <v>90.93</v>
      </c>
      <c r="M832" s="1">
        <f>Europe_Sales_Records[[#This Row],[Unit Price]]-Europe_Sales_Records[[#This Row],[Unit Cost]]</f>
        <v>63.129999999999995</v>
      </c>
      <c r="N832" s="1">
        <v>361886.94</v>
      </c>
      <c r="O832" s="6">
        <v>213594.57</v>
      </c>
      <c r="P832" s="1">
        <v>148292.37</v>
      </c>
    </row>
    <row r="833" spans="1:16" x14ac:dyDescent="0.3">
      <c r="A833" s="1" t="s">
        <v>14</v>
      </c>
      <c r="B833" s="1" t="s">
        <v>232</v>
      </c>
      <c r="C833" s="1" t="s">
        <v>42</v>
      </c>
      <c r="D833" s="1" t="s">
        <v>17</v>
      </c>
      <c r="E833" s="1" t="s">
        <v>30</v>
      </c>
      <c r="F833" s="7">
        <v>41854</v>
      </c>
      <c r="G833" s="1" t="s">
        <v>912</v>
      </c>
      <c r="H833" s="7">
        <v>41886</v>
      </c>
      <c r="I833" s="1">
        <f>Europe_Sales_Records[[#This Row],[Ship Date]]-Europe_Sales_Records[[#This Row],[Order Date]]</f>
        <v>32</v>
      </c>
      <c r="J833" s="1">
        <v>2826</v>
      </c>
      <c r="K833" s="1">
        <v>421.89</v>
      </c>
      <c r="L833" s="1">
        <v>364.69</v>
      </c>
      <c r="M833" s="1">
        <f>Europe_Sales_Records[[#This Row],[Unit Price]]-Europe_Sales_Records[[#This Row],[Unit Cost]]</f>
        <v>57.199999999999989</v>
      </c>
      <c r="N833" s="1">
        <v>1192261.1399999999</v>
      </c>
      <c r="O833" s="6">
        <v>1030613.94</v>
      </c>
      <c r="P833" s="1">
        <v>161647.20000000001</v>
      </c>
    </row>
    <row r="834" spans="1:16" x14ac:dyDescent="0.3">
      <c r="A834" s="1" t="s">
        <v>14</v>
      </c>
      <c r="B834" s="1" t="s">
        <v>73</v>
      </c>
      <c r="C834" s="1" t="s">
        <v>60</v>
      </c>
      <c r="D834" s="1" t="s">
        <v>17</v>
      </c>
      <c r="E834" s="1" t="s">
        <v>45</v>
      </c>
      <c r="F834" s="7">
        <v>42431</v>
      </c>
      <c r="G834" s="1" t="s">
        <v>913</v>
      </c>
      <c r="H834" s="7">
        <v>42459</v>
      </c>
      <c r="I834" s="1">
        <f>Europe_Sales_Records[[#This Row],[Ship Date]]-Europe_Sales_Records[[#This Row],[Order Date]]</f>
        <v>28</v>
      </c>
      <c r="J834" s="1">
        <v>2602</v>
      </c>
      <c r="K834" s="1">
        <v>437.2</v>
      </c>
      <c r="L834" s="1">
        <v>263.33</v>
      </c>
      <c r="M834" s="1">
        <f>Europe_Sales_Records[[#This Row],[Unit Price]]-Europe_Sales_Records[[#This Row],[Unit Cost]]</f>
        <v>173.87</v>
      </c>
      <c r="N834" s="1">
        <v>1137594.3999999999</v>
      </c>
      <c r="O834" s="6">
        <v>685184.66</v>
      </c>
      <c r="P834" s="1">
        <v>452409.74</v>
      </c>
    </row>
    <row r="835" spans="1:16" x14ac:dyDescent="0.3">
      <c r="A835" s="1" t="s">
        <v>14</v>
      </c>
      <c r="B835" s="1" t="s">
        <v>77</v>
      </c>
      <c r="C835" s="1" t="s">
        <v>60</v>
      </c>
      <c r="D835" s="1" t="s">
        <v>22</v>
      </c>
      <c r="E835" s="1" t="s">
        <v>18</v>
      </c>
      <c r="F835" s="7">
        <v>40837</v>
      </c>
      <c r="G835" s="1" t="s">
        <v>914</v>
      </c>
      <c r="H835" s="7">
        <v>40868</v>
      </c>
      <c r="I835" s="1">
        <f>Europe_Sales_Records[[#This Row],[Ship Date]]-Europe_Sales_Records[[#This Row],[Order Date]]</f>
        <v>31</v>
      </c>
      <c r="J835" s="1">
        <v>9236</v>
      </c>
      <c r="K835" s="1">
        <v>437.2</v>
      </c>
      <c r="L835" s="1">
        <v>263.33</v>
      </c>
      <c r="M835" s="1">
        <f>Europe_Sales_Records[[#This Row],[Unit Price]]-Europe_Sales_Records[[#This Row],[Unit Cost]]</f>
        <v>173.87</v>
      </c>
      <c r="N835" s="1">
        <v>4037979.2</v>
      </c>
      <c r="O835" s="6">
        <v>2432115.88</v>
      </c>
      <c r="P835" s="1">
        <v>1605863.32</v>
      </c>
    </row>
    <row r="836" spans="1:16" x14ac:dyDescent="0.3">
      <c r="A836" s="1" t="s">
        <v>14</v>
      </c>
      <c r="B836" s="1" t="s">
        <v>118</v>
      </c>
      <c r="C836" s="1" t="s">
        <v>33</v>
      </c>
      <c r="D836" s="1" t="s">
        <v>17</v>
      </c>
      <c r="E836" s="1" t="s">
        <v>45</v>
      </c>
      <c r="F836" s="7">
        <v>41249</v>
      </c>
      <c r="G836" s="1" t="s">
        <v>915</v>
      </c>
      <c r="H836" s="7">
        <v>41290</v>
      </c>
      <c r="I836" s="1">
        <f>Europe_Sales_Records[[#This Row],[Ship Date]]-Europe_Sales_Records[[#This Row],[Order Date]]</f>
        <v>41</v>
      </c>
      <c r="J836" s="1">
        <v>3103</v>
      </c>
      <c r="K836" s="1">
        <v>9.33</v>
      </c>
      <c r="L836" s="1">
        <v>6.92</v>
      </c>
      <c r="M836" s="1">
        <f>Europe_Sales_Records[[#This Row],[Unit Price]]-Europe_Sales_Records[[#This Row],[Unit Cost]]</f>
        <v>2.41</v>
      </c>
      <c r="N836" s="1">
        <v>28950.99</v>
      </c>
      <c r="O836" s="6">
        <v>21472.76</v>
      </c>
      <c r="P836" s="1">
        <v>7478.23</v>
      </c>
    </row>
    <row r="837" spans="1:16" x14ac:dyDescent="0.3">
      <c r="A837" s="1" t="s">
        <v>14</v>
      </c>
      <c r="B837" s="1" t="s">
        <v>157</v>
      </c>
      <c r="C837" s="1" t="s">
        <v>57</v>
      </c>
      <c r="D837" s="1" t="s">
        <v>22</v>
      </c>
      <c r="E837" s="1" t="s">
        <v>30</v>
      </c>
      <c r="F837" s="7">
        <v>42515</v>
      </c>
      <c r="G837" s="1" t="s">
        <v>916</v>
      </c>
      <c r="H837" s="7">
        <v>42518</v>
      </c>
      <c r="I837" s="1">
        <f>Europe_Sales_Records[[#This Row],[Ship Date]]-Europe_Sales_Records[[#This Row],[Order Date]]</f>
        <v>3</v>
      </c>
      <c r="J837" s="1">
        <v>1362</v>
      </c>
      <c r="K837" s="1">
        <v>668.27</v>
      </c>
      <c r="L837" s="1">
        <v>502.54</v>
      </c>
      <c r="M837" s="1">
        <f>Europe_Sales_Records[[#This Row],[Unit Price]]-Europe_Sales_Records[[#This Row],[Unit Cost]]</f>
        <v>165.72999999999996</v>
      </c>
      <c r="N837" s="1">
        <v>910183.74</v>
      </c>
      <c r="O837" s="6">
        <v>684459.48</v>
      </c>
      <c r="P837" s="1">
        <v>225724.26</v>
      </c>
    </row>
    <row r="838" spans="1:16" x14ac:dyDescent="0.3">
      <c r="A838" s="1" t="s">
        <v>14</v>
      </c>
      <c r="B838" s="1" t="s">
        <v>97</v>
      </c>
      <c r="C838" s="1" t="s">
        <v>39</v>
      </c>
      <c r="D838" s="1" t="s">
        <v>22</v>
      </c>
      <c r="E838" s="1" t="s">
        <v>45</v>
      </c>
      <c r="F838" s="7">
        <v>41821</v>
      </c>
      <c r="G838" s="1" t="s">
        <v>917</v>
      </c>
      <c r="H838" s="7">
        <v>41834</v>
      </c>
      <c r="I838" s="1">
        <f>Europe_Sales_Records[[#This Row],[Ship Date]]-Europe_Sales_Records[[#This Row],[Order Date]]</f>
        <v>13</v>
      </c>
      <c r="J838" s="1">
        <v>2980</v>
      </c>
      <c r="K838" s="1">
        <v>154.06</v>
      </c>
      <c r="L838" s="1">
        <v>90.93</v>
      </c>
      <c r="M838" s="1">
        <f>Europe_Sales_Records[[#This Row],[Unit Price]]-Europe_Sales_Records[[#This Row],[Unit Cost]]</f>
        <v>63.129999999999995</v>
      </c>
      <c r="N838" s="1">
        <v>459098.8</v>
      </c>
      <c r="O838" s="6">
        <v>270971.40000000002</v>
      </c>
      <c r="P838" s="1">
        <v>188127.4</v>
      </c>
    </row>
    <row r="839" spans="1:16" x14ac:dyDescent="0.3">
      <c r="A839" s="1" t="s">
        <v>14</v>
      </c>
      <c r="B839" s="1" t="s">
        <v>103</v>
      </c>
      <c r="C839" s="1" t="s">
        <v>21</v>
      </c>
      <c r="D839" s="1" t="s">
        <v>17</v>
      </c>
      <c r="E839" s="1" t="s">
        <v>45</v>
      </c>
      <c r="F839" s="7">
        <v>42072</v>
      </c>
      <c r="G839" s="1" t="s">
        <v>918</v>
      </c>
      <c r="H839" s="7">
        <v>42084</v>
      </c>
      <c r="I839" s="1">
        <f>Europe_Sales_Records[[#This Row],[Ship Date]]-Europe_Sales_Records[[#This Row],[Order Date]]</f>
        <v>12</v>
      </c>
      <c r="J839" s="1">
        <v>1172</v>
      </c>
      <c r="K839" s="1">
        <v>109.28</v>
      </c>
      <c r="L839" s="1">
        <v>35.840000000000003</v>
      </c>
      <c r="M839" s="1">
        <f>Europe_Sales_Records[[#This Row],[Unit Price]]-Europe_Sales_Records[[#This Row],[Unit Cost]]</f>
        <v>73.44</v>
      </c>
      <c r="N839" s="1">
        <v>128076.16</v>
      </c>
      <c r="O839" s="6">
        <v>42004.480000000003</v>
      </c>
      <c r="P839" s="1">
        <v>86071.679999999993</v>
      </c>
    </row>
    <row r="840" spans="1:16" x14ac:dyDescent="0.3">
      <c r="A840" s="1" t="s">
        <v>14</v>
      </c>
      <c r="B840" s="1" t="s">
        <v>25</v>
      </c>
      <c r="C840" s="1" t="s">
        <v>16</v>
      </c>
      <c r="D840" s="1" t="s">
        <v>17</v>
      </c>
      <c r="E840" s="1" t="s">
        <v>18</v>
      </c>
      <c r="F840" s="7">
        <v>42134</v>
      </c>
      <c r="G840" s="1" t="s">
        <v>919</v>
      </c>
      <c r="H840" s="7">
        <v>42155</v>
      </c>
      <c r="I840" s="1">
        <f>Europe_Sales_Records[[#This Row],[Ship Date]]-Europe_Sales_Records[[#This Row],[Order Date]]</f>
        <v>21</v>
      </c>
      <c r="J840" s="1">
        <v>6395</v>
      </c>
      <c r="K840" s="1">
        <v>47.45</v>
      </c>
      <c r="L840" s="1">
        <v>31.79</v>
      </c>
      <c r="M840" s="1">
        <f>Europe_Sales_Records[[#This Row],[Unit Price]]-Europe_Sales_Records[[#This Row],[Unit Cost]]</f>
        <v>15.660000000000004</v>
      </c>
      <c r="N840" s="1">
        <v>303442.75</v>
      </c>
      <c r="O840" s="6">
        <v>203297.05</v>
      </c>
      <c r="P840" s="1">
        <v>100145.7</v>
      </c>
    </row>
    <row r="841" spans="1:16" x14ac:dyDescent="0.3">
      <c r="A841" s="1" t="s">
        <v>14</v>
      </c>
      <c r="B841" s="1" t="s">
        <v>137</v>
      </c>
      <c r="C841" s="1" t="s">
        <v>29</v>
      </c>
      <c r="D841" s="1" t="s">
        <v>17</v>
      </c>
      <c r="E841" s="1" t="s">
        <v>30</v>
      </c>
      <c r="F841" s="7">
        <v>40409</v>
      </c>
      <c r="G841" s="1" t="s">
        <v>920</v>
      </c>
      <c r="H841" s="7">
        <v>40429</v>
      </c>
      <c r="I841" s="1">
        <f>Europe_Sales_Records[[#This Row],[Ship Date]]-Europe_Sales_Records[[#This Row],[Order Date]]</f>
        <v>20</v>
      </c>
      <c r="J841" s="1">
        <v>532</v>
      </c>
      <c r="K841" s="1">
        <v>651.21</v>
      </c>
      <c r="L841" s="1">
        <v>524.96</v>
      </c>
      <c r="M841" s="1">
        <f>Europe_Sales_Records[[#This Row],[Unit Price]]-Europe_Sales_Records[[#This Row],[Unit Cost]]</f>
        <v>126.25</v>
      </c>
      <c r="N841" s="1">
        <v>346443.72</v>
      </c>
      <c r="O841" s="6">
        <v>279278.71999999997</v>
      </c>
      <c r="P841" s="1">
        <v>67165</v>
      </c>
    </row>
    <row r="842" spans="1:16" x14ac:dyDescent="0.3">
      <c r="A842" s="1" t="s">
        <v>14</v>
      </c>
      <c r="B842" s="1" t="s">
        <v>59</v>
      </c>
      <c r="C842" s="1" t="s">
        <v>29</v>
      </c>
      <c r="D842" s="1" t="s">
        <v>22</v>
      </c>
      <c r="E842" s="1" t="s">
        <v>18</v>
      </c>
      <c r="F842" s="7">
        <v>41227</v>
      </c>
      <c r="G842" s="1" t="s">
        <v>921</v>
      </c>
      <c r="H842" s="7">
        <v>41251</v>
      </c>
      <c r="I842" s="1">
        <f>Europe_Sales_Records[[#This Row],[Ship Date]]-Europe_Sales_Records[[#This Row],[Order Date]]</f>
        <v>24</v>
      </c>
      <c r="J842" s="1">
        <v>7347</v>
      </c>
      <c r="K842" s="1">
        <v>651.21</v>
      </c>
      <c r="L842" s="1">
        <v>524.96</v>
      </c>
      <c r="M842" s="1">
        <f>Europe_Sales_Records[[#This Row],[Unit Price]]-Europe_Sales_Records[[#This Row],[Unit Cost]]</f>
        <v>126.25</v>
      </c>
      <c r="N842" s="1">
        <v>4784439.87</v>
      </c>
      <c r="O842" s="6">
        <v>3856881.12</v>
      </c>
      <c r="P842" s="1">
        <v>927558.75</v>
      </c>
    </row>
    <row r="843" spans="1:16" x14ac:dyDescent="0.3">
      <c r="A843" s="1" t="s">
        <v>14</v>
      </c>
      <c r="B843" s="1" t="s">
        <v>69</v>
      </c>
      <c r="C843" s="1" t="s">
        <v>21</v>
      </c>
      <c r="D843" s="1" t="s">
        <v>17</v>
      </c>
      <c r="E843" s="1" t="s">
        <v>23</v>
      </c>
      <c r="F843" s="7">
        <v>40980</v>
      </c>
      <c r="G843" s="1" t="s">
        <v>922</v>
      </c>
      <c r="H843" s="7">
        <v>41015</v>
      </c>
      <c r="I843" s="1">
        <f>Europe_Sales_Records[[#This Row],[Ship Date]]-Europe_Sales_Records[[#This Row],[Order Date]]</f>
        <v>35</v>
      </c>
      <c r="J843" s="1">
        <v>4908</v>
      </c>
      <c r="K843" s="1">
        <v>109.28</v>
      </c>
      <c r="L843" s="1">
        <v>35.840000000000003</v>
      </c>
      <c r="M843" s="1">
        <f>Europe_Sales_Records[[#This Row],[Unit Price]]-Europe_Sales_Records[[#This Row],[Unit Cost]]</f>
        <v>73.44</v>
      </c>
      <c r="N843" s="1">
        <v>536346.24</v>
      </c>
      <c r="O843" s="6">
        <v>175902.72</v>
      </c>
      <c r="P843" s="1">
        <v>360443.52</v>
      </c>
    </row>
    <row r="844" spans="1:16" x14ac:dyDescent="0.3">
      <c r="A844" s="1" t="s">
        <v>14</v>
      </c>
      <c r="B844" s="1" t="s">
        <v>232</v>
      </c>
      <c r="C844" s="1" t="s">
        <v>48</v>
      </c>
      <c r="D844" s="1" t="s">
        <v>22</v>
      </c>
      <c r="E844" s="1" t="s">
        <v>18</v>
      </c>
      <c r="F844" s="7">
        <v>40329</v>
      </c>
      <c r="G844" s="1" t="s">
        <v>923</v>
      </c>
      <c r="H844" s="7">
        <v>40341</v>
      </c>
      <c r="I844" s="1">
        <f>Europe_Sales_Records[[#This Row],[Ship Date]]-Europe_Sales_Records[[#This Row],[Order Date]]</f>
        <v>12</v>
      </c>
      <c r="J844" s="1">
        <v>8878</v>
      </c>
      <c r="K844" s="1">
        <v>152.58000000000001</v>
      </c>
      <c r="L844" s="1">
        <v>97.44</v>
      </c>
      <c r="M844" s="1">
        <f>Europe_Sales_Records[[#This Row],[Unit Price]]-Europe_Sales_Records[[#This Row],[Unit Cost]]</f>
        <v>55.140000000000015</v>
      </c>
      <c r="N844" s="1">
        <v>1354605.24</v>
      </c>
      <c r="O844" s="6">
        <v>865072.32</v>
      </c>
      <c r="P844" s="1">
        <v>489532.92</v>
      </c>
    </row>
    <row r="845" spans="1:16" x14ac:dyDescent="0.3">
      <c r="A845" s="1" t="s">
        <v>14</v>
      </c>
      <c r="B845" s="1" t="s">
        <v>20</v>
      </c>
      <c r="C845" s="1" t="s">
        <v>79</v>
      </c>
      <c r="D845" s="1" t="s">
        <v>22</v>
      </c>
      <c r="E845" s="1" t="s">
        <v>30</v>
      </c>
      <c r="F845" s="7">
        <v>41844</v>
      </c>
      <c r="G845" s="1" t="s">
        <v>924</v>
      </c>
      <c r="H845" s="7">
        <v>41889</v>
      </c>
      <c r="I845" s="1">
        <f>Europe_Sales_Records[[#This Row],[Ship Date]]-Europe_Sales_Records[[#This Row],[Order Date]]</f>
        <v>45</v>
      </c>
      <c r="J845" s="1">
        <v>3383</v>
      </c>
      <c r="K845" s="1">
        <v>81.73</v>
      </c>
      <c r="L845" s="1">
        <v>56.67</v>
      </c>
      <c r="M845" s="1">
        <f>Europe_Sales_Records[[#This Row],[Unit Price]]-Europe_Sales_Records[[#This Row],[Unit Cost]]</f>
        <v>25.060000000000002</v>
      </c>
      <c r="N845" s="1">
        <v>276492.59000000003</v>
      </c>
      <c r="O845" s="6">
        <v>191714.61</v>
      </c>
      <c r="P845" s="1">
        <v>84777.98</v>
      </c>
    </row>
    <row r="846" spans="1:16" x14ac:dyDescent="0.3">
      <c r="A846" s="1" t="s">
        <v>14</v>
      </c>
      <c r="B846" s="1" t="s">
        <v>63</v>
      </c>
      <c r="C846" s="1" t="s">
        <v>29</v>
      </c>
      <c r="D846" s="1" t="s">
        <v>22</v>
      </c>
      <c r="E846" s="1" t="s">
        <v>30</v>
      </c>
      <c r="F846" s="7">
        <v>40329</v>
      </c>
      <c r="G846" s="1" t="s">
        <v>925</v>
      </c>
      <c r="H846" s="7">
        <v>40371</v>
      </c>
      <c r="I846" s="1">
        <f>Europe_Sales_Records[[#This Row],[Ship Date]]-Europe_Sales_Records[[#This Row],[Order Date]]</f>
        <v>42</v>
      </c>
      <c r="J846" s="1">
        <v>4375</v>
      </c>
      <c r="K846" s="1">
        <v>651.21</v>
      </c>
      <c r="L846" s="1">
        <v>524.96</v>
      </c>
      <c r="M846" s="1">
        <f>Europe_Sales_Records[[#This Row],[Unit Price]]-Europe_Sales_Records[[#This Row],[Unit Cost]]</f>
        <v>126.25</v>
      </c>
      <c r="N846" s="1">
        <v>2849043.75</v>
      </c>
      <c r="O846" s="6">
        <v>2296700</v>
      </c>
      <c r="P846" s="1">
        <v>552343.75</v>
      </c>
    </row>
    <row r="847" spans="1:16" x14ac:dyDescent="0.3">
      <c r="A847" s="1" t="s">
        <v>14</v>
      </c>
      <c r="B847" s="1" t="s">
        <v>20</v>
      </c>
      <c r="C847" s="1" t="s">
        <v>57</v>
      </c>
      <c r="D847" s="1" t="s">
        <v>22</v>
      </c>
      <c r="E847" s="1" t="s">
        <v>18</v>
      </c>
      <c r="F847" s="7">
        <v>41318</v>
      </c>
      <c r="G847" s="1" t="s">
        <v>926</v>
      </c>
      <c r="H847" s="7">
        <v>41344</v>
      </c>
      <c r="I847" s="1">
        <f>Europe_Sales_Records[[#This Row],[Ship Date]]-Europe_Sales_Records[[#This Row],[Order Date]]</f>
        <v>26</v>
      </c>
      <c r="J847" s="1">
        <v>5095</v>
      </c>
      <c r="K847" s="1">
        <v>668.27</v>
      </c>
      <c r="L847" s="1">
        <v>502.54</v>
      </c>
      <c r="M847" s="1">
        <f>Europe_Sales_Records[[#This Row],[Unit Price]]-Europe_Sales_Records[[#This Row],[Unit Cost]]</f>
        <v>165.72999999999996</v>
      </c>
      <c r="N847" s="1">
        <v>3404835.65</v>
      </c>
      <c r="O847" s="6">
        <v>2560441.2999999998</v>
      </c>
      <c r="P847" s="1">
        <v>844394.35</v>
      </c>
    </row>
    <row r="848" spans="1:16" x14ac:dyDescent="0.3">
      <c r="A848" s="1" t="s">
        <v>14</v>
      </c>
      <c r="B848" s="1" t="s">
        <v>87</v>
      </c>
      <c r="C848" s="1" t="s">
        <v>48</v>
      </c>
      <c r="D848" s="1" t="s">
        <v>17</v>
      </c>
      <c r="E848" s="1" t="s">
        <v>30</v>
      </c>
      <c r="F848" s="7">
        <v>42441</v>
      </c>
      <c r="G848" s="1" t="s">
        <v>927</v>
      </c>
      <c r="H848" s="7">
        <v>42444</v>
      </c>
      <c r="I848" s="1">
        <f>Europe_Sales_Records[[#This Row],[Ship Date]]-Europe_Sales_Records[[#This Row],[Order Date]]</f>
        <v>3</v>
      </c>
      <c r="J848" s="1">
        <v>4681</v>
      </c>
      <c r="K848" s="1">
        <v>152.58000000000001</v>
      </c>
      <c r="L848" s="1">
        <v>97.44</v>
      </c>
      <c r="M848" s="1">
        <f>Europe_Sales_Records[[#This Row],[Unit Price]]-Europe_Sales_Records[[#This Row],[Unit Cost]]</f>
        <v>55.140000000000015</v>
      </c>
      <c r="N848" s="1">
        <v>714226.98</v>
      </c>
      <c r="O848" s="6">
        <v>456116.64</v>
      </c>
      <c r="P848" s="1">
        <v>258110.34</v>
      </c>
    </row>
    <row r="849" spans="1:16" x14ac:dyDescent="0.3">
      <c r="A849" s="1" t="s">
        <v>14</v>
      </c>
      <c r="B849" s="1" t="s">
        <v>219</v>
      </c>
      <c r="C849" s="1" t="s">
        <v>52</v>
      </c>
      <c r="D849" s="1" t="s">
        <v>17</v>
      </c>
      <c r="E849" s="1" t="s">
        <v>18</v>
      </c>
      <c r="F849" s="7">
        <v>42054</v>
      </c>
      <c r="G849" s="1" t="s">
        <v>928</v>
      </c>
      <c r="H849" s="7">
        <v>42090</v>
      </c>
      <c r="I849" s="1">
        <f>Europe_Sales_Records[[#This Row],[Ship Date]]-Europe_Sales_Records[[#This Row],[Order Date]]</f>
        <v>36</v>
      </c>
      <c r="J849" s="1">
        <v>9025</v>
      </c>
      <c r="K849" s="1">
        <v>255.28</v>
      </c>
      <c r="L849" s="1">
        <v>159.41999999999999</v>
      </c>
      <c r="M849" s="1">
        <f>Europe_Sales_Records[[#This Row],[Unit Price]]-Europe_Sales_Records[[#This Row],[Unit Cost]]</f>
        <v>95.860000000000014</v>
      </c>
      <c r="N849" s="1">
        <v>2303902</v>
      </c>
      <c r="O849" s="6">
        <v>1438765.5</v>
      </c>
      <c r="P849" s="1">
        <v>865136.5</v>
      </c>
    </row>
    <row r="850" spans="1:16" x14ac:dyDescent="0.3">
      <c r="A850" s="1" t="s">
        <v>14</v>
      </c>
      <c r="B850" s="1" t="s">
        <v>152</v>
      </c>
      <c r="C850" s="1" t="s">
        <v>48</v>
      </c>
      <c r="D850" s="1" t="s">
        <v>17</v>
      </c>
      <c r="E850" s="1" t="s">
        <v>30</v>
      </c>
      <c r="F850" s="7">
        <v>42724</v>
      </c>
      <c r="G850" s="1" t="s">
        <v>929</v>
      </c>
      <c r="H850" s="7">
        <v>42768</v>
      </c>
      <c r="I850" s="1">
        <f>Europe_Sales_Records[[#This Row],[Ship Date]]-Europe_Sales_Records[[#This Row],[Order Date]]</f>
        <v>44</v>
      </c>
      <c r="J850" s="1">
        <v>4922</v>
      </c>
      <c r="K850" s="1">
        <v>152.58000000000001</v>
      </c>
      <c r="L850" s="1">
        <v>97.44</v>
      </c>
      <c r="M850" s="1">
        <f>Europe_Sales_Records[[#This Row],[Unit Price]]-Europe_Sales_Records[[#This Row],[Unit Cost]]</f>
        <v>55.140000000000015</v>
      </c>
      <c r="N850" s="1">
        <v>750998.76</v>
      </c>
      <c r="O850" s="6">
        <v>479599.68</v>
      </c>
      <c r="P850" s="1">
        <v>271399.08</v>
      </c>
    </row>
    <row r="851" spans="1:16" x14ac:dyDescent="0.3">
      <c r="A851" s="1" t="s">
        <v>14</v>
      </c>
      <c r="B851" s="1" t="s">
        <v>94</v>
      </c>
      <c r="C851" s="1" t="s">
        <v>48</v>
      </c>
      <c r="D851" s="1" t="s">
        <v>17</v>
      </c>
      <c r="E851" s="1" t="s">
        <v>18</v>
      </c>
      <c r="F851" s="7">
        <v>41428</v>
      </c>
      <c r="G851" s="1" t="s">
        <v>930</v>
      </c>
      <c r="H851" s="7">
        <v>41440</v>
      </c>
      <c r="I851" s="1">
        <f>Europe_Sales_Records[[#This Row],[Ship Date]]-Europe_Sales_Records[[#This Row],[Order Date]]</f>
        <v>12</v>
      </c>
      <c r="J851" s="1">
        <v>9631</v>
      </c>
      <c r="K851" s="1">
        <v>152.58000000000001</v>
      </c>
      <c r="L851" s="1">
        <v>97.44</v>
      </c>
      <c r="M851" s="1">
        <f>Europe_Sales_Records[[#This Row],[Unit Price]]-Europe_Sales_Records[[#This Row],[Unit Cost]]</f>
        <v>55.140000000000015</v>
      </c>
      <c r="N851" s="1">
        <v>1469497.98</v>
      </c>
      <c r="O851" s="6">
        <v>938444.64</v>
      </c>
      <c r="P851" s="1">
        <v>531053.34</v>
      </c>
    </row>
    <row r="852" spans="1:16" x14ac:dyDescent="0.3">
      <c r="A852" s="1" t="s">
        <v>14</v>
      </c>
      <c r="B852" s="1" t="s">
        <v>81</v>
      </c>
      <c r="C852" s="1" t="s">
        <v>42</v>
      </c>
      <c r="D852" s="1" t="s">
        <v>17</v>
      </c>
      <c r="E852" s="1" t="s">
        <v>23</v>
      </c>
      <c r="F852" s="7">
        <v>42895</v>
      </c>
      <c r="G852" s="1" t="s">
        <v>931</v>
      </c>
      <c r="H852" s="7">
        <v>42918</v>
      </c>
      <c r="I852" s="1">
        <f>Europe_Sales_Records[[#This Row],[Ship Date]]-Europe_Sales_Records[[#This Row],[Order Date]]</f>
        <v>23</v>
      </c>
      <c r="J852" s="1">
        <v>9103</v>
      </c>
      <c r="K852" s="1">
        <v>421.89</v>
      </c>
      <c r="L852" s="1">
        <v>364.69</v>
      </c>
      <c r="M852" s="1">
        <f>Europe_Sales_Records[[#This Row],[Unit Price]]-Europe_Sales_Records[[#This Row],[Unit Cost]]</f>
        <v>57.199999999999989</v>
      </c>
      <c r="N852" s="1">
        <v>3840464.67</v>
      </c>
      <c r="O852" s="6">
        <v>3319773.07</v>
      </c>
      <c r="P852" s="1">
        <v>520691.6</v>
      </c>
    </row>
    <row r="853" spans="1:16" x14ac:dyDescent="0.3">
      <c r="A853" s="1" t="s">
        <v>14</v>
      </c>
      <c r="B853" s="1" t="s">
        <v>69</v>
      </c>
      <c r="C853" s="1" t="s">
        <v>39</v>
      </c>
      <c r="D853" s="1" t="s">
        <v>22</v>
      </c>
      <c r="E853" s="1" t="s">
        <v>30</v>
      </c>
      <c r="F853" s="7">
        <v>42419</v>
      </c>
      <c r="G853" s="1" t="s">
        <v>932</v>
      </c>
      <c r="H853" s="7">
        <v>42448</v>
      </c>
      <c r="I853" s="1">
        <f>Europe_Sales_Records[[#This Row],[Ship Date]]-Europe_Sales_Records[[#This Row],[Order Date]]</f>
        <v>29</v>
      </c>
      <c r="J853" s="1">
        <v>5935</v>
      </c>
      <c r="K853" s="1">
        <v>154.06</v>
      </c>
      <c r="L853" s="1">
        <v>90.93</v>
      </c>
      <c r="M853" s="1">
        <f>Europe_Sales_Records[[#This Row],[Unit Price]]-Europe_Sales_Records[[#This Row],[Unit Cost]]</f>
        <v>63.129999999999995</v>
      </c>
      <c r="N853" s="1">
        <v>914346.1</v>
      </c>
      <c r="O853" s="6">
        <v>539669.55000000005</v>
      </c>
      <c r="P853" s="1">
        <v>374676.55</v>
      </c>
    </row>
    <row r="854" spans="1:16" x14ac:dyDescent="0.3">
      <c r="A854" s="1" t="s">
        <v>14</v>
      </c>
      <c r="B854" s="1" t="s">
        <v>106</v>
      </c>
      <c r="C854" s="1" t="s">
        <v>21</v>
      </c>
      <c r="D854" s="1" t="s">
        <v>17</v>
      </c>
      <c r="E854" s="1" t="s">
        <v>45</v>
      </c>
      <c r="F854" s="7">
        <v>41518</v>
      </c>
      <c r="G854" s="1" t="s">
        <v>933</v>
      </c>
      <c r="H854" s="7">
        <v>41527</v>
      </c>
      <c r="I854" s="1">
        <f>Europe_Sales_Records[[#This Row],[Ship Date]]-Europe_Sales_Records[[#This Row],[Order Date]]</f>
        <v>9</v>
      </c>
      <c r="J854" s="1">
        <v>2366</v>
      </c>
      <c r="K854" s="1">
        <v>109.28</v>
      </c>
      <c r="L854" s="1">
        <v>35.840000000000003</v>
      </c>
      <c r="M854" s="1">
        <f>Europe_Sales_Records[[#This Row],[Unit Price]]-Europe_Sales_Records[[#This Row],[Unit Cost]]</f>
        <v>73.44</v>
      </c>
      <c r="N854" s="1">
        <v>258556.48</v>
      </c>
      <c r="O854" s="6">
        <v>84797.440000000002</v>
      </c>
      <c r="P854" s="1">
        <v>173759.04</v>
      </c>
    </row>
    <row r="855" spans="1:16" x14ac:dyDescent="0.3">
      <c r="A855" s="1" t="s">
        <v>14</v>
      </c>
      <c r="B855" s="1" t="s">
        <v>56</v>
      </c>
      <c r="C855" s="1" t="s">
        <v>39</v>
      </c>
      <c r="D855" s="1" t="s">
        <v>17</v>
      </c>
      <c r="E855" s="1" t="s">
        <v>30</v>
      </c>
      <c r="F855" s="7">
        <v>41715</v>
      </c>
      <c r="G855" s="1" t="s">
        <v>934</v>
      </c>
      <c r="H855" s="7">
        <v>41760</v>
      </c>
      <c r="I855" s="1">
        <f>Europe_Sales_Records[[#This Row],[Ship Date]]-Europe_Sales_Records[[#This Row],[Order Date]]</f>
        <v>45</v>
      </c>
      <c r="J855" s="1">
        <v>5119</v>
      </c>
      <c r="K855" s="1">
        <v>154.06</v>
      </c>
      <c r="L855" s="1">
        <v>90.93</v>
      </c>
      <c r="M855" s="1">
        <f>Europe_Sales_Records[[#This Row],[Unit Price]]-Europe_Sales_Records[[#This Row],[Unit Cost]]</f>
        <v>63.129999999999995</v>
      </c>
      <c r="N855" s="1">
        <v>788633.14</v>
      </c>
      <c r="O855" s="6">
        <v>465470.67</v>
      </c>
      <c r="P855" s="1">
        <v>323162.46999999997</v>
      </c>
    </row>
    <row r="856" spans="1:16" x14ac:dyDescent="0.3">
      <c r="A856" s="1" t="s">
        <v>14</v>
      </c>
      <c r="B856" s="1" t="s">
        <v>94</v>
      </c>
      <c r="C856" s="1" t="s">
        <v>26</v>
      </c>
      <c r="D856" s="1" t="s">
        <v>22</v>
      </c>
      <c r="E856" s="1" t="s">
        <v>18</v>
      </c>
      <c r="F856" s="7">
        <v>42338</v>
      </c>
      <c r="G856" s="1" t="s">
        <v>935</v>
      </c>
      <c r="H856" s="7">
        <v>42387</v>
      </c>
      <c r="I856" s="1">
        <f>Europe_Sales_Records[[#This Row],[Ship Date]]-Europe_Sales_Records[[#This Row],[Order Date]]</f>
        <v>49</v>
      </c>
      <c r="J856" s="1">
        <v>8847</v>
      </c>
      <c r="K856" s="1">
        <v>205.7</v>
      </c>
      <c r="L856" s="1">
        <v>117.11</v>
      </c>
      <c r="M856" s="1">
        <f>Europe_Sales_Records[[#This Row],[Unit Price]]-Europe_Sales_Records[[#This Row],[Unit Cost]]</f>
        <v>88.589999999999989</v>
      </c>
      <c r="N856" s="1">
        <v>1819827.9</v>
      </c>
      <c r="O856" s="6">
        <v>1036072.17</v>
      </c>
      <c r="P856" s="1">
        <v>783755.73</v>
      </c>
    </row>
    <row r="857" spans="1:16" x14ac:dyDescent="0.3">
      <c r="A857" s="1" t="s">
        <v>14</v>
      </c>
      <c r="B857" s="1" t="s">
        <v>131</v>
      </c>
      <c r="C857" s="1" t="s">
        <v>39</v>
      </c>
      <c r="D857" s="1" t="s">
        <v>22</v>
      </c>
      <c r="E857" s="1" t="s">
        <v>45</v>
      </c>
      <c r="F857" s="7">
        <v>40746</v>
      </c>
      <c r="G857" s="1" t="s">
        <v>936</v>
      </c>
      <c r="H857" s="7">
        <v>40761</v>
      </c>
      <c r="I857" s="1">
        <f>Europe_Sales_Records[[#This Row],[Ship Date]]-Europe_Sales_Records[[#This Row],[Order Date]]</f>
        <v>15</v>
      </c>
      <c r="J857" s="1">
        <v>9212</v>
      </c>
      <c r="K857" s="1">
        <v>154.06</v>
      </c>
      <c r="L857" s="1">
        <v>90.93</v>
      </c>
      <c r="M857" s="1">
        <f>Europe_Sales_Records[[#This Row],[Unit Price]]-Europe_Sales_Records[[#This Row],[Unit Cost]]</f>
        <v>63.129999999999995</v>
      </c>
      <c r="N857" s="1">
        <v>1419200.72</v>
      </c>
      <c r="O857" s="6">
        <v>837647.16</v>
      </c>
      <c r="P857" s="1">
        <v>581553.56000000006</v>
      </c>
    </row>
    <row r="858" spans="1:16" x14ac:dyDescent="0.3">
      <c r="A858" s="1" t="s">
        <v>14</v>
      </c>
      <c r="B858" s="1" t="s">
        <v>69</v>
      </c>
      <c r="C858" s="1" t="s">
        <v>60</v>
      </c>
      <c r="D858" s="1" t="s">
        <v>17</v>
      </c>
      <c r="E858" s="1" t="s">
        <v>23</v>
      </c>
      <c r="F858" s="7">
        <v>42571</v>
      </c>
      <c r="G858" s="1" t="s">
        <v>937</v>
      </c>
      <c r="H858" s="7">
        <v>42615</v>
      </c>
      <c r="I858" s="1">
        <f>Europe_Sales_Records[[#This Row],[Ship Date]]-Europe_Sales_Records[[#This Row],[Order Date]]</f>
        <v>44</v>
      </c>
      <c r="J858" s="1">
        <v>2670</v>
      </c>
      <c r="K858" s="1">
        <v>437.2</v>
      </c>
      <c r="L858" s="1">
        <v>263.33</v>
      </c>
      <c r="M858" s="1">
        <f>Europe_Sales_Records[[#This Row],[Unit Price]]-Europe_Sales_Records[[#This Row],[Unit Cost]]</f>
        <v>173.87</v>
      </c>
      <c r="N858" s="1">
        <v>1167324</v>
      </c>
      <c r="O858" s="6">
        <v>703091.1</v>
      </c>
      <c r="P858" s="1">
        <v>464232.9</v>
      </c>
    </row>
    <row r="859" spans="1:16" x14ac:dyDescent="0.3">
      <c r="A859" s="1" t="s">
        <v>14</v>
      </c>
      <c r="B859" s="1" t="s">
        <v>20</v>
      </c>
      <c r="C859" s="1" t="s">
        <v>39</v>
      </c>
      <c r="D859" s="1" t="s">
        <v>17</v>
      </c>
      <c r="E859" s="1" t="s">
        <v>23</v>
      </c>
      <c r="F859" s="7">
        <v>40945</v>
      </c>
      <c r="G859" s="1" t="s">
        <v>938</v>
      </c>
      <c r="H859" s="7">
        <v>40958</v>
      </c>
      <c r="I859" s="1">
        <f>Europe_Sales_Records[[#This Row],[Ship Date]]-Europe_Sales_Records[[#This Row],[Order Date]]</f>
        <v>13</v>
      </c>
      <c r="J859" s="1">
        <v>7763</v>
      </c>
      <c r="K859" s="1">
        <v>154.06</v>
      </c>
      <c r="L859" s="1">
        <v>90.93</v>
      </c>
      <c r="M859" s="1">
        <f>Europe_Sales_Records[[#This Row],[Unit Price]]-Europe_Sales_Records[[#This Row],[Unit Cost]]</f>
        <v>63.129999999999995</v>
      </c>
      <c r="N859" s="1">
        <v>1195967.78</v>
      </c>
      <c r="O859" s="6">
        <v>705889.59</v>
      </c>
      <c r="P859" s="1">
        <v>490078.19</v>
      </c>
    </row>
    <row r="860" spans="1:16" x14ac:dyDescent="0.3">
      <c r="A860" s="1" t="s">
        <v>14</v>
      </c>
      <c r="B860" s="1" t="s">
        <v>127</v>
      </c>
      <c r="C860" s="1" t="s">
        <v>42</v>
      </c>
      <c r="D860" s="1" t="s">
        <v>22</v>
      </c>
      <c r="E860" s="1" t="s">
        <v>18</v>
      </c>
      <c r="F860" s="7">
        <v>42079</v>
      </c>
      <c r="G860" s="1" t="s">
        <v>939</v>
      </c>
      <c r="H860" s="7">
        <v>42096</v>
      </c>
      <c r="I860" s="1">
        <f>Europe_Sales_Records[[#This Row],[Ship Date]]-Europe_Sales_Records[[#This Row],[Order Date]]</f>
        <v>17</v>
      </c>
      <c r="J860" s="1">
        <v>2659</v>
      </c>
      <c r="K860" s="1">
        <v>421.89</v>
      </c>
      <c r="L860" s="1">
        <v>364.69</v>
      </c>
      <c r="M860" s="1">
        <f>Europe_Sales_Records[[#This Row],[Unit Price]]-Europe_Sales_Records[[#This Row],[Unit Cost]]</f>
        <v>57.199999999999989</v>
      </c>
      <c r="N860" s="1">
        <v>1121805.51</v>
      </c>
      <c r="O860" s="6">
        <v>969710.71</v>
      </c>
      <c r="P860" s="1">
        <v>152094.79999999999</v>
      </c>
    </row>
    <row r="861" spans="1:16" x14ac:dyDescent="0.3">
      <c r="A861" s="1" t="s">
        <v>14</v>
      </c>
      <c r="B861" s="1" t="s">
        <v>97</v>
      </c>
      <c r="C861" s="1" t="s">
        <v>33</v>
      </c>
      <c r="D861" s="1" t="s">
        <v>22</v>
      </c>
      <c r="E861" s="1" t="s">
        <v>18</v>
      </c>
      <c r="F861" s="7">
        <v>42070</v>
      </c>
      <c r="G861" s="1" t="s">
        <v>940</v>
      </c>
      <c r="H861" s="7">
        <v>42074</v>
      </c>
      <c r="I861" s="1">
        <f>Europe_Sales_Records[[#This Row],[Ship Date]]-Europe_Sales_Records[[#This Row],[Order Date]]</f>
        <v>4</v>
      </c>
      <c r="J861" s="1">
        <v>803</v>
      </c>
      <c r="K861" s="1">
        <v>9.33</v>
      </c>
      <c r="L861" s="1">
        <v>6.92</v>
      </c>
      <c r="M861" s="1">
        <f>Europe_Sales_Records[[#This Row],[Unit Price]]-Europe_Sales_Records[[#This Row],[Unit Cost]]</f>
        <v>2.41</v>
      </c>
      <c r="N861" s="1">
        <v>7491.99</v>
      </c>
      <c r="O861" s="6">
        <v>5556.76</v>
      </c>
      <c r="P861" s="1">
        <v>1935.23</v>
      </c>
    </row>
    <row r="862" spans="1:16" x14ac:dyDescent="0.3">
      <c r="A862" s="1" t="s">
        <v>14</v>
      </c>
      <c r="B862" s="1" t="s">
        <v>25</v>
      </c>
      <c r="C862" s="1" t="s">
        <v>79</v>
      </c>
      <c r="D862" s="1" t="s">
        <v>22</v>
      </c>
      <c r="E862" s="1" t="s">
        <v>23</v>
      </c>
      <c r="F862" s="7">
        <v>41851</v>
      </c>
      <c r="G862" s="1" t="s">
        <v>941</v>
      </c>
      <c r="H862" s="7">
        <v>41859</v>
      </c>
      <c r="I862" s="1">
        <f>Europe_Sales_Records[[#This Row],[Ship Date]]-Europe_Sales_Records[[#This Row],[Order Date]]</f>
        <v>8</v>
      </c>
      <c r="J862" s="1">
        <v>2009</v>
      </c>
      <c r="K862" s="1">
        <v>81.73</v>
      </c>
      <c r="L862" s="1">
        <v>56.67</v>
      </c>
      <c r="M862" s="1">
        <f>Europe_Sales_Records[[#This Row],[Unit Price]]-Europe_Sales_Records[[#This Row],[Unit Cost]]</f>
        <v>25.060000000000002</v>
      </c>
      <c r="N862" s="1">
        <v>164195.57</v>
      </c>
      <c r="O862" s="6">
        <v>113850.03</v>
      </c>
      <c r="P862" s="1">
        <v>50345.54</v>
      </c>
    </row>
    <row r="863" spans="1:16" x14ac:dyDescent="0.3">
      <c r="A863" s="1" t="s">
        <v>14</v>
      </c>
      <c r="B863" s="1" t="s">
        <v>69</v>
      </c>
      <c r="C863" s="1" t="s">
        <v>26</v>
      </c>
      <c r="D863" s="1" t="s">
        <v>17</v>
      </c>
      <c r="E863" s="1" t="s">
        <v>23</v>
      </c>
      <c r="F863" s="7">
        <v>40704</v>
      </c>
      <c r="G863" s="1" t="s">
        <v>942</v>
      </c>
      <c r="H863" s="7">
        <v>40748</v>
      </c>
      <c r="I863" s="1">
        <f>Europe_Sales_Records[[#This Row],[Ship Date]]-Europe_Sales_Records[[#This Row],[Order Date]]</f>
        <v>44</v>
      </c>
      <c r="J863" s="1">
        <v>4080</v>
      </c>
      <c r="K863" s="1">
        <v>205.7</v>
      </c>
      <c r="L863" s="1">
        <v>117.11</v>
      </c>
      <c r="M863" s="1">
        <f>Europe_Sales_Records[[#This Row],[Unit Price]]-Europe_Sales_Records[[#This Row],[Unit Cost]]</f>
        <v>88.589999999999989</v>
      </c>
      <c r="N863" s="1">
        <v>839256</v>
      </c>
      <c r="O863" s="6">
        <v>477808.8</v>
      </c>
      <c r="P863" s="1">
        <v>361447.2</v>
      </c>
    </row>
    <row r="864" spans="1:16" x14ac:dyDescent="0.3">
      <c r="A864" s="1" t="s">
        <v>14</v>
      </c>
      <c r="B864" s="1" t="s">
        <v>20</v>
      </c>
      <c r="C864" s="1" t="s">
        <v>33</v>
      </c>
      <c r="D864" s="1" t="s">
        <v>17</v>
      </c>
      <c r="E864" s="1" t="s">
        <v>30</v>
      </c>
      <c r="F864" s="7">
        <v>42658</v>
      </c>
      <c r="G864" s="1" t="s">
        <v>943</v>
      </c>
      <c r="H864" s="7">
        <v>42674</v>
      </c>
      <c r="I864" s="1">
        <f>Europe_Sales_Records[[#This Row],[Ship Date]]-Europe_Sales_Records[[#This Row],[Order Date]]</f>
        <v>16</v>
      </c>
      <c r="J864" s="1">
        <v>1523</v>
      </c>
      <c r="K864" s="1">
        <v>9.33</v>
      </c>
      <c r="L864" s="1">
        <v>6.92</v>
      </c>
      <c r="M864" s="1">
        <f>Europe_Sales_Records[[#This Row],[Unit Price]]-Europe_Sales_Records[[#This Row],[Unit Cost]]</f>
        <v>2.41</v>
      </c>
      <c r="N864" s="1">
        <v>14209.59</v>
      </c>
      <c r="O864" s="6">
        <v>10539.16</v>
      </c>
      <c r="P864" s="1">
        <v>3670.43</v>
      </c>
    </row>
    <row r="865" spans="1:16" x14ac:dyDescent="0.3">
      <c r="A865" s="1" t="s">
        <v>14</v>
      </c>
      <c r="B865" s="1" t="s">
        <v>28</v>
      </c>
      <c r="C865" s="1" t="s">
        <v>42</v>
      </c>
      <c r="D865" s="1" t="s">
        <v>22</v>
      </c>
      <c r="E865" s="1" t="s">
        <v>18</v>
      </c>
      <c r="F865" s="7">
        <v>40379</v>
      </c>
      <c r="G865" s="1" t="s">
        <v>944</v>
      </c>
      <c r="H865" s="7">
        <v>40382</v>
      </c>
      <c r="I865" s="1">
        <f>Europe_Sales_Records[[#This Row],[Ship Date]]-Europe_Sales_Records[[#This Row],[Order Date]]</f>
        <v>3</v>
      </c>
      <c r="J865" s="1">
        <v>1644</v>
      </c>
      <c r="K865" s="1">
        <v>421.89</v>
      </c>
      <c r="L865" s="1">
        <v>364.69</v>
      </c>
      <c r="M865" s="1">
        <f>Europe_Sales_Records[[#This Row],[Unit Price]]-Europe_Sales_Records[[#This Row],[Unit Cost]]</f>
        <v>57.199999999999989</v>
      </c>
      <c r="N865" s="1">
        <v>693587.16</v>
      </c>
      <c r="O865" s="6">
        <v>599550.36</v>
      </c>
      <c r="P865" s="1">
        <v>94036.800000000003</v>
      </c>
    </row>
    <row r="866" spans="1:16" x14ac:dyDescent="0.3">
      <c r="A866" s="1" t="s">
        <v>14</v>
      </c>
      <c r="B866" s="1" t="s">
        <v>97</v>
      </c>
      <c r="C866" s="1" t="s">
        <v>39</v>
      </c>
      <c r="D866" s="1" t="s">
        <v>17</v>
      </c>
      <c r="E866" s="1" t="s">
        <v>23</v>
      </c>
      <c r="F866" s="7">
        <v>42802</v>
      </c>
      <c r="G866" s="1" t="s">
        <v>945</v>
      </c>
      <c r="H866" s="7">
        <v>42814</v>
      </c>
      <c r="I866" s="1">
        <f>Europe_Sales_Records[[#This Row],[Ship Date]]-Europe_Sales_Records[[#This Row],[Order Date]]</f>
        <v>12</v>
      </c>
      <c r="J866" s="1">
        <v>9917</v>
      </c>
      <c r="K866" s="1">
        <v>154.06</v>
      </c>
      <c r="L866" s="1">
        <v>90.93</v>
      </c>
      <c r="M866" s="1">
        <f>Europe_Sales_Records[[#This Row],[Unit Price]]-Europe_Sales_Records[[#This Row],[Unit Cost]]</f>
        <v>63.129999999999995</v>
      </c>
      <c r="N866" s="1">
        <v>1527813.02</v>
      </c>
      <c r="O866" s="6">
        <v>901752.81</v>
      </c>
      <c r="P866" s="1">
        <v>626060.21</v>
      </c>
    </row>
    <row r="867" spans="1:16" x14ac:dyDescent="0.3">
      <c r="A867" s="1" t="s">
        <v>14</v>
      </c>
      <c r="B867" s="1" t="s">
        <v>106</v>
      </c>
      <c r="C867" s="1" t="s">
        <v>42</v>
      </c>
      <c r="D867" s="1" t="s">
        <v>22</v>
      </c>
      <c r="E867" s="1" t="s">
        <v>23</v>
      </c>
      <c r="F867" s="7">
        <v>41615</v>
      </c>
      <c r="G867" s="1" t="s">
        <v>946</v>
      </c>
      <c r="H867" s="7">
        <v>41618</v>
      </c>
      <c r="I867" s="1">
        <f>Europe_Sales_Records[[#This Row],[Ship Date]]-Europe_Sales_Records[[#This Row],[Order Date]]</f>
        <v>3</v>
      </c>
      <c r="J867" s="1">
        <v>7302</v>
      </c>
      <c r="K867" s="1">
        <v>421.89</v>
      </c>
      <c r="L867" s="1">
        <v>364.69</v>
      </c>
      <c r="M867" s="1">
        <f>Europe_Sales_Records[[#This Row],[Unit Price]]-Europe_Sales_Records[[#This Row],[Unit Cost]]</f>
        <v>57.199999999999989</v>
      </c>
      <c r="N867" s="1">
        <v>3080640.78</v>
      </c>
      <c r="O867" s="6">
        <v>2662966.38</v>
      </c>
      <c r="P867" s="1">
        <v>417674.4</v>
      </c>
    </row>
    <row r="868" spans="1:16" x14ac:dyDescent="0.3">
      <c r="A868" s="1" t="s">
        <v>14</v>
      </c>
      <c r="B868" s="1" t="s">
        <v>150</v>
      </c>
      <c r="C868" s="1" t="s">
        <v>60</v>
      </c>
      <c r="D868" s="1" t="s">
        <v>22</v>
      </c>
      <c r="E868" s="1" t="s">
        <v>45</v>
      </c>
      <c r="F868" s="7">
        <v>41009</v>
      </c>
      <c r="G868" s="1" t="s">
        <v>947</v>
      </c>
      <c r="H868" s="7">
        <v>41055</v>
      </c>
      <c r="I868" s="1">
        <f>Europe_Sales_Records[[#This Row],[Ship Date]]-Europe_Sales_Records[[#This Row],[Order Date]]</f>
        <v>46</v>
      </c>
      <c r="J868" s="1">
        <v>9780</v>
      </c>
      <c r="K868" s="1">
        <v>437.2</v>
      </c>
      <c r="L868" s="1">
        <v>263.33</v>
      </c>
      <c r="M868" s="1">
        <f>Europe_Sales_Records[[#This Row],[Unit Price]]-Europe_Sales_Records[[#This Row],[Unit Cost]]</f>
        <v>173.87</v>
      </c>
      <c r="N868" s="1">
        <v>4275816</v>
      </c>
      <c r="O868" s="6">
        <v>2575367.4</v>
      </c>
      <c r="P868" s="1">
        <v>1700448.6</v>
      </c>
    </row>
    <row r="869" spans="1:16" x14ac:dyDescent="0.3">
      <c r="A869" s="1" t="s">
        <v>14</v>
      </c>
      <c r="B869" s="1" t="s">
        <v>232</v>
      </c>
      <c r="C869" s="1" t="s">
        <v>33</v>
      </c>
      <c r="D869" s="1" t="s">
        <v>17</v>
      </c>
      <c r="E869" s="1" t="s">
        <v>23</v>
      </c>
      <c r="F869" s="7">
        <v>41660</v>
      </c>
      <c r="G869" s="1" t="s">
        <v>948</v>
      </c>
      <c r="H869" s="7">
        <v>41680</v>
      </c>
      <c r="I869" s="1">
        <f>Europe_Sales_Records[[#This Row],[Ship Date]]-Europe_Sales_Records[[#This Row],[Order Date]]</f>
        <v>20</v>
      </c>
      <c r="J869" s="1">
        <v>1735</v>
      </c>
      <c r="K869" s="1">
        <v>9.33</v>
      </c>
      <c r="L869" s="1">
        <v>6.92</v>
      </c>
      <c r="M869" s="1">
        <f>Europe_Sales_Records[[#This Row],[Unit Price]]-Europe_Sales_Records[[#This Row],[Unit Cost]]</f>
        <v>2.41</v>
      </c>
      <c r="N869" s="1">
        <v>16187.55</v>
      </c>
      <c r="O869" s="6">
        <v>12006.2</v>
      </c>
      <c r="P869" s="1">
        <v>4181.3500000000004</v>
      </c>
    </row>
    <row r="870" spans="1:16" x14ac:dyDescent="0.3">
      <c r="A870" s="1" t="s">
        <v>14</v>
      </c>
      <c r="B870" s="1" t="s">
        <v>38</v>
      </c>
      <c r="C870" s="1" t="s">
        <v>39</v>
      </c>
      <c r="D870" s="1" t="s">
        <v>22</v>
      </c>
      <c r="E870" s="1" t="s">
        <v>23</v>
      </c>
      <c r="F870" s="7">
        <v>41912</v>
      </c>
      <c r="G870" s="1" t="s">
        <v>949</v>
      </c>
      <c r="H870" s="7">
        <v>41960</v>
      </c>
      <c r="I870" s="1">
        <f>Europe_Sales_Records[[#This Row],[Ship Date]]-Europe_Sales_Records[[#This Row],[Order Date]]</f>
        <v>48</v>
      </c>
      <c r="J870" s="1">
        <v>1581</v>
      </c>
      <c r="K870" s="1">
        <v>154.06</v>
      </c>
      <c r="L870" s="1">
        <v>90.93</v>
      </c>
      <c r="M870" s="1">
        <f>Europe_Sales_Records[[#This Row],[Unit Price]]-Europe_Sales_Records[[#This Row],[Unit Cost]]</f>
        <v>63.129999999999995</v>
      </c>
      <c r="N870" s="1">
        <v>243568.86</v>
      </c>
      <c r="O870" s="6">
        <v>143760.32999999999</v>
      </c>
      <c r="P870" s="1">
        <v>99808.53</v>
      </c>
    </row>
    <row r="871" spans="1:16" x14ac:dyDescent="0.3">
      <c r="A871" s="1" t="s">
        <v>14</v>
      </c>
      <c r="B871" s="1" t="s">
        <v>69</v>
      </c>
      <c r="C871" s="1" t="s">
        <v>57</v>
      </c>
      <c r="D871" s="1" t="s">
        <v>22</v>
      </c>
      <c r="E871" s="1" t="s">
        <v>23</v>
      </c>
      <c r="F871" s="7">
        <v>42580</v>
      </c>
      <c r="G871" s="1" t="s">
        <v>950</v>
      </c>
      <c r="H871" s="7">
        <v>42588</v>
      </c>
      <c r="I871" s="1">
        <f>Europe_Sales_Records[[#This Row],[Ship Date]]-Europe_Sales_Records[[#This Row],[Order Date]]</f>
        <v>8</v>
      </c>
      <c r="J871" s="1">
        <v>2392</v>
      </c>
      <c r="K871" s="1">
        <v>668.27</v>
      </c>
      <c r="L871" s="1">
        <v>502.54</v>
      </c>
      <c r="M871" s="1">
        <f>Europe_Sales_Records[[#This Row],[Unit Price]]-Europe_Sales_Records[[#This Row],[Unit Cost]]</f>
        <v>165.72999999999996</v>
      </c>
      <c r="N871" s="1">
        <v>1598501.84</v>
      </c>
      <c r="O871" s="6">
        <v>1202075.68</v>
      </c>
      <c r="P871" s="1">
        <v>396426.16</v>
      </c>
    </row>
    <row r="872" spans="1:16" x14ac:dyDescent="0.3">
      <c r="A872" s="1" t="s">
        <v>14</v>
      </c>
      <c r="B872" s="1" t="s">
        <v>106</v>
      </c>
      <c r="C872" s="1" t="s">
        <v>60</v>
      </c>
      <c r="D872" s="1" t="s">
        <v>22</v>
      </c>
      <c r="E872" s="1" t="s">
        <v>23</v>
      </c>
      <c r="F872" s="7">
        <v>42313</v>
      </c>
      <c r="G872" s="1" t="s">
        <v>951</v>
      </c>
      <c r="H872" s="7">
        <v>42357</v>
      </c>
      <c r="I872" s="1">
        <f>Europe_Sales_Records[[#This Row],[Ship Date]]-Europe_Sales_Records[[#This Row],[Order Date]]</f>
        <v>44</v>
      </c>
      <c r="J872" s="1">
        <v>5282</v>
      </c>
      <c r="K872" s="1">
        <v>437.2</v>
      </c>
      <c r="L872" s="1">
        <v>263.33</v>
      </c>
      <c r="M872" s="1">
        <f>Europe_Sales_Records[[#This Row],[Unit Price]]-Europe_Sales_Records[[#This Row],[Unit Cost]]</f>
        <v>173.87</v>
      </c>
      <c r="N872" s="1">
        <v>2309290.4</v>
      </c>
      <c r="O872" s="6">
        <v>1390909.06</v>
      </c>
      <c r="P872" s="1">
        <v>918381.34</v>
      </c>
    </row>
    <row r="873" spans="1:16" x14ac:dyDescent="0.3">
      <c r="A873" s="1" t="s">
        <v>14</v>
      </c>
      <c r="B873" s="1" t="s">
        <v>118</v>
      </c>
      <c r="C873" s="1" t="s">
        <v>42</v>
      </c>
      <c r="D873" s="1" t="s">
        <v>22</v>
      </c>
      <c r="E873" s="1" t="s">
        <v>45</v>
      </c>
      <c r="F873" s="7">
        <v>41366</v>
      </c>
      <c r="G873" s="1" t="s">
        <v>952</v>
      </c>
      <c r="H873" s="7">
        <v>41396</v>
      </c>
      <c r="I873" s="1">
        <f>Europe_Sales_Records[[#This Row],[Ship Date]]-Europe_Sales_Records[[#This Row],[Order Date]]</f>
        <v>30</v>
      </c>
      <c r="J873" s="1">
        <v>983</v>
      </c>
      <c r="K873" s="1">
        <v>421.89</v>
      </c>
      <c r="L873" s="1">
        <v>364.69</v>
      </c>
      <c r="M873" s="1">
        <f>Europe_Sales_Records[[#This Row],[Unit Price]]-Europe_Sales_Records[[#This Row],[Unit Cost]]</f>
        <v>57.199999999999989</v>
      </c>
      <c r="N873" s="1">
        <v>414717.87</v>
      </c>
      <c r="O873" s="6">
        <v>358490.27</v>
      </c>
      <c r="P873" s="1">
        <v>56227.6</v>
      </c>
    </row>
    <row r="874" spans="1:16" x14ac:dyDescent="0.3">
      <c r="A874" s="1" t="s">
        <v>14</v>
      </c>
      <c r="B874" s="1" t="s">
        <v>54</v>
      </c>
      <c r="C874" s="1" t="s">
        <v>79</v>
      </c>
      <c r="D874" s="1" t="s">
        <v>17</v>
      </c>
      <c r="E874" s="1" t="s">
        <v>45</v>
      </c>
      <c r="F874" s="7">
        <v>41914</v>
      </c>
      <c r="G874" s="1" t="s">
        <v>953</v>
      </c>
      <c r="H874" s="7">
        <v>41916</v>
      </c>
      <c r="I874" s="1">
        <f>Europe_Sales_Records[[#This Row],[Ship Date]]-Europe_Sales_Records[[#This Row],[Order Date]]</f>
        <v>2</v>
      </c>
      <c r="J874" s="1">
        <v>240</v>
      </c>
      <c r="K874" s="1">
        <v>81.73</v>
      </c>
      <c r="L874" s="1">
        <v>56.67</v>
      </c>
      <c r="M874" s="1">
        <f>Europe_Sales_Records[[#This Row],[Unit Price]]-Europe_Sales_Records[[#This Row],[Unit Cost]]</f>
        <v>25.060000000000002</v>
      </c>
      <c r="N874" s="1">
        <v>19615.2</v>
      </c>
      <c r="O874" s="6">
        <v>13600.8</v>
      </c>
      <c r="P874" s="1">
        <v>6014.4</v>
      </c>
    </row>
    <row r="875" spans="1:16" x14ac:dyDescent="0.3">
      <c r="A875" s="1" t="s">
        <v>14</v>
      </c>
      <c r="B875" s="1" t="s">
        <v>91</v>
      </c>
      <c r="C875" s="1" t="s">
        <v>16</v>
      </c>
      <c r="D875" s="1" t="s">
        <v>22</v>
      </c>
      <c r="E875" s="1" t="s">
        <v>45</v>
      </c>
      <c r="F875" s="7">
        <v>40699</v>
      </c>
      <c r="G875" s="1" t="s">
        <v>954</v>
      </c>
      <c r="H875" s="7">
        <v>40723</v>
      </c>
      <c r="I875" s="1">
        <f>Europe_Sales_Records[[#This Row],[Ship Date]]-Europe_Sales_Records[[#This Row],[Order Date]]</f>
        <v>24</v>
      </c>
      <c r="J875" s="1">
        <v>6612</v>
      </c>
      <c r="K875" s="1">
        <v>47.45</v>
      </c>
      <c r="L875" s="1">
        <v>31.79</v>
      </c>
      <c r="M875" s="1">
        <f>Europe_Sales_Records[[#This Row],[Unit Price]]-Europe_Sales_Records[[#This Row],[Unit Cost]]</f>
        <v>15.660000000000004</v>
      </c>
      <c r="N875" s="1">
        <v>313739.40000000002</v>
      </c>
      <c r="O875" s="6">
        <v>210195.48</v>
      </c>
      <c r="P875" s="1">
        <v>103543.92</v>
      </c>
    </row>
    <row r="876" spans="1:16" x14ac:dyDescent="0.3">
      <c r="A876" s="1" t="s">
        <v>14</v>
      </c>
      <c r="B876" s="1" t="s">
        <v>91</v>
      </c>
      <c r="C876" s="1" t="s">
        <v>57</v>
      </c>
      <c r="D876" s="1" t="s">
        <v>22</v>
      </c>
      <c r="E876" s="1" t="s">
        <v>30</v>
      </c>
      <c r="F876" s="7">
        <v>40958</v>
      </c>
      <c r="G876" s="1" t="s">
        <v>955</v>
      </c>
      <c r="H876" s="7">
        <v>40974</v>
      </c>
      <c r="I876" s="1">
        <f>Europe_Sales_Records[[#This Row],[Ship Date]]-Europe_Sales_Records[[#This Row],[Order Date]]</f>
        <v>16</v>
      </c>
      <c r="J876" s="1">
        <v>3796</v>
      </c>
      <c r="K876" s="1">
        <v>668.27</v>
      </c>
      <c r="L876" s="1">
        <v>502.54</v>
      </c>
      <c r="M876" s="1">
        <f>Europe_Sales_Records[[#This Row],[Unit Price]]-Europe_Sales_Records[[#This Row],[Unit Cost]]</f>
        <v>165.72999999999996</v>
      </c>
      <c r="N876" s="1">
        <v>2536752.92</v>
      </c>
      <c r="O876" s="6">
        <v>1907641.84</v>
      </c>
      <c r="P876" s="1">
        <v>629111.07999999996</v>
      </c>
    </row>
    <row r="877" spans="1:16" x14ac:dyDescent="0.3">
      <c r="A877" s="1" t="s">
        <v>14</v>
      </c>
      <c r="B877" s="1" t="s">
        <v>59</v>
      </c>
      <c r="C877" s="1" t="s">
        <v>79</v>
      </c>
      <c r="D877" s="1" t="s">
        <v>22</v>
      </c>
      <c r="E877" s="1" t="s">
        <v>23</v>
      </c>
      <c r="F877" s="7">
        <v>40600</v>
      </c>
      <c r="G877" s="1" t="s">
        <v>956</v>
      </c>
      <c r="H877" s="7">
        <v>40630</v>
      </c>
      <c r="I877" s="1">
        <f>Europe_Sales_Records[[#This Row],[Ship Date]]-Europe_Sales_Records[[#This Row],[Order Date]]</f>
        <v>30</v>
      </c>
      <c r="J877" s="1">
        <v>6378</v>
      </c>
      <c r="K877" s="1">
        <v>81.73</v>
      </c>
      <c r="L877" s="1">
        <v>56.67</v>
      </c>
      <c r="M877" s="1">
        <f>Europe_Sales_Records[[#This Row],[Unit Price]]-Europe_Sales_Records[[#This Row],[Unit Cost]]</f>
        <v>25.060000000000002</v>
      </c>
      <c r="N877" s="1">
        <v>521273.94</v>
      </c>
      <c r="O877" s="6">
        <v>361441.26</v>
      </c>
      <c r="P877" s="1">
        <v>159832.68</v>
      </c>
    </row>
    <row r="878" spans="1:16" x14ac:dyDescent="0.3">
      <c r="A878" s="1" t="s">
        <v>14</v>
      </c>
      <c r="B878" s="1" t="s">
        <v>44</v>
      </c>
      <c r="C878" s="1" t="s">
        <v>48</v>
      </c>
      <c r="D878" s="1" t="s">
        <v>17</v>
      </c>
      <c r="E878" s="1" t="s">
        <v>45</v>
      </c>
      <c r="F878" s="7">
        <v>41343</v>
      </c>
      <c r="G878" s="1" t="s">
        <v>957</v>
      </c>
      <c r="H878" s="7">
        <v>41375</v>
      </c>
      <c r="I878" s="1">
        <f>Europe_Sales_Records[[#This Row],[Ship Date]]-Europe_Sales_Records[[#This Row],[Order Date]]</f>
        <v>32</v>
      </c>
      <c r="J878" s="1">
        <v>3223</v>
      </c>
      <c r="K878" s="1">
        <v>152.58000000000001</v>
      </c>
      <c r="L878" s="1">
        <v>97.44</v>
      </c>
      <c r="M878" s="1">
        <f>Europe_Sales_Records[[#This Row],[Unit Price]]-Europe_Sales_Records[[#This Row],[Unit Cost]]</f>
        <v>55.140000000000015</v>
      </c>
      <c r="N878" s="1">
        <v>491765.34</v>
      </c>
      <c r="O878" s="6">
        <v>314049.12</v>
      </c>
      <c r="P878" s="1">
        <v>177716.22</v>
      </c>
    </row>
    <row r="879" spans="1:16" x14ac:dyDescent="0.3">
      <c r="A879" s="1" t="s">
        <v>14</v>
      </c>
      <c r="B879" s="1" t="s">
        <v>232</v>
      </c>
      <c r="C879" s="1" t="s">
        <v>42</v>
      </c>
      <c r="D879" s="1" t="s">
        <v>22</v>
      </c>
      <c r="E879" s="1" t="s">
        <v>23</v>
      </c>
      <c r="F879" s="7">
        <v>40651</v>
      </c>
      <c r="G879" s="1" t="s">
        <v>958</v>
      </c>
      <c r="H879" s="7">
        <v>40672</v>
      </c>
      <c r="I879" s="1">
        <f>Europe_Sales_Records[[#This Row],[Ship Date]]-Europe_Sales_Records[[#This Row],[Order Date]]</f>
        <v>21</v>
      </c>
      <c r="J879" s="1">
        <v>1793</v>
      </c>
      <c r="K879" s="1">
        <v>421.89</v>
      </c>
      <c r="L879" s="1">
        <v>364.69</v>
      </c>
      <c r="M879" s="1">
        <f>Europe_Sales_Records[[#This Row],[Unit Price]]-Europe_Sales_Records[[#This Row],[Unit Cost]]</f>
        <v>57.199999999999989</v>
      </c>
      <c r="N879" s="1">
        <v>756448.77</v>
      </c>
      <c r="O879" s="6">
        <v>653889.17000000004</v>
      </c>
      <c r="P879" s="1">
        <v>102559.6</v>
      </c>
    </row>
    <row r="880" spans="1:16" x14ac:dyDescent="0.3">
      <c r="A880" s="1" t="s">
        <v>14</v>
      </c>
      <c r="B880" s="1" t="s">
        <v>91</v>
      </c>
      <c r="C880" s="1" t="s">
        <v>48</v>
      </c>
      <c r="D880" s="1" t="s">
        <v>22</v>
      </c>
      <c r="E880" s="1" t="s">
        <v>45</v>
      </c>
      <c r="F880" s="7">
        <v>40602</v>
      </c>
      <c r="G880" s="1" t="s">
        <v>959</v>
      </c>
      <c r="H880" s="7">
        <v>40645</v>
      </c>
      <c r="I880" s="1">
        <f>Europe_Sales_Records[[#This Row],[Ship Date]]-Europe_Sales_Records[[#This Row],[Order Date]]</f>
        <v>43</v>
      </c>
      <c r="J880" s="1">
        <v>2037</v>
      </c>
      <c r="K880" s="1">
        <v>152.58000000000001</v>
      </c>
      <c r="L880" s="1">
        <v>97.44</v>
      </c>
      <c r="M880" s="1">
        <f>Europe_Sales_Records[[#This Row],[Unit Price]]-Europe_Sales_Records[[#This Row],[Unit Cost]]</f>
        <v>55.140000000000015</v>
      </c>
      <c r="N880" s="1">
        <v>310805.46000000002</v>
      </c>
      <c r="O880" s="6">
        <v>198485.28</v>
      </c>
      <c r="P880" s="1">
        <v>112320.18</v>
      </c>
    </row>
    <row r="881" spans="1:16" x14ac:dyDescent="0.3">
      <c r="A881" s="1" t="s">
        <v>14</v>
      </c>
      <c r="B881" s="1" t="s">
        <v>81</v>
      </c>
      <c r="C881" s="1" t="s">
        <v>79</v>
      </c>
      <c r="D881" s="1" t="s">
        <v>22</v>
      </c>
      <c r="E881" s="1" t="s">
        <v>23</v>
      </c>
      <c r="F881" s="7">
        <v>41994</v>
      </c>
      <c r="G881" s="1" t="s">
        <v>960</v>
      </c>
      <c r="H881" s="7">
        <v>42017</v>
      </c>
      <c r="I881" s="1">
        <f>Europe_Sales_Records[[#This Row],[Ship Date]]-Europe_Sales_Records[[#This Row],[Order Date]]</f>
        <v>23</v>
      </c>
      <c r="J881" s="1">
        <v>5751</v>
      </c>
      <c r="K881" s="1">
        <v>81.73</v>
      </c>
      <c r="L881" s="1">
        <v>56.67</v>
      </c>
      <c r="M881" s="1">
        <f>Europe_Sales_Records[[#This Row],[Unit Price]]-Europe_Sales_Records[[#This Row],[Unit Cost]]</f>
        <v>25.060000000000002</v>
      </c>
      <c r="N881" s="1">
        <v>470029.23</v>
      </c>
      <c r="O881" s="6">
        <v>325909.17</v>
      </c>
      <c r="P881" s="1">
        <v>144120.06</v>
      </c>
    </row>
    <row r="882" spans="1:16" x14ac:dyDescent="0.3">
      <c r="A882" s="1" t="s">
        <v>14</v>
      </c>
      <c r="B882" s="1" t="s">
        <v>50</v>
      </c>
      <c r="C882" s="1" t="s">
        <v>26</v>
      </c>
      <c r="D882" s="1" t="s">
        <v>22</v>
      </c>
      <c r="E882" s="1" t="s">
        <v>23</v>
      </c>
      <c r="F882" s="7">
        <v>41767</v>
      </c>
      <c r="G882" s="1" t="s">
        <v>961</v>
      </c>
      <c r="H882" s="7">
        <v>41789</v>
      </c>
      <c r="I882" s="1">
        <f>Europe_Sales_Records[[#This Row],[Ship Date]]-Europe_Sales_Records[[#This Row],[Order Date]]</f>
        <v>22</v>
      </c>
      <c r="J882" s="1">
        <v>7967</v>
      </c>
      <c r="K882" s="1">
        <v>205.7</v>
      </c>
      <c r="L882" s="1">
        <v>117.11</v>
      </c>
      <c r="M882" s="1">
        <f>Europe_Sales_Records[[#This Row],[Unit Price]]-Europe_Sales_Records[[#This Row],[Unit Cost]]</f>
        <v>88.589999999999989</v>
      </c>
      <c r="N882" s="1">
        <v>1638811.9</v>
      </c>
      <c r="O882" s="6">
        <v>933015.37</v>
      </c>
      <c r="P882" s="1">
        <v>705796.53</v>
      </c>
    </row>
    <row r="883" spans="1:16" x14ac:dyDescent="0.3">
      <c r="A883" s="1" t="s">
        <v>14</v>
      </c>
      <c r="B883" s="1" t="s">
        <v>81</v>
      </c>
      <c r="C883" s="1" t="s">
        <v>79</v>
      </c>
      <c r="D883" s="1" t="s">
        <v>22</v>
      </c>
      <c r="E883" s="1" t="s">
        <v>18</v>
      </c>
      <c r="F883" s="7">
        <v>42157</v>
      </c>
      <c r="G883" s="1" t="s">
        <v>962</v>
      </c>
      <c r="H883" s="7">
        <v>42178</v>
      </c>
      <c r="I883" s="1">
        <f>Europe_Sales_Records[[#This Row],[Ship Date]]-Europe_Sales_Records[[#This Row],[Order Date]]</f>
        <v>21</v>
      </c>
      <c r="J883" s="1">
        <v>9941</v>
      </c>
      <c r="K883" s="1">
        <v>81.73</v>
      </c>
      <c r="L883" s="1">
        <v>56.67</v>
      </c>
      <c r="M883" s="1">
        <f>Europe_Sales_Records[[#This Row],[Unit Price]]-Europe_Sales_Records[[#This Row],[Unit Cost]]</f>
        <v>25.060000000000002</v>
      </c>
      <c r="N883" s="1">
        <v>812477.93</v>
      </c>
      <c r="O883" s="6">
        <v>563356.47</v>
      </c>
      <c r="P883" s="1">
        <v>249121.46</v>
      </c>
    </row>
    <row r="884" spans="1:16" x14ac:dyDescent="0.3">
      <c r="A884" s="1" t="s">
        <v>14</v>
      </c>
      <c r="B884" s="1" t="s">
        <v>137</v>
      </c>
      <c r="C884" s="1" t="s">
        <v>42</v>
      </c>
      <c r="D884" s="1" t="s">
        <v>17</v>
      </c>
      <c r="E884" s="1" t="s">
        <v>23</v>
      </c>
      <c r="F884" s="7">
        <v>42749</v>
      </c>
      <c r="G884" s="1" t="s">
        <v>963</v>
      </c>
      <c r="H884" s="7">
        <v>42753</v>
      </c>
      <c r="I884" s="1">
        <f>Europe_Sales_Records[[#This Row],[Ship Date]]-Europe_Sales_Records[[#This Row],[Order Date]]</f>
        <v>4</v>
      </c>
      <c r="J884" s="1">
        <v>6842</v>
      </c>
      <c r="K884" s="1">
        <v>421.89</v>
      </c>
      <c r="L884" s="1">
        <v>364.69</v>
      </c>
      <c r="M884" s="1">
        <f>Europe_Sales_Records[[#This Row],[Unit Price]]-Europe_Sales_Records[[#This Row],[Unit Cost]]</f>
        <v>57.199999999999989</v>
      </c>
      <c r="N884" s="1">
        <v>2886571.38</v>
      </c>
      <c r="O884" s="6">
        <v>2495208.98</v>
      </c>
      <c r="P884" s="1">
        <v>391362.4</v>
      </c>
    </row>
    <row r="885" spans="1:16" x14ac:dyDescent="0.3">
      <c r="A885" s="1" t="s">
        <v>14</v>
      </c>
      <c r="B885" s="1" t="s">
        <v>131</v>
      </c>
      <c r="C885" s="1" t="s">
        <v>16</v>
      </c>
      <c r="D885" s="1" t="s">
        <v>22</v>
      </c>
      <c r="E885" s="1" t="s">
        <v>45</v>
      </c>
      <c r="F885" s="7">
        <v>42229</v>
      </c>
      <c r="G885" s="1" t="s">
        <v>964</v>
      </c>
      <c r="H885" s="7">
        <v>42248</v>
      </c>
      <c r="I885" s="1">
        <f>Europe_Sales_Records[[#This Row],[Ship Date]]-Europe_Sales_Records[[#This Row],[Order Date]]</f>
        <v>19</v>
      </c>
      <c r="J885" s="1">
        <v>4957</v>
      </c>
      <c r="K885" s="1">
        <v>47.45</v>
      </c>
      <c r="L885" s="1">
        <v>31.79</v>
      </c>
      <c r="M885" s="1">
        <f>Europe_Sales_Records[[#This Row],[Unit Price]]-Europe_Sales_Records[[#This Row],[Unit Cost]]</f>
        <v>15.660000000000004</v>
      </c>
      <c r="N885" s="1">
        <v>235209.65</v>
      </c>
      <c r="O885" s="6">
        <v>157583.03</v>
      </c>
      <c r="P885" s="1">
        <v>77626.62</v>
      </c>
    </row>
    <row r="886" spans="1:16" x14ac:dyDescent="0.3">
      <c r="A886" s="1" t="s">
        <v>14</v>
      </c>
      <c r="B886" s="1" t="s">
        <v>35</v>
      </c>
      <c r="C886" s="1" t="s">
        <v>79</v>
      </c>
      <c r="D886" s="1" t="s">
        <v>17</v>
      </c>
      <c r="E886" s="1" t="s">
        <v>30</v>
      </c>
      <c r="F886" s="7">
        <v>42688</v>
      </c>
      <c r="G886" s="1" t="s">
        <v>965</v>
      </c>
      <c r="H886" s="7">
        <v>42734</v>
      </c>
      <c r="I886" s="1">
        <f>Europe_Sales_Records[[#This Row],[Ship Date]]-Europe_Sales_Records[[#This Row],[Order Date]]</f>
        <v>46</v>
      </c>
      <c r="J886" s="1">
        <v>3699</v>
      </c>
      <c r="K886" s="1">
        <v>81.73</v>
      </c>
      <c r="L886" s="1">
        <v>56.67</v>
      </c>
      <c r="M886" s="1">
        <f>Europe_Sales_Records[[#This Row],[Unit Price]]-Europe_Sales_Records[[#This Row],[Unit Cost]]</f>
        <v>25.060000000000002</v>
      </c>
      <c r="N886" s="1">
        <v>302319.27</v>
      </c>
      <c r="O886" s="6">
        <v>209622.33</v>
      </c>
      <c r="P886" s="1">
        <v>92696.94</v>
      </c>
    </row>
    <row r="887" spans="1:16" x14ac:dyDescent="0.3">
      <c r="A887" s="1" t="s">
        <v>14</v>
      </c>
      <c r="B887" s="1" t="s">
        <v>59</v>
      </c>
      <c r="C887" s="1" t="s">
        <v>60</v>
      </c>
      <c r="D887" s="1" t="s">
        <v>17</v>
      </c>
      <c r="E887" s="1" t="s">
        <v>23</v>
      </c>
      <c r="F887" s="7">
        <v>42914</v>
      </c>
      <c r="G887" s="1" t="s">
        <v>966</v>
      </c>
      <c r="H887" s="7">
        <v>42929</v>
      </c>
      <c r="I887" s="1">
        <f>Europe_Sales_Records[[#This Row],[Ship Date]]-Europe_Sales_Records[[#This Row],[Order Date]]</f>
        <v>15</v>
      </c>
      <c r="J887" s="1">
        <v>1975</v>
      </c>
      <c r="K887" s="1">
        <v>437.2</v>
      </c>
      <c r="L887" s="1">
        <v>263.33</v>
      </c>
      <c r="M887" s="1">
        <f>Europe_Sales_Records[[#This Row],[Unit Price]]-Europe_Sales_Records[[#This Row],[Unit Cost]]</f>
        <v>173.87</v>
      </c>
      <c r="N887" s="1">
        <v>863470</v>
      </c>
      <c r="O887" s="6">
        <v>520076.75</v>
      </c>
      <c r="P887" s="1">
        <v>343393.25</v>
      </c>
    </row>
    <row r="888" spans="1:16" x14ac:dyDescent="0.3">
      <c r="A888" s="1" t="s">
        <v>14</v>
      </c>
      <c r="B888" s="1" t="s">
        <v>59</v>
      </c>
      <c r="C888" s="1" t="s">
        <v>16</v>
      </c>
      <c r="D888" s="1" t="s">
        <v>17</v>
      </c>
      <c r="E888" s="1" t="s">
        <v>23</v>
      </c>
      <c r="F888" s="7">
        <v>42082</v>
      </c>
      <c r="G888" s="1" t="s">
        <v>967</v>
      </c>
      <c r="H888" s="7">
        <v>42084</v>
      </c>
      <c r="I888" s="1">
        <f>Europe_Sales_Records[[#This Row],[Ship Date]]-Europe_Sales_Records[[#This Row],[Order Date]]</f>
        <v>2</v>
      </c>
      <c r="J888" s="1">
        <v>5971</v>
      </c>
      <c r="K888" s="1">
        <v>47.45</v>
      </c>
      <c r="L888" s="1">
        <v>31.79</v>
      </c>
      <c r="M888" s="1">
        <f>Europe_Sales_Records[[#This Row],[Unit Price]]-Europe_Sales_Records[[#This Row],[Unit Cost]]</f>
        <v>15.660000000000004</v>
      </c>
      <c r="N888" s="1">
        <v>283323.95</v>
      </c>
      <c r="O888" s="6">
        <v>189818.09</v>
      </c>
      <c r="P888" s="1">
        <v>93505.86</v>
      </c>
    </row>
    <row r="889" spans="1:16" x14ac:dyDescent="0.3">
      <c r="A889" s="1" t="s">
        <v>14</v>
      </c>
      <c r="B889" s="1" t="s">
        <v>91</v>
      </c>
      <c r="C889" s="1" t="s">
        <v>21</v>
      </c>
      <c r="D889" s="1" t="s">
        <v>17</v>
      </c>
      <c r="E889" s="1" t="s">
        <v>18</v>
      </c>
      <c r="F889" s="7">
        <v>42787</v>
      </c>
      <c r="G889" s="1" t="s">
        <v>968</v>
      </c>
      <c r="H889" s="7">
        <v>42794</v>
      </c>
      <c r="I889" s="1">
        <f>Europe_Sales_Records[[#This Row],[Ship Date]]-Europe_Sales_Records[[#This Row],[Order Date]]</f>
        <v>7</v>
      </c>
      <c r="J889" s="1">
        <v>5436</v>
      </c>
      <c r="K889" s="1">
        <v>109.28</v>
      </c>
      <c r="L889" s="1">
        <v>35.840000000000003</v>
      </c>
      <c r="M889" s="1">
        <f>Europe_Sales_Records[[#This Row],[Unit Price]]-Europe_Sales_Records[[#This Row],[Unit Cost]]</f>
        <v>73.44</v>
      </c>
      <c r="N889" s="1">
        <v>594046.07999999996</v>
      </c>
      <c r="O889" s="6">
        <v>194826.23999999999</v>
      </c>
      <c r="P889" s="1">
        <v>399219.84</v>
      </c>
    </row>
    <row r="890" spans="1:16" x14ac:dyDescent="0.3">
      <c r="A890" s="1" t="s">
        <v>14</v>
      </c>
      <c r="B890" s="1" t="s">
        <v>99</v>
      </c>
      <c r="C890" s="1" t="s">
        <v>57</v>
      </c>
      <c r="D890" s="1" t="s">
        <v>17</v>
      </c>
      <c r="E890" s="1" t="s">
        <v>30</v>
      </c>
      <c r="F890" s="7">
        <v>42568</v>
      </c>
      <c r="G890" s="1" t="s">
        <v>969</v>
      </c>
      <c r="H890" s="7">
        <v>42614</v>
      </c>
      <c r="I890" s="1">
        <f>Europe_Sales_Records[[#This Row],[Ship Date]]-Europe_Sales_Records[[#This Row],[Order Date]]</f>
        <v>46</v>
      </c>
      <c r="J890" s="1">
        <v>8151</v>
      </c>
      <c r="K890" s="1">
        <v>668.27</v>
      </c>
      <c r="L890" s="1">
        <v>502.54</v>
      </c>
      <c r="M890" s="1">
        <f>Europe_Sales_Records[[#This Row],[Unit Price]]-Europe_Sales_Records[[#This Row],[Unit Cost]]</f>
        <v>165.72999999999996</v>
      </c>
      <c r="N890" s="1">
        <v>5447068.7699999996</v>
      </c>
      <c r="O890" s="6">
        <v>4096203.54</v>
      </c>
      <c r="P890" s="1">
        <v>1350865.23</v>
      </c>
    </row>
    <row r="891" spans="1:16" x14ac:dyDescent="0.3">
      <c r="A891" s="1" t="s">
        <v>14</v>
      </c>
      <c r="B891" s="1" t="s">
        <v>77</v>
      </c>
      <c r="C891" s="1" t="s">
        <v>16</v>
      </c>
      <c r="D891" s="1" t="s">
        <v>22</v>
      </c>
      <c r="E891" s="1" t="s">
        <v>23</v>
      </c>
      <c r="F891" s="7">
        <v>42162</v>
      </c>
      <c r="G891" s="1" t="s">
        <v>970</v>
      </c>
      <c r="H891" s="7">
        <v>42185</v>
      </c>
      <c r="I891" s="1">
        <f>Europe_Sales_Records[[#This Row],[Ship Date]]-Europe_Sales_Records[[#This Row],[Order Date]]</f>
        <v>23</v>
      </c>
      <c r="J891" s="1">
        <v>5906</v>
      </c>
      <c r="K891" s="1">
        <v>47.45</v>
      </c>
      <c r="L891" s="1">
        <v>31.79</v>
      </c>
      <c r="M891" s="1">
        <f>Europe_Sales_Records[[#This Row],[Unit Price]]-Europe_Sales_Records[[#This Row],[Unit Cost]]</f>
        <v>15.660000000000004</v>
      </c>
      <c r="N891" s="1">
        <v>280239.7</v>
      </c>
      <c r="O891" s="6">
        <v>187751.74</v>
      </c>
      <c r="P891" s="1">
        <v>92487.96</v>
      </c>
    </row>
    <row r="892" spans="1:16" x14ac:dyDescent="0.3">
      <c r="A892" s="1" t="s">
        <v>14</v>
      </c>
      <c r="B892" s="1" t="s">
        <v>25</v>
      </c>
      <c r="C892" s="1" t="s">
        <v>79</v>
      </c>
      <c r="D892" s="1" t="s">
        <v>22</v>
      </c>
      <c r="E892" s="1" t="s">
        <v>23</v>
      </c>
      <c r="F892" s="7">
        <v>42925</v>
      </c>
      <c r="G892" s="1" t="s">
        <v>971</v>
      </c>
      <c r="H892" s="7">
        <v>42936</v>
      </c>
      <c r="I892" s="1">
        <f>Europe_Sales_Records[[#This Row],[Ship Date]]-Europe_Sales_Records[[#This Row],[Order Date]]</f>
        <v>11</v>
      </c>
      <c r="J892" s="1">
        <v>1205</v>
      </c>
      <c r="K892" s="1">
        <v>81.73</v>
      </c>
      <c r="L892" s="1">
        <v>56.67</v>
      </c>
      <c r="M892" s="1">
        <f>Europe_Sales_Records[[#This Row],[Unit Price]]-Europe_Sales_Records[[#This Row],[Unit Cost]]</f>
        <v>25.060000000000002</v>
      </c>
      <c r="N892" s="1">
        <v>98484.65</v>
      </c>
      <c r="O892" s="6">
        <v>68287.350000000006</v>
      </c>
      <c r="P892" s="1">
        <v>30197.3</v>
      </c>
    </row>
    <row r="893" spans="1:16" x14ac:dyDescent="0.3">
      <c r="A893" s="1" t="s">
        <v>14</v>
      </c>
      <c r="B893" s="1" t="s">
        <v>176</v>
      </c>
      <c r="C893" s="1" t="s">
        <v>57</v>
      </c>
      <c r="D893" s="1" t="s">
        <v>22</v>
      </c>
      <c r="E893" s="1" t="s">
        <v>23</v>
      </c>
      <c r="F893" s="7">
        <v>41608</v>
      </c>
      <c r="G893" s="1" t="s">
        <v>972</v>
      </c>
      <c r="H893" s="7">
        <v>41622</v>
      </c>
      <c r="I893" s="1">
        <f>Europe_Sales_Records[[#This Row],[Ship Date]]-Europe_Sales_Records[[#This Row],[Order Date]]</f>
        <v>14</v>
      </c>
      <c r="J893" s="1">
        <v>6526</v>
      </c>
      <c r="K893" s="1">
        <v>668.27</v>
      </c>
      <c r="L893" s="1">
        <v>502.54</v>
      </c>
      <c r="M893" s="1">
        <f>Europe_Sales_Records[[#This Row],[Unit Price]]-Europe_Sales_Records[[#This Row],[Unit Cost]]</f>
        <v>165.72999999999996</v>
      </c>
      <c r="N893" s="1">
        <v>4361130.0199999996</v>
      </c>
      <c r="O893" s="6">
        <v>3279576.04</v>
      </c>
      <c r="P893" s="1">
        <v>1081553.98</v>
      </c>
    </row>
    <row r="894" spans="1:16" x14ac:dyDescent="0.3">
      <c r="A894" s="1" t="s">
        <v>14</v>
      </c>
      <c r="B894" s="1" t="s">
        <v>87</v>
      </c>
      <c r="C894" s="1" t="s">
        <v>26</v>
      </c>
      <c r="D894" s="1" t="s">
        <v>17</v>
      </c>
      <c r="E894" s="1" t="s">
        <v>18</v>
      </c>
      <c r="F894" s="7">
        <v>42161</v>
      </c>
      <c r="G894" s="1" t="s">
        <v>973</v>
      </c>
      <c r="H894" s="7">
        <v>42192</v>
      </c>
      <c r="I894" s="1">
        <f>Europe_Sales_Records[[#This Row],[Ship Date]]-Europe_Sales_Records[[#This Row],[Order Date]]</f>
        <v>31</v>
      </c>
      <c r="J894" s="1">
        <v>6109</v>
      </c>
      <c r="K894" s="1">
        <v>205.7</v>
      </c>
      <c r="L894" s="1">
        <v>117.11</v>
      </c>
      <c r="M894" s="1">
        <f>Europe_Sales_Records[[#This Row],[Unit Price]]-Europe_Sales_Records[[#This Row],[Unit Cost]]</f>
        <v>88.589999999999989</v>
      </c>
      <c r="N894" s="1">
        <v>1256621.3</v>
      </c>
      <c r="O894" s="6">
        <v>715424.99</v>
      </c>
      <c r="P894" s="1">
        <v>541196.31000000006</v>
      </c>
    </row>
    <row r="895" spans="1:16" x14ac:dyDescent="0.3">
      <c r="A895" s="1" t="s">
        <v>14</v>
      </c>
      <c r="B895" s="1" t="s">
        <v>32</v>
      </c>
      <c r="C895" s="1" t="s">
        <v>29</v>
      </c>
      <c r="D895" s="1" t="s">
        <v>17</v>
      </c>
      <c r="E895" s="1" t="s">
        <v>23</v>
      </c>
      <c r="F895" s="7">
        <v>42486</v>
      </c>
      <c r="G895" s="1" t="s">
        <v>974</v>
      </c>
      <c r="H895" s="7">
        <v>42503</v>
      </c>
      <c r="I895" s="1">
        <f>Europe_Sales_Records[[#This Row],[Ship Date]]-Europe_Sales_Records[[#This Row],[Order Date]]</f>
        <v>17</v>
      </c>
      <c r="J895" s="1">
        <v>4339</v>
      </c>
      <c r="K895" s="1">
        <v>651.21</v>
      </c>
      <c r="L895" s="1">
        <v>524.96</v>
      </c>
      <c r="M895" s="1">
        <f>Europe_Sales_Records[[#This Row],[Unit Price]]-Europe_Sales_Records[[#This Row],[Unit Cost]]</f>
        <v>126.25</v>
      </c>
      <c r="N895" s="1">
        <v>2825600.19</v>
      </c>
      <c r="O895" s="6">
        <v>2277801.44</v>
      </c>
      <c r="P895" s="1">
        <v>547798.75</v>
      </c>
    </row>
    <row r="896" spans="1:16" x14ac:dyDescent="0.3">
      <c r="A896" s="1" t="s">
        <v>14</v>
      </c>
      <c r="B896" s="1" t="s">
        <v>75</v>
      </c>
      <c r="C896" s="1" t="s">
        <v>79</v>
      </c>
      <c r="D896" s="1" t="s">
        <v>22</v>
      </c>
      <c r="E896" s="1" t="s">
        <v>18</v>
      </c>
      <c r="F896" s="7">
        <v>40335</v>
      </c>
      <c r="G896" s="1" t="s">
        <v>975</v>
      </c>
      <c r="H896" s="7">
        <v>40356</v>
      </c>
      <c r="I896" s="1">
        <f>Europe_Sales_Records[[#This Row],[Ship Date]]-Europe_Sales_Records[[#This Row],[Order Date]]</f>
        <v>21</v>
      </c>
      <c r="J896" s="1">
        <v>3851</v>
      </c>
      <c r="K896" s="1">
        <v>81.73</v>
      </c>
      <c r="L896" s="1">
        <v>56.67</v>
      </c>
      <c r="M896" s="1">
        <f>Europe_Sales_Records[[#This Row],[Unit Price]]-Europe_Sales_Records[[#This Row],[Unit Cost]]</f>
        <v>25.060000000000002</v>
      </c>
      <c r="N896" s="1">
        <v>314742.23</v>
      </c>
      <c r="O896" s="6">
        <v>218236.17</v>
      </c>
      <c r="P896" s="1">
        <v>96506.06</v>
      </c>
    </row>
    <row r="897" spans="1:16" x14ac:dyDescent="0.3">
      <c r="A897" s="1" t="s">
        <v>14</v>
      </c>
      <c r="B897" s="1" t="s">
        <v>59</v>
      </c>
      <c r="C897" s="1" t="s">
        <v>21</v>
      </c>
      <c r="D897" s="1" t="s">
        <v>22</v>
      </c>
      <c r="E897" s="1" t="s">
        <v>45</v>
      </c>
      <c r="F897" s="7">
        <v>42074</v>
      </c>
      <c r="G897" s="1" t="s">
        <v>976</v>
      </c>
      <c r="H897" s="7">
        <v>42093</v>
      </c>
      <c r="I897" s="1">
        <f>Europe_Sales_Records[[#This Row],[Ship Date]]-Europe_Sales_Records[[#This Row],[Order Date]]</f>
        <v>19</v>
      </c>
      <c r="J897" s="1">
        <v>2400</v>
      </c>
      <c r="K897" s="1">
        <v>109.28</v>
      </c>
      <c r="L897" s="1">
        <v>35.840000000000003</v>
      </c>
      <c r="M897" s="1">
        <f>Europe_Sales_Records[[#This Row],[Unit Price]]-Europe_Sales_Records[[#This Row],[Unit Cost]]</f>
        <v>73.44</v>
      </c>
      <c r="N897" s="1">
        <v>262272</v>
      </c>
      <c r="O897" s="6">
        <v>86016</v>
      </c>
      <c r="P897" s="1">
        <v>176256</v>
      </c>
    </row>
    <row r="898" spans="1:16" x14ac:dyDescent="0.3">
      <c r="A898" s="1" t="s">
        <v>14</v>
      </c>
      <c r="B898" s="1" t="s">
        <v>180</v>
      </c>
      <c r="C898" s="1" t="s">
        <v>48</v>
      </c>
      <c r="D898" s="1" t="s">
        <v>22</v>
      </c>
      <c r="E898" s="1" t="s">
        <v>30</v>
      </c>
      <c r="F898" s="7">
        <v>40907</v>
      </c>
      <c r="G898" s="1" t="s">
        <v>977</v>
      </c>
      <c r="H898" s="7">
        <v>40908</v>
      </c>
      <c r="I898" s="1">
        <f>Europe_Sales_Records[[#This Row],[Ship Date]]-Europe_Sales_Records[[#This Row],[Order Date]]</f>
        <v>1</v>
      </c>
      <c r="J898" s="1">
        <v>1448</v>
      </c>
      <c r="K898" s="1">
        <v>152.58000000000001</v>
      </c>
      <c r="L898" s="1">
        <v>97.44</v>
      </c>
      <c r="M898" s="1">
        <f>Europe_Sales_Records[[#This Row],[Unit Price]]-Europe_Sales_Records[[#This Row],[Unit Cost]]</f>
        <v>55.140000000000015</v>
      </c>
      <c r="N898" s="1">
        <v>220935.84</v>
      </c>
      <c r="O898" s="6">
        <v>141093.12</v>
      </c>
      <c r="P898" s="1">
        <v>79842.720000000001</v>
      </c>
    </row>
    <row r="899" spans="1:16" x14ac:dyDescent="0.3">
      <c r="A899" s="1" t="s">
        <v>14</v>
      </c>
      <c r="B899" s="1" t="s">
        <v>81</v>
      </c>
      <c r="C899" s="1" t="s">
        <v>33</v>
      </c>
      <c r="D899" s="1" t="s">
        <v>17</v>
      </c>
      <c r="E899" s="1" t="s">
        <v>18</v>
      </c>
      <c r="F899" s="7">
        <v>40999</v>
      </c>
      <c r="G899" s="1" t="s">
        <v>978</v>
      </c>
      <c r="H899" s="7">
        <v>41009</v>
      </c>
      <c r="I899" s="1">
        <f>Europe_Sales_Records[[#This Row],[Ship Date]]-Europe_Sales_Records[[#This Row],[Order Date]]</f>
        <v>10</v>
      </c>
      <c r="J899" s="1">
        <v>5556</v>
      </c>
      <c r="K899" s="1">
        <v>9.33</v>
      </c>
      <c r="L899" s="1">
        <v>6.92</v>
      </c>
      <c r="M899" s="1">
        <f>Europe_Sales_Records[[#This Row],[Unit Price]]-Europe_Sales_Records[[#This Row],[Unit Cost]]</f>
        <v>2.41</v>
      </c>
      <c r="N899" s="1">
        <v>51837.48</v>
      </c>
      <c r="O899" s="6">
        <v>38447.519999999997</v>
      </c>
      <c r="P899" s="1">
        <v>13389.96</v>
      </c>
    </row>
    <row r="900" spans="1:16" x14ac:dyDescent="0.3">
      <c r="A900" s="1" t="s">
        <v>14</v>
      </c>
      <c r="B900" s="1" t="s">
        <v>25</v>
      </c>
      <c r="C900" s="1" t="s">
        <v>29</v>
      </c>
      <c r="D900" s="1" t="s">
        <v>22</v>
      </c>
      <c r="E900" s="1" t="s">
        <v>45</v>
      </c>
      <c r="F900" s="7">
        <v>40234</v>
      </c>
      <c r="G900" s="1" t="s">
        <v>979</v>
      </c>
      <c r="H900" s="7">
        <v>40237</v>
      </c>
      <c r="I900" s="1">
        <f>Europe_Sales_Records[[#This Row],[Ship Date]]-Europe_Sales_Records[[#This Row],[Order Date]]</f>
        <v>3</v>
      </c>
      <c r="J900" s="1">
        <v>6672</v>
      </c>
      <c r="K900" s="1">
        <v>651.21</v>
      </c>
      <c r="L900" s="1">
        <v>524.96</v>
      </c>
      <c r="M900" s="1">
        <f>Europe_Sales_Records[[#This Row],[Unit Price]]-Europe_Sales_Records[[#This Row],[Unit Cost]]</f>
        <v>126.25</v>
      </c>
      <c r="N900" s="1">
        <v>4344873.12</v>
      </c>
      <c r="O900" s="6">
        <v>3502533.12</v>
      </c>
      <c r="P900" s="1">
        <v>842340</v>
      </c>
    </row>
    <row r="901" spans="1:16" x14ac:dyDescent="0.3">
      <c r="A901" s="1" t="s">
        <v>14</v>
      </c>
      <c r="B901" s="1" t="s">
        <v>65</v>
      </c>
      <c r="C901" s="1" t="s">
        <v>60</v>
      </c>
      <c r="D901" s="1" t="s">
        <v>22</v>
      </c>
      <c r="E901" s="1" t="s">
        <v>45</v>
      </c>
      <c r="F901" s="7">
        <v>40993</v>
      </c>
      <c r="G901" s="1" t="s">
        <v>980</v>
      </c>
      <c r="H901" s="7">
        <v>41021</v>
      </c>
      <c r="I901" s="1">
        <f>Europe_Sales_Records[[#This Row],[Ship Date]]-Europe_Sales_Records[[#This Row],[Order Date]]</f>
        <v>28</v>
      </c>
      <c r="J901" s="1">
        <v>4508</v>
      </c>
      <c r="K901" s="1">
        <v>437.2</v>
      </c>
      <c r="L901" s="1">
        <v>263.33</v>
      </c>
      <c r="M901" s="1">
        <f>Europe_Sales_Records[[#This Row],[Unit Price]]-Europe_Sales_Records[[#This Row],[Unit Cost]]</f>
        <v>173.87</v>
      </c>
      <c r="N901" s="1">
        <v>1970897.6</v>
      </c>
      <c r="O901" s="6">
        <v>1187091.6399999999</v>
      </c>
      <c r="P901" s="1">
        <v>783805.96</v>
      </c>
    </row>
    <row r="902" spans="1:16" x14ac:dyDescent="0.3">
      <c r="A902" s="1" t="s">
        <v>14</v>
      </c>
      <c r="B902" s="1" t="s">
        <v>50</v>
      </c>
      <c r="C902" s="1" t="s">
        <v>79</v>
      </c>
      <c r="D902" s="1" t="s">
        <v>22</v>
      </c>
      <c r="E902" s="1" t="s">
        <v>18</v>
      </c>
      <c r="F902" s="7">
        <v>40325</v>
      </c>
      <c r="G902" s="1" t="s">
        <v>981</v>
      </c>
      <c r="H902" s="7">
        <v>40330</v>
      </c>
      <c r="I902" s="1">
        <f>Europe_Sales_Records[[#This Row],[Ship Date]]-Europe_Sales_Records[[#This Row],[Order Date]]</f>
        <v>5</v>
      </c>
      <c r="J902" s="1">
        <v>6916</v>
      </c>
      <c r="K902" s="1">
        <v>81.73</v>
      </c>
      <c r="L902" s="1">
        <v>56.67</v>
      </c>
      <c r="M902" s="1">
        <f>Europe_Sales_Records[[#This Row],[Unit Price]]-Europe_Sales_Records[[#This Row],[Unit Cost]]</f>
        <v>25.060000000000002</v>
      </c>
      <c r="N902" s="1">
        <v>565244.68000000005</v>
      </c>
      <c r="O902" s="6">
        <v>391929.72</v>
      </c>
      <c r="P902" s="1">
        <v>173314.96</v>
      </c>
    </row>
    <row r="903" spans="1:16" x14ac:dyDescent="0.3">
      <c r="A903" s="1" t="s">
        <v>14</v>
      </c>
      <c r="B903" s="1" t="s">
        <v>232</v>
      </c>
      <c r="C903" s="1" t="s">
        <v>52</v>
      </c>
      <c r="D903" s="1" t="s">
        <v>22</v>
      </c>
      <c r="E903" s="1" t="s">
        <v>45</v>
      </c>
      <c r="F903" s="7">
        <v>41469</v>
      </c>
      <c r="G903" s="1" t="s">
        <v>982</v>
      </c>
      <c r="H903" s="7">
        <v>41505</v>
      </c>
      <c r="I903" s="1">
        <f>Europe_Sales_Records[[#This Row],[Ship Date]]-Europe_Sales_Records[[#This Row],[Order Date]]</f>
        <v>36</v>
      </c>
      <c r="J903" s="1">
        <v>8039</v>
      </c>
      <c r="K903" s="1">
        <v>255.28</v>
      </c>
      <c r="L903" s="1">
        <v>159.41999999999999</v>
      </c>
      <c r="M903" s="1">
        <f>Europe_Sales_Records[[#This Row],[Unit Price]]-Europe_Sales_Records[[#This Row],[Unit Cost]]</f>
        <v>95.860000000000014</v>
      </c>
      <c r="N903" s="1">
        <v>2052195.92</v>
      </c>
      <c r="O903" s="6">
        <v>1281577.3799999999</v>
      </c>
      <c r="P903" s="1">
        <v>770618.54</v>
      </c>
    </row>
    <row r="904" spans="1:16" x14ac:dyDescent="0.3">
      <c r="A904" s="1" t="s">
        <v>14</v>
      </c>
      <c r="B904" s="1" t="s">
        <v>103</v>
      </c>
      <c r="C904" s="1" t="s">
        <v>16</v>
      </c>
      <c r="D904" s="1" t="s">
        <v>17</v>
      </c>
      <c r="E904" s="1" t="s">
        <v>23</v>
      </c>
      <c r="F904" s="7">
        <v>41984</v>
      </c>
      <c r="G904" s="1" t="s">
        <v>983</v>
      </c>
      <c r="H904" s="7">
        <v>42028</v>
      </c>
      <c r="I904" s="1">
        <f>Europe_Sales_Records[[#This Row],[Ship Date]]-Europe_Sales_Records[[#This Row],[Order Date]]</f>
        <v>44</v>
      </c>
      <c r="J904" s="1">
        <v>4028</v>
      </c>
      <c r="K904" s="1">
        <v>47.45</v>
      </c>
      <c r="L904" s="1">
        <v>31.79</v>
      </c>
      <c r="M904" s="1">
        <f>Europe_Sales_Records[[#This Row],[Unit Price]]-Europe_Sales_Records[[#This Row],[Unit Cost]]</f>
        <v>15.660000000000004</v>
      </c>
      <c r="N904" s="1">
        <v>191128.6</v>
      </c>
      <c r="O904" s="6">
        <v>128050.12</v>
      </c>
      <c r="P904" s="1">
        <v>63078.48</v>
      </c>
    </row>
    <row r="905" spans="1:16" x14ac:dyDescent="0.3">
      <c r="A905" s="1" t="s">
        <v>14</v>
      </c>
      <c r="B905" s="1" t="s">
        <v>131</v>
      </c>
      <c r="C905" s="1" t="s">
        <v>79</v>
      </c>
      <c r="D905" s="1" t="s">
        <v>17</v>
      </c>
      <c r="E905" s="1" t="s">
        <v>23</v>
      </c>
      <c r="F905" s="7">
        <v>42530</v>
      </c>
      <c r="G905" s="1" t="s">
        <v>984</v>
      </c>
      <c r="H905" s="7">
        <v>42579</v>
      </c>
      <c r="I905" s="1">
        <f>Europe_Sales_Records[[#This Row],[Ship Date]]-Europe_Sales_Records[[#This Row],[Order Date]]</f>
        <v>49</v>
      </c>
      <c r="J905" s="1">
        <v>6485</v>
      </c>
      <c r="K905" s="1">
        <v>81.73</v>
      </c>
      <c r="L905" s="1">
        <v>56.67</v>
      </c>
      <c r="M905" s="1">
        <f>Europe_Sales_Records[[#This Row],[Unit Price]]-Europe_Sales_Records[[#This Row],[Unit Cost]]</f>
        <v>25.060000000000002</v>
      </c>
      <c r="N905" s="1">
        <v>530019.05000000005</v>
      </c>
      <c r="O905" s="6">
        <v>367504.95</v>
      </c>
      <c r="P905" s="1">
        <v>162514.1</v>
      </c>
    </row>
    <row r="906" spans="1:16" x14ac:dyDescent="0.3">
      <c r="A906" s="1" t="s">
        <v>14</v>
      </c>
      <c r="B906" s="1" t="s">
        <v>69</v>
      </c>
      <c r="C906" s="1" t="s">
        <v>26</v>
      </c>
      <c r="D906" s="1" t="s">
        <v>17</v>
      </c>
      <c r="E906" s="1" t="s">
        <v>18</v>
      </c>
      <c r="F906" s="7">
        <v>41680</v>
      </c>
      <c r="G906" s="1" t="s">
        <v>985</v>
      </c>
      <c r="H906" s="7">
        <v>41720</v>
      </c>
      <c r="I906" s="1">
        <f>Europe_Sales_Records[[#This Row],[Ship Date]]-Europe_Sales_Records[[#This Row],[Order Date]]</f>
        <v>40</v>
      </c>
      <c r="J906" s="1">
        <v>5191</v>
      </c>
      <c r="K906" s="1">
        <v>205.7</v>
      </c>
      <c r="L906" s="1">
        <v>117.11</v>
      </c>
      <c r="M906" s="1">
        <f>Europe_Sales_Records[[#This Row],[Unit Price]]-Europe_Sales_Records[[#This Row],[Unit Cost]]</f>
        <v>88.589999999999989</v>
      </c>
      <c r="N906" s="1">
        <v>1067788.7</v>
      </c>
      <c r="O906" s="6">
        <v>607918.01</v>
      </c>
      <c r="P906" s="1">
        <v>459870.69</v>
      </c>
    </row>
    <row r="907" spans="1:16" x14ac:dyDescent="0.3">
      <c r="A907" s="1" t="s">
        <v>14</v>
      </c>
      <c r="B907" s="1" t="s">
        <v>103</v>
      </c>
      <c r="C907" s="1" t="s">
        <v>39</v>
      </c>
      <c r="D907" s="1" t="s">
        <v>22</v>
      </c>
      <c r="E907" s="1" t="s">
        <v>23</v>
      </c>
      <c r="F907" s="7">
        <v>41858</v>
      </c>
      <c r="G907" s="1" t="s">
        <v>986</v>
      </c>
      <c r="H907" s="7">
        <v>41876</v>
      </c>
      <c r="I907" s="1">
        <f>Europe_Sales_Records[[#This Row],[Ship Date]]-Europe_Sales_Records[[#This Row],[Order Date]]</f>
        <v>18</v>
      </c>
      <c r="J907" s="1">
        <v>286</v>
      </c>
      <c r="K907" s="1">
        <v>154.06</v>
      </c>
      <c r="L907" s="1">
        <v>90.93</v>
      </c>
      <c r="M907" s="1">
        <f>Europe_Sales_Records[[#This Row],[Unit Price]]-Europe_Sales_Records[[#This Row],[Unit Cost]]</f>
        <v>63.129999999999995</v>
      </c>
      <c r="N907" s="1">
        <v>44061.16</v>
      </c>
      <c r="O907" s="6">
        <v>26005.98</v>
      </c>
      <c r="P907" s="1">
        <v>18055.18</v>
      </c>
    </row>
    <row r="908" spans="1:16" x14ac:dyDescent="0.3">
      <c r="A908" s="1" t="s">
        <v>14</v>
      </c>
      <c r="B908" s="1" t="s">
        <v>118</v>
      </c>
      <c r="C908" s="1" t="s">
        <v>21</v>
      </c>
      <c r="D908" s="1" t="s">
        <v>22</v>
      </c>
      <c r="E908" s="1" t="s">
        <v>45</v>
      </c>
      <c r="F908" s="7">
        <v>41137</v>
      </c>
      <c r="G908" s="1" t="s">
        <v>987</v>
      </c>
      <c r="H908" s="7">
        <v>41158</v>
      </c>
      <c r="I908" s="1">
        <f>Europe_Sales_Records[[#This Row],[Ship Date]]-Europe_Sales_Records[[#This Row],[Order Date]]</f>
        <v>21</v>
      </c>
      <c r="J908" s="1">
        <v>4897</v>
      </c>
      <c r="K908" s="1">
        <v>109.28</v>
      </c>
      <c r="L908" s="1">
        <v>35.840000000000003</v>
      </c>
      <c r="M908" s="1">
        <f>Europe_Sales_Records[[#This Row],[Unit Price]]-Europe_Sales_Records[[#This Row],[Unit Cost]]</f>
        <v>73.44</v>
      </c>
      <c r="N908" s="1">
        <v>535144.16</v>
      </c>
      <c r="O908" s="6">
        <v>175508.48000000001</v>
      </c>
      <c r="P908" s="1">
        <v>359635.68</v>
      </c>
    </row>
    <row r="909" spans="1:16" x14ac:dyDescent="0.3">
      <c r="A909" s="1" t="s">
        <v>14</v>
      </c>
      <c r="B909" s="1" t="s">
        <v>164</v>
      </c>
      <c r="C909" s="1" t="s">
        <v>33</v>
      </c>
      <c r="D909" s="1" t="s">
        <v>17</v>
      </c>
      <c r="E909" s="1" t="s">
        <v>30</v>
      </c>
      <c r="F909" s="7">
        <v>41135</v>
      </c>
      <c r="G909" s="1" t="s">
        <v>988</v>
      </c>
      <c r="H909" s="7">
        <v>41150</v>
      </c>
      <c r="I909" s="1">
        <f>Europe_Sales_Records[[#This Row],[Ship Date]]-Europe_Sales_Records[[#This Row],[Order Date]]</f>
        <v>15</v>
      </c>
      <c r="J909" s="1">
        <v>314</v>
      </c>
      <c r="K909" s="1">
        <v>9.33</v>
      </c>
      <c r="L909" s="1">
        <v>6.92</v>
      </c>
      <c r="M909" s="1">
        <f>Europe_Sales_Records[[#This Row],[Unit Price]]-Europe_Sales_Records[[#This Row],[Unit Cost]]</f>
        <v>2.41</v>
      </c>
      <c r="N909" s="1">
        <v>2929.62</v>
      </c>
      <c r="O909" s="6">
        <v>2172.88</v>
      </c>
      <c r="P909" s="1">
        <v>756.74</v>
      </c>
    </row>
    <row r="910" spans="1:16" x14ac:dyDescent="0.3">
      <c r="A910" s="1" t="s">
        <v>14</v>
      </c>
      <c r="B910" s="1" t="s">
        <v>77</v>
      </c>
      <c r="C910" s="1" t="s">
        <v>16</v>
      </c>
      <c r="D910" s="1" t="s">
        <v>22</v>
      </c>
      <c r="E910" s="1" t="s">
        <v>18</v>
      </c>
      <c r="F910" s="7">
        <v>41568</v>
      </c>
      <c r="G910" s="1" t="s">
        <v>989</v>
      </c>
      <c r="H910" s="7">
        <v>41574</v>
      </c>
      <c r="I910" s="1">
        <f>Europe_Sales_Records[[#This Row],[Ship Date]]-Europe_Sales_Records[[#This Row],[Order Date]]</f>
        <v>6</v>
      </c>
      <c r="J910" s="1">
        <v>2199</v>
      </c>
      <c r="K910" s="1">
        <v>47.45</v>
      </c>
      <c r="L910" s="1">
        <v>31.79</v>
      </c>
      <c r="M910" s="1">
        <f>Europe_Sales_Records[[#This Row],[Unit Price]]-Europe_Sales_Records[[#This Row],[Unit Cost]]</f>
        <v>15.660000000000004</v>
      </c>
      <c r="N910" s="1">
        <v>104342.55</v>
      </c>
      <c r="O910" s="6">
        <v>69906.210000000006</v>
      </c>
      <c r="P910" s="1">
        <v>34436.339999999997</v>
      </c>
    </row>
    <row r="911" spans="1:16" x14ac:dyDescent="0.3">
      <c r="A911" s="1" t="s">
        <v>14</v>
      </c>
      <c r="B911" s="1" t="s">
        <v>120</v>
      </c>
      <c r="C911" s="1" t="s">
        <v>39</v>
      </c>
      <c r="D911" s="1" t="s">
        <v>17</v>
      </c>
      <c r="E911" s="1" t="s">
        <v>18</v>
      </c>
      <c r="F911" s="7">
        <v>42711</v>
      </c>
      <c r="G911" s="1" t="s">
        <v>990</v>
      </c>
      <c r="H911" s="7">
        <v>42731</v>
      </c>
      <c r="I911" s="1">
        <f>Europe_Sales_Records[[#This Row],[Ship Date]]-Europe_Sales_Records[[#This Row],[Order Date]]</f>
        <v>20</v>
      </c>
      <c r="J911" s="1">
        <v>101</v>
      </c>
      <c r="K911" s="1">
        <v>154.06</v>
      </c>
      <c r="L911" s="1">
        <v>90.93</v>
      </c>
      <c r="M911" s="1">
        <f>Europe_Sales_Records[[#This Row],[Unit Price]]-Europe_Sales_Records[[#This Row],[Unit Cost]]</f>
        <v>63.129999999999995</v>
      </c>
      <c r="N911" s="1">
        <v>15560.06</v>
      </c>
      <c r="O911" s="6">
        <v>9183.93</v>
      </c>
      <c r="P911" s="1">
        <v>6376.13</v>
      </c>
    </row>
    <row r="912" spans="1:16" x14ac:dyDescent="0.3">
      <c r="A912" s="1" t="s">
        <v>14</v>
      </c>
      <c r="B912" s="1" t="s">
        <v>219</v>
      </c>
      <c r="C912" s="1" t="s">
        <v>79</v>
      </c>
      <c r="D912" s="1" t="s">
        <v>22</v>
      </c>
      <c r="E912" s="1" t="s">
        <v>30</v>
      </c>
      <c r="F912" s="7">
        <v>40289</v>
      </c>
      <c r="G912" s="1" t="s">
        <v>991</v>
      </c>
      <c r="H912" s="7">
        <v>40292</v>
      </c>
      <c r="I912" s="1">
        <f>Europe_Sales_Records[[#This Row],[Ship Date]]-Europe_Sales_Records[[#This Row],[Order Date]]</f>
        <v>3</v>
      </c>
      <c r="J912" s="1">
        <v>7338</v>
      </c>
      <c r="K912" s="1">
        <v>81.73</v>
      </c>
      <c r="L912" s="1">
        <v>56.67</v>
      </c>
      <c r="M912" s="1">
        <f>Europe_Sales_Records[[#This Row],[Unit Price]]-Europe_Sales_Records[[#This Row],[Unit Cost]]</f>
        <v>25.060000000000002</v>
      </c>
      <c r="N912" s="1">
        <v>599734.74</v>
      </c>
      <c r="O912" s="6">
        <v>415844.46</v>
      </c>
      <c r="P912" s="1">
        <v>183890.28</v>
      </c>
    </row>
    <row r="913" spans="1:16" x14ac:dyDescent="0.3">
      <c r="A913" s="1" t="s">
        <v>14</v>
      </c>
      <c r="B913" s="1" t="s">
        <v>41</v>
      </c>
      <c r="C913" s="1" t="s">
        <v>39</v>
      </c>
      <c r="D913" s="1" t="s">
        <v>22</v>
      </c>
      <c r="E913" s="1" t="s">
        <v>18</v>
      </c>
      <c r="F913" s="7">
        <v>41186</v>
      </c>
      <c r="G913" s="1" t="s">
        <v>992</v>
      </c>
      <c r="H913" s="7">
        <v>41226</v>
      </c>
      <c r="I913" s="1">
        <f>Europe_Sales_Records[[#This Row],[Ship Date]]-Europe_Sales_Records[[#This Row],[Order Date]]</f>
        <v>40</v>
      </c>
      <c r="J913" s="1">
        <v>8082</v>
      </c>
      <c r="K913" s="1">
        <v>154.06</v>
      </c>
      <c r="L913" s="1">
        <v>90.93</v>
      </c>
      <c r="M913" s="1">
        <f>Europe_Sales_Records[[#This Row],[Unit Price]]-Europe_Sales_Records[[#This Row],[Unit Cost]]</f>
        <v>63.129999999999995</v>
      </c>
      <c r="N913" s="1">
        <v>1245112.92</v>
      </c>
      <c r="O913" s="6">
        <v>734896.26</v>
      </c>
      <c r="P913" s="1">
        <v>510216.66</v>
      </c>
    </row>
    <row r="914" spans="1:16" x14ac:dyDescent="0.3">
      <c r="A914" s="1" t="s">
        <v>14</v>
      </c>
      <c r="B914" s="1" t="s">
        <v>38</v>
      </c>
      <c r="C914" s="1" t="s">
        <v>60</v>
      </c>
      <c r="D914" s="1" t="s">
        <v>17</v>
      </c>
      <c r="E914" s="1" t="s">
        <v>23</v>
      </c>
      <c r="F914" s="7">
        <v>42034</v>
      </c>
      <c r="G914" s="1" t="s">
        <v>993</v>
      </c>
      <c r="H914" s="7">
        <v>42058</v>
      </c>
      <c r="I914" s="1">
        <f>Europe_Sales_Records[[#This Row],[Ship Date]]-Europe_Sales_Records[[#This Row],[Order Date]]</f>
        <v>24</v>
      </c>
      <c r="J914" s="1">
        <v>1789</v>
      </c>
      <c r="K914" s="1">
        <v>437.2</v>
      </c>
      <c r="L914" s="1">
        <v>263.33</v>
      </c>
      <c r="M914" s="1">
        <f>Europe_Sales_Records[[#This Row],[Unit Price]]-Europe_Sales_Records[[#This Row],[Unit Cost]]</f>
        <v>173.87</v>
      </c>
      <c r="N914" s="1">
        <v>782150.8</v>
      </c>
      <c r="O914" s="6">
        <v>471097.37</v>
      </c>
      <c r="P914" s="1">
        <v>311053.43</v>
      </c>
    </row>
    <row r="915" spans="1:16" x14ac:dyDescent="0.3">
      <c r="A915" s="1" t="s">
        <v>14</v>
      </c>
      <c r="B915" s="1" t="s">
        <v>219</v>
      </c>
      <c r="C915" s="1" t="s">
        <v>79</v>
      </c>
      <c r="D915" s="1" t="s">
        <v>17</v>
      </c>
      <c r="E915" s="1" t="s">
        <v>45</v>
      </c>
      <c r="F915" s="7">
        <v>41912</v>
      </c>
      <c r="G915" s="1" t="s">
        <v>994</v>
      </c>
      <c r="H915" s="7">
        <v>41919</v>
      </c>
      <c r="I915" s="1">
        <f>Europe_Sales_Records[[#This Row],[Ship Date]]-Europe_Sales_Records[[#This Row],[Order Date]]</f>
        <v>7</v>
      </c>
      <c r="J915" s="1">
        <v>8152</v>
      </c>
      <c r="K915" s="1">
        <v>81.73</v>
      </c>
      <c r="L915" s="1">
        <v>56.67</v>
      </c>
      <c r="M915" s="1">
        <f>Europe_Sales_Records[[#This Row],[Unit Price]]-Europe_Sales_Records[[#This Row],[Unit Cost]]</f>
        <v>25.060000000000002</v>
      </c>
      <c r="N915" s="1">
        <v>666262.96</v>
      </c>
      <c r="O915" s="6">
        <v>461973.84</v>
      </c>
      <c r="P915" s="1">
        <v>204289.12</v>
      </c>
    </row>
    <row r="916" spans="1:16" x14ac:dyDescent="0.3">
      <c r="A916" s="1" t="s">
        <v>14</v>
      </c>
      <c r="B916" s="1" t="s">
        <v>59</v>
      </c>
      <c r="C916" s="1" t="s">
        <v>79</v>
      </c>
      <c r="D916" s="1" t="s">
        <v>17</v>
      </c>
      <c r="E916" s="1" t="s">
        <v>18</v>
      </c>
      <c r="F916" s="7">
        <v>42842</v>
      </c>
      <c r="G916" s="1" t="s">
        <v>995</v>
      </c>
      <c r="H916" s="7">
        <v>42874</v>
      </c>
      <c r="I916" s="1">
        <f>Europe_Sales_Records[[#This Row],[Ship Date]]-Europe_Sales_Records[[#This Row],[Order Date]]</f>
        <v>32</v>
      </c>
      <c r="J916" s="1">
        <v>6171</v>
      </c>
      <c r="K916" s="1">
        <v>81.73</v>
      </c>
      <c r="L916" s="1">
        <v>56.67</v>
      </c>
      <c r="M916" s="1">
        <f>Europe_Sales_Records[[#This Row],[Unit Price]]-Europe_Sales_Records[[#This Row],[Unit Cost]]</f>
        <v>25.060000000000002</v>
      </c>
      <c r="N916" s="1">
        <v>504355.83</v>
      </c>
      <c r="O916" s="6">
        <v>349710.57</v>
      </c>
      <c r="P916" s="1">
        <v>154645.26</v>
      </c>
    </row>
    <row r="917" spans="1:16" x14ac:dyDescent="0.3">
      <c r="A917" s="1" t="s">
        <v>14</v>
      </c>
      <c r="B917" s="1" t="s">
        <v>65</v>
      </c>
      <c r="C917" s="1" t="s">
        <v>29</v>
      </c>
      <c r="D917" s="1" t="s">
        <v>17</v>
      </c>
      <c r="E917" s="1" t="s">
        <v>18</v>
      </c>
      <c r="F917" s="7">
        <v>41875</v>
      </c>
      <c r="G917" s="1" t="s">
        <v>996</v>
      </c>
      <c r="H917" s="7">
        <v>41906</v>
      </c>
      <c r="I917" s="1">
        <f>Europe_Sales_Records[[#This Row],[Ship Date]]-Europe_Sales_Records[[#This Row],[Order Date]]</f>
        <v>31</v>
      </c>
      <c r="J917" s="1">
        <v>4568</v>
      </c>
      <c r="K917" s="1">
        <v>651.21</v>
      </c>
      <c r="L917" s="1">
        <v>524.96</v>
      </c>
      <c r="M917" s="1">
        <f>Europe_Sales_Records[[#This Row],[Unit Price]]-Europe_Sales_Records[[#This Row],[Unit Cost]]</f>
        <v>126.25</v>
      </c>
      <c r="N917" s="1">
        <v>2974727.28</v>
      </c>
      <c r="O917" s="6">
        <v>2398017.2799999998</v>
      </c>
      <c r="P917" s="1">
        <v>576710</v>
      </c>
    </row>
    <row r="918" spans="1:16" x14ac:dyDescent="0.3">
      <c r="A918" s="1" t="s">
        <v>14</v>
      </c>
      <c r="B918" s="1" t="s">
        <v>47</v>
      </c>
      <c r="C918" s="1" t="s">
        <v>29</v>
      </c>
      <c r="D918" s="1" t="s">
        <v>17</v>
      </c>
      <c r="E918" s="1" t="s">
        <v>23</v>
      </c>
      <c r="F918" s="7">
        <v>42374</v>
      </c>
      <c r="G918" s="1" t="s">
        <v>997</v>
      </c>
      <c r="H918" s="7">
        <v>42417</v>
      </c>
      <c r="I918" s="1">
        <f>Europe_Sales_Records[[#This Row],[Ship Date]]-Europe_Sales_Records[[#This Row],[Order Date]]</f>
        <v>43</v>
      </c>
      <c r="J918" s="1">
        <v>9067</v>
      </c>
      <c r="K918" s="1">
        <v>651.21</v>
      </c>
      <c r="L918" s="1">
        <v>524.96</v>
      </c>
      <c r="M918" s="1">
        <f>Europe_Sales_Records[[#This Row],[Unit Price]]-Europe_Sales_Records[[#This Row],[Unit Cost]]</f>
        <v>126.25</v>
      </c>
      <c r="N918" s="1">
        <v>5904521.0700000003</v>
      </c>
      <c r="O918" s="6">
        <v>4759812.32</v>
      </c>
      <c r="P918" s="1">
        <v>1144708.75</v>
      </c>
    </row>
    <row r="919" spans="1:16" x14ac:dyDescent="0.3">
      <c r="A919" s="1" t="s">
        <v>14</v>
      </c>
      <c r="B919" s="1" t="s">
        <v>25</v>
      </c>
      <c r="C919" s="1" t="s">
        <v>39</v>
      </c>
      <c r="D919" s="1" t="s">
        <v>17</v>
      </c>
      <c r="E919" s="1" t="s">
        <v>30</v>
      </c>
      <c r="F919" s="7">
        <v>40668</v>
      </c>
      <c r="G919" s="1" t="s">
        <v>998</v>
      </c>
      <c r="H919" s="7">
        <v>40713</v>
      </c>
      <c r="I919" s="1">
        <f>Europe_Sales_Records[[#This Row],[Ship Date]]-Europe_Sales_Records[[#This Row],[Order Date]]</f>
        <v>45</v>
      </c>
      <c r="J919" s="1">
        <v>6212</v>
      </c>
      <c r="K919" s="1">
        <v>154.06</v>
      </c>
      <c r="L919" s="1">
        <v>90.93</v>
      </c>
      <c r="M919" s="1">
        <f>Europe_Sales_Records[[#This Row],[Unit Price]]-Europe_Sales_Records[[#This Row],[Unit Cost]]</f>
        <v>63.129999999999995</v>
      </c>
      <c r="N919" s="1">
        <v>957020.72</v>
      </c>
      <c r="O919" s="6">
        <v>564857.16</v>
      </c>
      <c r="P919" s="1">
        <v>392163.56</v>
      </c>
    </row>
    <row r="920" spans="1:16" x14ac:dyDescent="0.3">
      <c r="A920" s="1" t="s">
        <v>14</v>
      </c>
      <c r="B920" s="1" t="s">
        <v>176</v>
      </c>
      <c r="C920" s="1" t="s">
        <v>16</v>
      </c>
      <c r="D920" s="1" t="s">
        <v>22</v>
      </c>
      <c r="E920" s="1" t="s">
        <v>45</v>
      </c>
      <c r="F920" s="7">
        <v>40405</v>
      </c>
      <c r="G920" s="1" t="s">
        <v>999</v>
      </c>
      <c r="H920" s="7">
        <v>40416</v>
      </c>
      <c r="I920" s="1">
        <f>Europe_Sales_Records[[#This Row],[Ship Date]]-Europe_Sales_Records[[#This Row],[Order Date]]</f>
        <v>11</v>
      </c>
      <c r="J920" s="1">
        <v>3214</v>
      </c>
      <c r="K920" s="1">
        <v>47.45</v>
      </c>
      <c r="L920" s="1">
        <v>31.79</v>
      </c>
      <c r="M920" s="1">
        <f>Europe_Sales_Records[[#This Row],[Unit Price]]-Europe_Sales_Records[[#This Row],[Unit Cost]]</f>
        <v>15.660000000000004</v>
      </c>
      <c r="N920" s="1">
        <v>152504.29999999999</v>
      </c>
      <c r="O920" s="6">
        <v>102173.06</v>
      </c>
      <c r="P920" s="1">
        <v>50331.24</v>
      </c>
    </row>
    <row r="921" spans="1:16" x14ac:dyDescent="0.3">
      <c r="A921" s="1" t="s">
        <v>14</v>
      </c>
      <c r="B921" s="1" t="s">
        <v>41</v>
      </c>
      <c r="C921" s="1" t="s">
        <v>52</v>
      </c>
      <c r="D921" s="1" t="s">
        <v>22</v>
      </c>
      <c r="E921" s="1" t="s">
        <v>30</v>
      </c>
      <c r="F921" s="7">
        <v>40430</v>
      </c>
      <c r="G921" s="1" t="s">
        <v>1000</v>
      </c>
      <c r="H921" s="7">
        <v>40474</v>
      </c>
      <c r="I921" s="1">
        <f>Europe_Sales_Records[[#This Row],[Ship Date]]-Europe_Sales_Records[[#This Row],[Order Date]]</f>
        <v>44</v>
      </c>
      <c r="J921" s="1">
        <v>7918</v>
      </c>
      <c r="K921" s="1">
        <v>255.28</v>
      </c>
      <c r="L921" s="1">
        <v>159.41999999999999</v>
      </c>
      <c r="M921" s="1">
        <f>Europe_Sales_Records[[#This Row],[Unit Price]]-Europe_Sales_Records[[#This Row],[Unit Cost]]</f>
        <v>95.860000000000014</v>
      </c>
      <c r="N921" s="1">
        <v>2021307.04</v>
      </c>
      <c r="O921" s="6">
        <v>1262287.56</v>
      </c>
      <c r="P921" s="1">
        <v>759019.48</v>
      </c>
    </row>
    <row r="922" spans="1:16" x14ac:dyDescent="0.3">
      <c r="A922" s="1" t="s">
        <v>14</v>
      </c>
      <c r="B922" s="1" t="s">
        <v>131</v>
      </c>
      <c r="C922" s="1" t="s">
        <v>16</v>
      </c>
      <c r="D922" s="1" t="s">
        <v>17</v>
      </c>
      <c r="E922" s="1" t="s">
        <v>18</v>
      </c>
      <c r="F922" s="7">
        <v>41482</v>
      </c>
      <c r="G922" s="1" t="s">
        <v>1001</v>
      </c>
      <c r="H922" s="7">
        <v>41495</v>
      </c>
      <c r="I922" s="1">
        <f>Europe_Sales_Records[[#This Row],[Ship Date]]-Europe_Sales_Records[[#This Row],[Order Date]]</f>
        <v>13</v>
      </c>
      <c r="J922" s="1">
        <v>4141</v>
      </c>
      <c r="K922" s="1">
        <v>47.45</v>
      </c>
      <c r="L922" s="1">
        <v>31.79</v>
      </c>
      <c r="M922" s="1">
        <f>Europe_Sales_Records[[#This Row],[Unit Price]]-Europe_Sales_Records[[#This Row],[Unit Cost]]</f>
        <v>15.660000000000004</v>
      </c>
      <c r="N922" s="1">
        <v>196490.45</v>
      </c>
      <c r="O922" s="6">
        <v>131642.39000000001</v>
      </c>
      <c r="P922" s="1">
        <v>64848.06</v>
      </c>
    </row>
    <row r="923" spans="1:16" x14ac:dyDescent="0.3">
      <c r="A923" s="1" t="s">
        <v>14</v>
      </c>
      <c r="B923" s="1" t="s">
        <v>137</v>
      </c>
      <c r="C923" s="1" t="s">
        <v>79</v>
      </c>
      <c r="D923" s="1" t="s">
        <v>22</v>
      </c>
      <c r="E923" s="1" t="s">
        <v>30</v>
      </c>
      <c r="F923" s="7">
        <v>41246</v>
      </c>
      <c r="G923" s="1" t="s">
        <v>1002</v>
      </c>
      <c r="H923" s="7">
        <v>41279</v>
      </c>
      <c r="I923" s="1">
        <f>Europe_Sales_Records[[#This Row],[Ship Date]]-Europe_Sales_Records[[#This Row],[Order Date]]</f>
        <v>33</v>
      </c>
      <c r="J923" s="1">
        <v>71</v>
      </c>
      <c r="K923" s="1">
        <v>81.73</v>
      </c>
      <c r="L923" s="1">
        <v>56.67</v>
      </c>
      <c r="M923" s="1">
        <f>Europe_Sales_Records[[#This Row],[Unit Price]]-Europe_Sales_Records[[#This Row],[Unit Cost]]</f>
        <v>25.060000000000002</v>
      </c>
      <c r="N923" s="1">
        <v>5802.83</v>
      </c>
      <c r="O923" s="6">
        <v>4023.57</v>
      </c>
      <c r="P923" s="1">
        <v>1779.26</v>
      </c>
    </row>
    <row r="924" spans="1:16" x14ac:dyDescent="0.3">
      <c r="A924" s="1" t="s">
        <v>14</v>
      </c>
      <c r="B924" s="1" t="s">
        <v>81</v>
      </c>
      <c r="C924" s="1" t="s">
        <v>48</v>
      </c>
      <c r="D924" s="1" t="s">
        <v>17</v>
      </c>
      <c r="E924" s="1" t="s">
        <v>30</v>
      </c>
      <c r="F924" s="7">
        <v>41977</v>
      </c>
      <c r="G924" s="1" t="s">
        <v>1003</v>
      </c>
      <c r="H924" s="7">
        <v>41979</v>
      </c>
      <c r="I924" s="1">
        <f>Europe_Sales_Records[[#This Row],[Ship Date]]-Europe_Sales_Records[[#This Row],[Order Date]]</f>
        <v>2</v>
      </c>
      <c r="J924" s="1">
        <v>5967</v>
      </c>
      <c r="K924" s="1">
        <v>152.58000000000001</v>
      </c>
      <c r="L924" s="1">
        <v>97.44</v>
      </c>
      <c r="M924" s="1">
        <f>Europe_Sales_Records[[#This Row],[Unit Price]]-Europe_Sales_Records[[#This Row],[Unit Cost]]</f>
        <v>55.140000000000015</v>
      </c>
      <c r="N924" s="1">
        <v>910444.86</v>
      </c>
      <c r="O924" s="6">
        <v>581424.48</v>
      </c>
      <c r="P924" s="1">
        <v>329020.38</v>
      </c>
    </row>
    <row r="925" spans="1:16" x14ac:dyDescent="0.3">
      <c r="A925" s="1" t="s">
        <v>14</v>
      </c>
      <c r="B925" s="1" t="s">
        <v>81</v>
      </c>
      <c r="C925" s="1" t="s">
        <v>42</v>
      </c>
      <c r="D925" s="1" t="s">
        <v>22</v>
      </c>
      <c r="E925" s="1" t="s">
        <v>30</v>
      </c>
      <c r="F925" s="7">
        <v>42431</v>
      </c>
      <c r="G925" s="1" t="s">
        <v>1004</v>
      </c>
      <c r="H925" s="7">
        <v>42451</v>
      </c>
      <c r="I925" s="1">
        <f>Europe_Sales_Records[[#This Row],[Ship Date]]-Europe_Sales_Records[[#This Row],[Order Date]]</f>
        <v>20</v>
      </c>
      <c r="J925" s="1">
        <v>4604</v>
      </c>
      <c r="K925" s="1">
        <v>421.89</v>
      </c>
      <c r="L925" s="1">
        <v>364.69</v>
      </c>
      <c r="M925" s="1">
        <f>Europe_Sales_Records[[#This Row],[Unit Price]]-Europe_Sales_Records[[#This Row],[Unit Cost]]</f>
        <v>57.199999999999989</v>
      </c>
      <c r="N925" s="1">
        <v>1942381.56</v>
      </c>
      <c r="O925" s="6">
        <v>1679032.76</v>
      </c>
      <c r="P925" s="1">
        <v>263348.8</v>
      </c>
    </row>
    <row r="926" spans="1:16" x14ac:dyDescent="0.3">
      <c r="A926" s="1" t="s">
        <v>14</v>
      </c>
      <c r="B926" s="1" t="s">
        <v>106</v>
      </c>
      <c r="C926" s="1" t="s">
        <v>48</v>
      </c>
      <c r="D926" s="1" t="s">
        <v>17</v>
      </c>
      <c r="E926" s="1" t="s">
        <v>18</v>
      </c>
      <c r="F926" s="7">
        <v>42064</v>
      </c>
      <c r="G926" s="1" t="s">
        <v>1005</v>
      </c>
      <c r="H926" s="7">
        <v>42101</v>
      </c>
      <c r="I926" s="1">
        <f>Europe_Sales_Records[[#This Row],[Ship Date]]-Europe_Sales_Records[[#This Row],[Order Date]]</f>
        <v>37</v>
      </c>
      <c r="J926" s="1">
        <v>3961</v>
      </c>
      <c r="K926" s="1">
        <v>152.58000000000001</v>
      </c>
      <c r="L926" s="1">
        <v>97.44</v>
      </c>
      <c r="M926" s="1">
        <f>Europe_Sales_Records[[#This Row],[Unit Price]]-Europe_Sales_Records[[#This Row],[Unit Cost]]</f>
        <v>55.140000000000015</v>
      </c>
      <c r="N926" s="1">
        <v>604369.38</v>
      </c>
      <c r="O926" s="6">
        <v>385959.84</v>
      </c>
      <c r="P926" s="1">
        <v>218409.54</v>
      </c>
    </row>
    <row r="927" spans="1:16" x14ac:dyDescent="0.3">
      <c r="A927" s="1" t="s">
        <v>14</v>
      </c>
      <c r="B927" s="1" t="s">
        <v>77</v>
      </c>
      <c r="C927" s="1" t="s">
        <v>48</v>
      </c>
      <c r="D927" s="1" t="s">
        <v>22</v>
      </c>
      <c r="E927" s="1" t="s">
        <v>30</v>
      </c>
      <c r="F927" s="7">
        <v>42150</v>
      </c>
      <c r="G927" s="1" t="s">
        <v>1006</v>
      </c>
      <c r="H927" s="7">
        <v>42168</v>
      </c>
      <c r="I927" s="1">
        <f>Europe_Sales_Records[[#This Row],[Ship Date]]-Europe_Sales_Records[[#This Row],[Order Date]]</f>
        <v>18</v>
      </c>
      <c r="J927" s="1">
        <v>2311</v>
      </c>
      <c r="K927" s="1">
        <v>152.58000000000001</v>
      </c>
      <c r="L927" s="1">
        <v>97.44</v>
      </c>
      <c r="M927" s="1">
        <f>Europe_Sales_Records[[#This Row],[Unit Price]]-Europe_Sales_Records[[#This Row],[Unit Cost]]</f>
        <v>55.140000000000015</v>
      </c>
      <c r="N927" s="1">
        <v>352612.38</v>
      </c>
      <c r="O927" s="6">
        <v>225183.84</v>
      </c>
      <c r="P927" s="1">
        <v>127428.54</v>
      </c>
    </row>
    <row r="928" spans="1:16" x14ac:dyDescent="0.3">
      <c r="A928" s="1" t="s">
        <v>14</v>
      </c>
      <c r="B928" s="1" t="s">
        <v>56</v>
      </c>
      <c r="C928" s="1" t="s">
        <v>26</v>
      </c>
      <c r="D928" s="1" t="s">
        <v>17</v>
      </c>
      <c r="E928" s="1" t="s">
        <v>23</v>
      </c>
      <c r="F928" s="7">
        <v>41089</v>
      </c>
      <c r="G928" s="1" t="s">
        <v>1007</v>
      </c>
      <c r="H928" s="7">
        <v>41124</v>
      </c>
      <c r="I928" s="1">
        <f>Europe_Sales_Records[[#This Row],[Ship Date]]-Europe_Sales_Records[[#This Row],[Order Date]]</f>
        <v>35</v>
      </c>
      <c r="J928" s="1">
        <v>651</v>
      </c>
      <c r="K928" s="1">
        <v>205.7</v>
      </c>
      <c r="L928" s="1">
        <v>117.11</v>
      </c>
      <c r="M928" s="1">
        <f>Europe_Sales_Records[[#This Row],[Unit Price]]-Europe_Sales_Records[[#This Row],[Unit Cost]]</f>
        <v>88.589999999999989</v>
      </c>
      <c r="N928" s="1">
        <v>133910.70000000001</v>
      </c>
      <c r="O928" s="6">
        <v>76238.61</v>
      </c>
      <c r="P928" s="1">
        <v>57672.09</v>
      </c>
    </row>
    <row r="929" spans="1:16" x14ac:dyDescent="0.3">
      <c r="A929" s="1" t="s">
        <v>14</v>
      </c>
      <c r="B929" s="1" t="s">
        <v>87</v>
      </c>
      <c r="C929" s="1" t="s">
        <v>26</v>
      </c>
      <c r="D929" s="1" t="s">
        <v>22</v>
      </c>
      <c r="E929" s="1" t="s">
        <v>23</v>
      </c>
      <c r="F929" s="7">
        <v>42312</v>
      </c>
      <c r="G929" s="1" t="s">
        <v>1008</v>
      </c>
      <c r="H929" s="7">
        <v>42332</v>
      </c>
      <c r="I929" s="1">
        <f>Europe_Sales_Records[[#This Row],[Ship Date]]-Europe_Sales_Records[[#This Row],[Order Date]]</f>
        <v>20</v>
      </c>
      <c r="J929" s="1">
        <v>1276</v>
      </c>
      <c r="K929" s="1">
        <v>205.7</v>
      </c>
      <c r="L929" s="1">
        <v>117.11</v>
      </c>
      <c r="M929" s="1">
        <f>Europe_Sales_Records[[#This Row],[Unit Price]]-Europe_Sales_Records[[#This Row],[Unit Cost]]</f>
        <v>88.589999999999989</v>
      </c>
      <c r="N929" s="1">
        <v>262473.2</v>
      </c>
      <c r="O929" s="6">
        <v>149432.35999999999</v>
      </c>
      <c r="P929" s="1">
        <v>113040.84</v>
      </c>
    </row>
    <row r="930" spans="1:16" x14ac:dyDescent="0.3">
      <c r="A930" s="1" t="s">
        <v>14</v>
      </c>
      <c r="B930" s="1" t="s">
        <v>71</v>
      </c>
      <c r="C930" s="1" t="s">
        <v>26</v>
      </c>
      <c r="D930" s="1" t="s">
        <v>17</v>
      </c>
      <c r="E930" s="1" t="s">
        <v>30</v>
      </c>
      <c r="F930" s="7">
        <v>41928</v>
      </c>
      <c r="G930" s="1" t="s">
        <v>1009</v>
      </c>
      <c r="H930" s="7">
        <v>41956</v>
      </c>
      <c r="I930" s="1">
        <f>Europe_Sales_Records[[#This Row],[Ship Date]]-Europe_Sales_Records[[#This Row],[Order Date]]</f>
        <v>28</v>
      </c>
      <c r="J930" s="1">
        <v>280</v>
      </c>
      <c r="K930" s="1">
        <v>205.7</v>
      </c>
      <c r="L930" s="1">
        <v>117.11</v>
      </c>
      <c r="M930" s="1">
        <f>Europe_Sales_Records[[#This Row],[Unit Price]]-Europe_Sales_Records[[#This Row],[Unit Cost]]</f>
        <v>88.589999999999989</v>
      </c>
      <c r="N930" s="1">
        <v>57596</v>
      </c>
      <c r="O930" s="6">
        <v>32790.800000000003</v>
      </c>
      <c r="P930" s="1">
        <v>24805.200000000001</v>
      </c>
    </row>
    <row r="931" spans="1:16" x14ac:dyDescent="0.3">
      <c r="A931" s="1" t="s">
        <v>14</v>
      </c>
      <c r="B931" s="1" t="s">
        <v>150</v>
      </c>
      <c r="C931" s="1" t="s">
        <v>16</v>
      </c>
      <c r="D931" s="1" t="s">
        <v>22</v>
      </c>
      <c r="E931" s="1" t="s">
        <v>18</v>
      </c>
      <c r="F931" s="7">
        <v>42484</v>
      </c>
      <c r="G931" s="1" t="s">
        <v>1010</v>
      </c>
      <c r="H931" s="7">
        <v>42488</v>
      </c>
      <c r="I931" s="1">
        <f>Europe_Sales_Records[[#This Row],[Ship Date]]-Europe_Sales_Records[[#This Row],[Order Date]]</f>
        <v>4</v>
      </c>
      <c r="J931" s="1">
        <v>3534</v>
      </c>
      <c r="K931" s="1">
        <v>47.45</v>
      </c>
      <c r="L931" s="1">
        <v>31.79</v>
      </c>
      <c r="M931" s="1">
        <f>Europe_Sales_Records[[#This Row],[Unit Price]]-Europe_Sales_Records[[#This Row],[Unit Cost]]</f>
        <v>15.660000000000004</v>
      </c>
      <c r="N931" s="1">
        <v>167688.29999999999</v>
      </c>
      <c r="O931" s="6">
        <v>112345.86</v>
      </c>
      <c r="P931" s="1">
        <v>55342.44</v>
      </c>
    </row>
    <row r="932" spans="1:16" x14ac:dyDescent="0.3">
      <c r="A932" s="1" t="s">
        <v>14</v>
      </c>
      <c r="B932" s="1" t="s">
        <v>50</v>
      </c>
      <c r="C932" s="1" t="s">
        <v>21</v>
      </c>
      <c r="D932" s="1" t="s">
        <v>22</v>
      </c>
      <c r="E932" s="1" t="s">
        <v>45</v>
      </c>
      <c r="F932" s="7">
        <v>41485</v>
      </c>
      <c r="G932" s="1" t="s">
        <v>1011</v>
      </c>
      <c r="H932" s="7">
        <v>41494</v>
      </c>
      <c r="I932" s="1">
        <f>Europe_Sales_Records[[#This Row],[Ship Date]]-Europe_Sales_Records[[#This Row],[Order Date]]</f>
        <v>9</v>
      </c>
      <c r="J932" s="1">
        <v>5523</v>
      </c>
      <c r="K932" s="1">
        <v>109.28</v>
      </c>
      <c r="L932" s="1">
        <v>35.840000000000003</v>
      </c>
      <c r="M932" s="1">
        <f>Europe_Sales_Records[[#This Row],[Unit Price]]-Europe_Sales_Records[[#This Row],[Unit Cost]]</f>
        <v>73.44</v>
      </c>
      <c r="N932" s="1">
        <v>603553.43999999994</v>
      </c>
      <c r="O932" s="6">
        <v>197944.32000000001</v>
      </c>
      <c r="P932" s="1">
        <v>405609.12</v>
      </c>
    </row>
    <row r="933" spans="1:16" x14ac:dyDescent="0.3">
      <c r="A933" s="1" t="s">
        <v>14</v>
      </c>
      <c r="B933" s="1" t="s">
        <v>20</v>
      </c>
      <c r="C933" s="1" t="s">
        <v>39</v>
      </c>
      <c r="D933" s="1" t="s">
        <v>22</v>
      </c>
      <c r="E933" s="1" t="s">
        <v>45</v>
      </c>
      <c r="F933" s="7">
        <v>42701</v>
      </c>
      <c r="G933" s="1" t="s">
        <v>1012</v>
      </c>
      <c r="H933" s="7">
        <v>42706</v>
      </c>
      <c r="I933" s="1">
        <f>Europe_Sales_Records[[#This Row],[Ship Date]]-Europe_Sales_Records[[#This Row],[Order Date]]</f>
        <v>5</v>
      </c>
      <c r="J933" s="1">
        <v>8159</v>
      </c>
      <c r="K933" s="1">
        <v>154.06</v>
      </c>
      <c r="L933" s="1">
        <v>90.93</v>
      </c>
      <c r="M933" s="1">
        <f>Europe_Sales_Records[[#This Row],[Unit Price]]-Europe_Sales_Records[[#This Row],[Unit Cost]]</f>
        <v>63.129999999999995</v>
      </c>
      <c r="N933" s="1">
        <v>1256975.54</v>
      </c>
      <c r="O933" s="6">
        <v>741897.87</v>
      </c>
      <c r="P933" s="1">
        <v>515077.67</v>
      </c>
    </row>
    <row r="934" spans="1:16" x14ac:dyDescent="0.3">
      <c r="A934" s="1" t="s">
        <v>14</v>
      </c>
      <c r="B934" s="1" t="s">
        <v>20</v>
      </c>
      <c r="C934" s="1" t="s">
        <v>29</v>
      </c>
      <c r="D934" s="1" t="s">
        <v>17</v>
      </c>
      <c r="E934" s="1" t="s">
        <v>45</v>
      </c>
      <c r="F934" s="7">
        <v>42296</v>
      </c>
      <c r="G934" s="1" t="s">
        <v>1013</v>
      </c>
      <c r="H934" s="7">
        <v>42315</v>
      </c>
      <c r="I934" s="1">
        <f>Europe_Sales_Records[[#This Row],[Ship Date]]-Europe_Sales_Records[[#This Row],[Order Date]]</f>
        <v>19</v>
      </c>
      <c r="J934" s="1">
        <v>5856</v>
      </c>
      <c r="K934" s="1">
        <v>651.21</v>
      </c>
      <c r="L934" s="1">
        <v>524.96</v>
      </c>
      <c r="M934" s="1">
        <f>Europe_Sales_Records[[#This Row],[Unit Price]]-Europe_Sales_Records[[#This Row],[Unit Cost]]</f>
        <v>126.25</v>
      </c>
      <c r="N934" s="1">
        <v>3813485.76</v>
      </c>
      <c r="O934" s="6">
        <v>3074165.76</v>
      </c>
      <c r="P934" s="1">
        <v>739320</v>
      </c>
    </row>
    <row r="935" spans="1:16" x14ac:dyDescent="0.3">
      <c r="A935" s="1" t="s">
        <v>14</v>
      </c>
      <c r="B935" s="1" t="s">
        <v>150</v>
      </c>
      <c r="C935" s="1" t="s">
        <v>39</v>
      </c>
      <c r="D935" s="1" t="s">
        <v>17</v>
      </c>
      <c r="E935" s="1" t="s">
        <v>30</v>
      </c>
      <c r="F935" s="7">
        <v>42658</v>
      </c>
      <c r="G935" s="1" t="s">
        <v>1014</v>
      </c>
      <c r="H935" s="7">
        <v>42698</v>
      </c>
      <c r="I935" s="1">
        <f>Europe_Sales_Records[[#This Row],[Ship Date]]-Europe_Sales_Records[[#This Row],[Order Date]]</f>
        <v>40</v>
      </c>
      <c r="J935" s="1">
        <v>5529</v>
      </c>
      <c r="K935" s="1">
        <v>154.06</v>
      </c>
      <c r="L935" s="1">
        <v>90.93</v>
      </c>
      <c r="M935" s="1">
        <f>Europe_Sales_Records[[#This Row],[Unit Price]]-Europe_Sales_Records[[#This Row],[Unit Cost]]</f>
        <v>63.129999999999995</v>
      </c>
      <c r="N935" s="1">
        <v>851797.74</v>
      </c>
      <c r="O935" s="6">
        <v>502751.97</v>
      </c>
      <c r="P935" s="1">
        <v>349045.77</v>
      </c>
    </row>
    <row r="936" spans="1:16" x14ac:dyDescent="0.3">
      <c r="A936" s="1" t="s">
        <v>14</v>
      </c>
      <c r="B936" s="1" t="s">
        <v>150</v>
      </c>
      <c r="C936" s="1" t="s">
        <v>39</v>
      </c>
      <c r="D936" s="1" t="s">
        <v>22</v>
      </c>
      <c r="E936" s="1" t="s">
        <v>18</v>
      </c>
      <c r="F936" s="7">
        <v>41336</v>
      </c>
      <c r="G936" s="1" t="s">
        <v>1015</v>
      </c>
      <c r="H936" s="7">
        <v>41352</v>
      </c>
      <c r="I936" s="1">
        <f>Europe_Sales_Records[[#This Row],[Ship Date]]-Europe_Sales_Records[[#This Row],[Order Date]]</f>
        <v>16</v>
      </c>
      <c r="J936" s="1">
        <v>6592</v>
      </c>
      <c r="K936" s="1">
        <v>154.06</v>
      </c>
      <c r="L936" s="1">
        <v>90.93</v>
      </c>
      <c r="M936" s="1">
        <f>Europe_Sales_Records[[#This Row],[Unit Price]]-Europe_Sales_Records[[#This Row],[Unit Cost]]</f>
        <v>63.129999999999995</v>
      </c>
      <c r="N936" s="1">
        <v>1015563.52</v>
      </c>
      <c r="O936" s="6">
        <v>599410.56000000006</v>
      </c>
      <c r="P936" s="1">
        <v>416152.96</v>
      </c>
    </row>
    <row r="937" spans="1:16" x14ac:dyDescent="0.3">
      <c r="A937" s="1" t="s">
        <v>14</v>
      </c>
      <c r="B937" s="1" t="s">
        <v>127</v>
      </c>
      <c r="C937" s="1" t="s">
        <v>48</v>
      </c>
      <c r="D937" s="1" t="s">
        <v>22</v>
      </c>
      <c r="E937" s="1" t="s">
        <v>30</v>
      </c>
      <c r="F937" s="7">
        <v>42927</v>
      </c>
      <c r="G937" s="1" t="s">
        <v>1016</v>
      </c>
      <c r="H937" s="7">
        <v>42940</v>
      </c>
      <c r="I937" s="1">
        <f>Europe_Sales_Records[[#This Row],[Ship Date]]-Europe_Sales_Records[[#This Row],[Order Date]]</f>
        <v>13</v>
      </c>
      <c r="J937" s="1">
        <v>9653</v>
      </c>
      <c r="K937" s="1">
        <v>152.58000000000001</v>
      </c>
      <c r="L937" s="1">
        <v>97.44</v>
      </c>
      <c r="M937" s="1">
        <f>Europe_Sales_Records[[#This Row],[Unit Price]]-Europe_Sales_Records[[#This Row],[Unit Cost]]</f>
        <v>55.140000000000015</v>
      </c>
      <c r="N937" s="1">
        <v>1472854.74</v>
      </c>
      <c r="O937" s="6">
        <v>940588.32</v>
      </c>
      <c r="P937" s="1">
        <v>532266.42000000004</v>
      </c>
    </row>
    <row r="938" spans="1:16" x14ac:dyDescent="0.3">
      <c r="A938" s="1" t="s">
        <v>14</v>
      </c>
      <c r="B938" s="1" t="s">
        <v>157</v>
      </c>
      <c r="C938" s="1" t="s">
        <v>79</v>
      </c>
      <c r="D938" s="1" t="s">
        <v>17</v>
      </c>
      <c r="E938" s="1" t="s">
        <v>23</v>
      </c>
      <c r="F938" s="7">
        <v>41362</v>
      </c>
      <c r="G938" s="1" t="s">
        <v>1017</v>
      </c>
      <c r="H938" s="7">
        <v>41364</v>
      </c>
      <c r="I938" s="1">
        <f>Europe_Sales_Records[[#This Row],[Ship Date]]-Europe_Sales_Records[[#This Row],[Order Date]]</f>
        <v>2</v>
      </c>
      <c r="J938" s="1">
        <v>523</v>
      </c>
      <c r="K938" s="1">
        <v>81.73</v>
      </c>
      <c r="L938" s="1">
        <v>56.67</v>
      </c>
      <c r="M938" s="1">
        <f>Europe_Sales_Records[[#This Row],[Unit Price]]-Europe_Sales_Records[[#This Row],[Unit Cost]]</f>
        <v>25.060000000000002</v>
      </c>
      <c r="N938" s="1">
        <v>42744.79</v>
      </c>
      <c r="O938" s="6">
        <v>29638.41</v>
      </c>
      <c r="P938" s="1">
        <v>13106.38</v>
      </c>
    </row>
    <row r="939" spans="1:16" x14ac:dyDescent="0.3">
      <c r="A939" s="1" t="s">
        <v>14</v>
      </c>
      <c r="B939" s="1" t="s">
        <v>41</v>
      </c>
      <c r="C939" s="1" t="s">
        <v>60</v>
      </c>
      <c r="D939" s="1" t="s">
        <v>17</v>
      </c>
      <c r="E939" s="1" t="s">
        <v>23</v>
      </c>
      <c r="F939" s="7">
        <v>41716</v>
      </c>
      <c r="G939" s="1" t="s">
        <v>1018</v>
      </c>
      <c r="H939" s="7">
        <v>41749</v>
      </c>
      <c r="I939" s="1">
        <f>Europe_Sales_Records[[#This Row],[Ship Date]]-Europe_Sales_Records[[#This Row],[Order Date]]</f>
        <v>33</v>
      </c>
      <c r="J939" s="1">
        <v>8337</v>
      </c>
      <c r="K939" s="1">
        <v>437.2</v>
      </c>
      <c r="L939" s="1">
        <v>263.33</v>
      </c>
      <c r="M939" s="1">
        <f>Europe_Sales_Records[[#This Row],[Unit Price]]-Europe_Sales_Records[[#This Row],[Unit Cost]]</f>
        <v>173.87</v>
      </c>
      <c r="N939" s="1">
        <v>3644936.4</v>
      </c>
      <c r="O939" s="6">
        <v>2195382.21</v>
      </c>
      <c r="P939" s="1">
        <v>1449554.19</v>
      </c>
    </row>
    <row r="940" spans="1:16" x14ac:dyDescent="0.3">
      <c r="A940" s="1" t="s">
        <v>14</v>
      </c>
      <c r="B940" s="1" t="s">
        <v>41</v>
      </c>
      <c r="C940" s="1" t="s">
        <v>21</v>
      </c>
      <c r="D940" s="1" t="s">
        <v>17</v>
      </c>
      <c r="E940" s="1" t="s">
        <v>23</v>
      </c>
      <c r="F940" s="7">
        <v>40684</v>
      </c>
      <c r="G940" s="1" t="s">
        <v>1019</v>
      </c>
      <c r="H940" s="7">
        <v>40718</v>
      </c>
      <c r="I940" s="1">
        <f>Europe_Sales_Records[[#This Row],[Ship Date]]-Europe_Sales_Records[[#This Row],[Order Date]]</f>
        <v>34</v>
      </c>
      <c r="J940" s="1">
        <v>9275</v>
      </c>
      <c r="K940" s="1">
        <v>109.28</v>
      </c>
      <c r="L940" s="1">
        <v>35.840000000000003</v>
      </c>
      <c r="M940" s="1">
        <f>Europe_Sales_Records[[#This Row],[Unit Price]]-Europe_Sales_Records[[#This Row],[Unit Cost]]</f>
        <v>73.44</v>
      </c>
      <c r="N940" s="1">
        <v>1013572</v>
      </c>
      <c r="O940" s="6">
        <v>332416</v>
      </c>
      <c r="P940" s="1">
        <v>681156</v>
      </c>
    </row>
    <row r="941" spans="1:16" x14ac:dyDescent="0.3">
      <c r="A941" s="1" t="s">
        <v>14</v>
      </c>
      <c r="B941" s="1" t="s">
        <v>129</v>
      </c>
      <c r="C941" s="1" t="s">
        <v>26</v>
      </c>
      <c r="D941" s="1" t="s">
        <v>22</v>
      </c>
      <c r="E941" s="1" t="s">
        <v>45</v>
      </c>
      <c r="F941" s="7">
        <v>42129</v>
      </c>
      <c r="G941" s="1" t="s">
        <v>1020</v>
      </c>
      <c r="H941" s="7">
        <v>42168</v>
      </c>
      <c r="I941" s="1">
        <f>Europe_Sales_Records[[#This Row],[Ship Date]]-Europe_Sales_Records[[#This Row],[Order Date]]</f>
        <v>39</v>
      </c>
      <c r="J941" s="1">
        <v>2422</v>
      </c>
      <c r="K941" s="1">
        <v>205.7</v>
      </c>
      <c r="L941" s="1">
        <v>117.11</v>
      </c>
      <c r="M941" s="1">
        <f>Europe_Sales_Records[[#This Row],[Unit Price]]-Europe_Sales_Records[[#This Row],[Unit Cost]]</f>
        <v>88.589999999999989</v>
      </c>
      <c r="N941" s="1">
        <v>498205.4</v>
      </c>
      <c r="O941" s="6">
        <v>283640.42</v>
      </c>
      <c r="P941" s="1">
        <v>214564.98</v>
      </c>
    </row>
    <row r="942" spans="1:16" x14ac:dyDescent="0.3">
      <c r="A942" s="1" t="s">
        <v>14</v>
      </c>
      <c r="B942" s="1" t="s">
        <v>180</v>
      </c>
      <c r="C942" s="1" t="s">
        <v>79</v>
      </c>
      <c r="D942" s="1" t="s">
        <v>22</v>
      </c>
      <c r="E942" s="1" t="s">
        <v>18</v>
      </c>
      <c r="F942" s="7">
        <v>41915</v>
      </c>
      <c r="G942" s="1" t="s">
        <v>1021</v>
      </c>
      <c r="H942" s="7">
        <v>41921</v>
      </c>
      <c r="I942" s="1">
        <f>Europe_Sales_Records[[#This Row],[Ship Date]]-Europe_Sales_Records[[#This Row],[Order Date]]</f>
        <v>6</v>
      </c>
      <c r="J942" s="1">
        <v>6819</v>
      </c>
      <c r="K942" s="1">
        <v>81.73</v>
      </c>
      <c r="L942" s="1">
        <v>56.67</v>
      </c>
      <c r="M942" s="1">
        <f>Europe_Sales_Records[[#This Row],[Unit Price]]-Europe_Sales_Records[[#This Row],[Unit Cost]]</f>
        <v>25.060000000000002</v>
      </c>
      <c r="N942" s="1">
        <v>557316.87</v>
      </c>
      <c r="O942" s="6">
        <v>386432.73</v>
      </c>
      <c r="P942" s="1">
        <v>170884.14</v>
      </c>
    </row>
    <row r="943" spans="1:16" x14ac:dyDescent="0.3">
      <c r="A943" s="1" t="s">
        <v>14</v>
      </c>
      <c r="B943" s="1" t="s">
        <v>94</v>
      </c>
      <c r="C943" s="1" t="s">
        <v>60</v>
      </c>
      <c r="D943" s="1" t="s">
        <v>17</v>
      </c>
      <c r="E943" s="1" t="s">
        <v>23</v>
      </c>
      <c r="F943" s="7">
        <v>41112</v>
      </c>
      <c r="G943" s="1" t="s">
        <v>1022</v>
      </c>
      <c r="H943" s="7">
        <v>41118</v>
      </c>
      <c r="I943" s="1">
        <f>Europe_Sales_Records[[#This Row],[Ship Date]]-Europe_Sales_Records[[#This Row],[Order Date]]</f>
        <v>6</v>
      </c>
      <c r="J943" s="1">
        <v>4484</v>
      </c>
      <c r="K943" s="1">
        <v>437.2</v>
      </c>
      <c r="L943" s="1">
        <v>263.33</v>
      </c>
      <c r="M943" s="1">
        <f>Europe_Sales_Records[[#This Row],[Unit Price]]-Europe_Sales_Records[[#This Row],[Unit Cost]]</f>
        <v>173.87</v>
      </c>
      <c r="N943" s="1">
        <v>1960404.8</v>
      </c>
      <c r="O943" s="6">
        <v>1180771.72</v>
      </c>
      <c r="P943" s="1">
        <v>779633.08</v>
      </c>
    </row>
    <row r="944" spans="1:16" x14ac:dyDescent="0.3">
      <c r="A944" s="1" t="s">
        <v>14</v>
      </c>
      <c r="B944" s="1" t="s">
        <v>32</v>
      </c>
      <c r="C944" s="1" t="s">
        <v>16</v>
      </c>
      <c r="D944" s="1" t="s">
        <v>17</v>
      </c>
      <c r="E944" s="1" t="s">
        <v>30</v>
      </c>
      <c r="F944" s="7">
        <v>42419</v>
      </c>
      <c r="G944" s="1" t="s">
        <v>1023</v>
      </c>
      <c r="H944" s="7">
        <v>42434</v>
      </c>
      <c r="I944" s="1">
        <f>Europe_Sales_Records[[#This Row],[Ship Date]]-Europe_Sales_Records[[#This Row],[Order Date]]</f>
        <v>15</v>
      </c>
      <c r="J944" s="1">
        <v>8222</v>
      </c>
      <c r="K944" s="1">
        <v>47.45</v>
      </c>
      <c r="L944" s="1">
        <v>31.79</v>
      </c>
      <c r="M944" s="1">
        <f>Europe_Sales_Records[[#This Row],[Unit Price]]-Europe_Sales_Records[[#This Row],[Unit Cost]]</f>
        <v>15.660000000000004</v>
      </c>
      <c r="N944" s="1">
        <v>390133.9</v>
      </c>
      <c r="O944" s="6">
        <v>261377.38</v>
      </c>
      <c r="P944" s="1">
        <v>128756.52</v>
      </c>
    </row>
    <row r="945" spans="1:16" x14ac:dyDescent="0.3">
      <c r="A945" s="1" t="s">
        <v>14</v>
      </c>
      <c r="B945" s="1" t="s">
        <v>150</v>
      </c>
      <c r="C945" s="1" t="s">
        <v>39</v>
      </c>
      <c r="D945" s="1" t="s">
        <v>17</v>
      </c>
      <c r="E945" s="1" t="s">
        <v>30</v>
      </c>
      <c r="F945" s="7">
        <v>41623</v>
      </c>
      <c r="G945" s="1" t="s">
        <v>1024</v>
      </c>
      <c r="H945" s="7">
        <v>41673</v>
      </c>
      <c r="I945" s="1">
        <f>Europe_Sales_Records[[#This Row],[Ship Date]]-Europe_Sales_Records[[#This Row],[Order Date]]</f>
        <v>50</v>
      </c>
      <c r="J945" s="1">
        <v>653</v>
      </c>
      <c r="K945" s="1">
        <v>154.06</v>
      </c>
      <c r="L945" s="1">
        <v>90.93</v>
      </c>
      <c r="M945" s="1">
        <f>Europe_Sales_Records[[#This Row],[Unit Price]]-Europe_Sales_Records[[#This Row],[Unit Cost]]</f>
        <v>63.129999999999995</v>
      </c>
      <c r="N945" s="1">
        <v>100601.18</v>
      </c>
      <c r="O945" s="6">
        <v>59377.29</v>
      </c>
      <c r="P945" s="1">
        <v>41223.89</v>
      </c>
    </row>
    <row r="946" spans="1:16" x14ac:dyDescent="0.3">
      <c r="A946" s="1" t="s">
        <v>14</v>
      </c>
      <c r="B946" s="1" t="s">
        <v>47</v>
      </c>
      <c r="C946" s="1" t="s">
        <v>33</v>
      </c>
      <c r="D946" s="1" t="s">
        <v>17</v>
      </c>
      <c r="E946" s="1" t="s">
        <v>23</v>
      </c>
      <c r="F946" s="7">
        <v>40667</v>
      </c>
      <c r="G946" s="1" t="s">
        <v>1025</v>
      </c>
      <c r="H946" s="7">
        <v>40677</v>
      </c>
      <c r="I946" s="1">
        <f>Europe_Sales_Records[[#This Row],[Ship Date]]-Europe_Sales_Records[[#This Row],[Order Date]]</f>
        <v>10</v>
      </c>
      <c r="J946" s="1">
        <v>6924</v>
      </c>
      <c r="K946" s="1">
        <v>9.33</v>
      </c>
      <c r="L946" s="1">
        <v>6.92</v>
      </c>
      <c r="M946" s="1">
        <f>Europe_Sales_Records[[#This Row],[Unit Price]]-Europe_Sales_Records[[#This Row],[Unit Cost]]</f>
        <v>2.41</v>
      </c>
      <c r="N946" s="1">
        <v>64600.92</v>
      </c>
      <c r="O946" s="6">
        <v>47914.080000000002</v>
      </c>
      <c r="P946" s="1">
        <v>16686.84</v>
      </c>
    </row>
    <row r="947" spans="1:16" x14ac:dyDescent="0.3">
      <c r="A947" s="1" t="s">
        <v>14</v>
      </c>
      <c r="B947" s="1" t="s">
        <v>219</v>
      </c>
      <c r="C947" s="1" t="s">
        <v>26</v>
      </c>
      <c r="D947" s="1" t="s">
        <v>22</v>
      </c>
      <c r="E947" s="1" t="s">
        <v>45</v>
      </c>
      <c r="F947" s="7">
        <v>42443</v>
      </c>
      <c r="G947" s="1" t="s">
        <v>1026</v>
      </c>
      <c r="H947" s="7">
        <v>42461</v>
      </c>
      <c r="I947" s="1">
        <f>Europe_Sales_Records[[#This Row],[Ship Date]]-Europe_Sales_Records[[#This Row],[Order Date]]</f>
        <v>18</v>
      </c>
      <c r="J947" s="1">
        <v>4197</v>
      </c>
      <c r="K947" s="1">
        <v>205.7</v>
      </c>
      <c r="L947" s="1">
        <v>117.11</v>
      </c>
      <c r="M947" s="1">
        <f>Europe_Sales_Records[[#This Row],[Unit Price]]-Europe_Sales_Records[[#This Row],[Unit Cost]]</f>
        <v>88.589999999999989</v>
      </c>
      <c r="N947" s="1">
        <v>863322.9</v>
      </c>
      <c r="O947" s="6">
        <v>491510.67</v>
      </c>
      <c r="P947" s="1">
        <v>371812.23</v>
      </c>
    </row>
    <row r="948" spans="1:16" x14ac:dyDescent="0.3">
      <c r="A948" s="1" t="s">
        <v>14</v>
      </c>
      <c r="B948" s="1" t="s">
        <v>65</v>
      </c>
      <c r="C948" s="1" t="s">
        <v>39</v>
      </c>
      <c r="D948" s="1" t="s">
        <v>22</v>
      </c>
      <c r="E948" s="1" t="s">
        <v>18</v>
      </c>
      <c r="F948" s="7">
        <v>41882</v>
      </c>
      <c r="G948" s="1" t="s">
        <v>1027</v>
      </c>
      <c r="H948" s="7">
        <v>41887</v>
      </c>
      <c r="I948" s="1">
        <f>Europe_Sales_Records[[#This Row],[Ship Date]]-Europe_Sales_Records[[#This Row],[Order Date]]</f>
        <v>5</v>
      </c>
      <c r="J948" s="1">
        <v>8476</v>
      </c>
      <c r="K948" s="1">
        <v>154.06</v>
      </c>
      <c r="L948" s="1">
        <v>90.93</v>
      </c>
      <c r="M948" s="1">
        <f>Europe_Sales_Records[[#This Row],[Unit Price]]-Europe_Sales_Records[[#This Row],[Unit Cost]]</f>
        <v>63.129999999999995</v>
      </c>
      <c r="N948" s="1">
        <v>1305812.56</v>
      </c>
      <c r="O948" s="6">
        <v>770722.68</v>
      </c>
      <c r="P948" s="1">
        <v>535089.88</v>
      </c>
    </row>
    <row r="949" spans="1:16" x14ac:dyDescent="0.3">
      <c r="A949" s="1" t="s">
        <v>14</v>
      </c>
      <c r="B949" s="1" t="s">
        <v>75</v>
      </c>
      <c r="C949" s="1" t="s">
        <v>39</v>
      </c>
      <c r="D949" s="1" t="s">
        <v>17</v>
      </c>
      <c r="E949" s="1" t="s">
        <v>23</v>
      </c>
      <c r="F949" s="7">
        <v>41385</v>
      </c>
      <c r="G949" s="1" t="s">
        <v>1028</v>
      </c>
      <c r="H949" s="7">
        <v>41421</v>
      </c>
      <c r="I949" s="1">
        <f>Europe_Sales_Records[[#This Row],[Ship Date]]-Europe_Sales_Records[[#This Row],[Order Date]]</f>
        <v>36</v>
      </c>
      <c r="J949" s="1">
        <v>1997</v>
      </c>
      <c r="K949" s="1">
        <v>154.06</v>
      </c>
      <c r="L949" s="1">
        <v>90.93</v>
      </c>
      <c r="M949" s="1">
        <f>Europe_Sales_Records[[#This Row],[Unit Price]]-Europe_Sales_Records[[#This Row],[Unit Cost]]</f>
        <v>63.129999999999995</v>
      </c>
      <c r="N949" s="1">
        <v>307657.82</v>
      </c>
      <c r="O949" s="6">
        <v>181587.21</v>
      </c>
      <c r="P949" s="1">
        <v>126070.61</v>
      </c>
    </row>
    <row r="950" spans="1:16" x14ac:dyDescent="0.3">
      <c r="A950" s="1" t="s">
        <v>14</v>
      </c>
      <c r="B950" s="1" t="s">
        <v>106</v>
      </c>
      <c r="C950" s="1" t="s">
        <v>16</v>
      </c>
      <c r="D950" s="1" t="s">
        <v>17</v>
      </c>
      <c r="E950" s="1" t="s">
        <v>18</v>
      </c>
      <c r="F950" s="7">
        <v>41582</v>
      </c>
      <c r="G950" s="1" t="s">
        <v>1029</v>
      </c>
      <c r="H950" s="7">
        <v>41611</v>
      </c>
      <c r="I950" s="1">
        <f>Europe_Sales_Records[[#This Row],[Ship Date]]-Europe_Sales_Records[[#This Row],[Order Date]]</f>
        <v>29</v>
      </c>
      <c r="J950" s="1">
        <v>389</v>
      </c>
      <c r="K950" s="1">
        <v>47.45</v>
      </c>
      <c r="L950" s="1">
        <v>31.79</v>
      </c>
      <c r="M950" s="1">
        <f>Europe_Sales_Records[[#This Row],[Unit Price]]-Europe_Sales_Records[[#This Row],[Unit Cost]]</f>
        <v>15.660000000000004</v>
      </c>
      <c r="N950" s="1">
        <v>18458.05</v>
      </c>
      <c r="O950" s="6">
        <v>12366.31</v>
      </c>
      <c r="P950" s="1">
        <v>6091.74</v>
      </c>
    </row>
    <row r="951" spans="1:16" x14ac:dyDescent="0.3">
      <c r="A951" s="1" t="s">
        <v>14</v>
      </c>
      <c r="B951" s="1" t="s">
        <v>97</v>
      </c>
      <c r="C951" s="1" t="s">
        <v>60</v>
      </c>
      <c r="D951" s="1" t="s">
        <v>22</v>
      </c>
      <c r="E951" s="1" t="s">
        <v>30</v>
      </c>
      <c r="F951" s="7">
        <v>40447</v>
      </c>
      <c r="G951" s="1" t="s">
        <v>1030</v>
      </c>
      <c r="H951" s="7">
        <v>40474</v>
      </c>
      <c r="I951" s="1">
        <f>Europe_Sales_Records[[#This Row],[Ship Date]]-Europe_Sales_Records[[#This Row],[Order Date]]</f>
        <v>27</v>
      </c>
      <c r="J951" s="1">
        <v>1557</v>
      </c>
      <c r="K951" s="1">
        <v>437.2</v>
      </c>
      <c r="L951" s="1">
        <v>263.33</v>
      </c>
      <c r="M951" s="1">
        <f>Europe_Sales_Records[[#This Row],[Unit Price]]-Europe_Sales_Records[[#This Row],[Unit Cost]]</f>
        <v>173.87</v>
      </c>
      <c r="N951" s="1">
        <v>680720.4</v>
      </c>
      <c r="O951" s="6">
        <v>410004.81</v>
      </c>
      <c r="P951" s="1">
        <v>270715.59000000003</v>
      </c>
    </row>
    <row r="952" spans="1:16" x14ac:dyDescent="0.3">
      <c r="A952" s="1" t="s">
        <v>14</v>
      </c>
      <c r="B952" s="1" t="s">
        <v>176</v>
      </c>
      <c r="C952" s="1" t="s">
        <v>33</v>
      </c>
      <c r="D952" s="1" t="s">
        <v>22</v>
      </c>
      <c r="E952" s="1" t="s">
        <v>18</v>
      </c>
      <c r="F952" s="7">
        <v>41814</v>
      </c>
      <c r="G952" s="1" t="s">
        <v>1031</v>
      </c>
      <c r="H952" s="7">
        <v>41827</v>
      </c>
      <c r="I952" s="1">
        <f>Europe_Sales_Records[[#This Row],[Ship Date]]-Europe_Sales_Records[[#This Row],[Order Date]]</f>
        <v>13</v>
      </c>
      <c r="J952" s="1">
        <v>5422</v>
      </c>
      <c r="K952" s="1">
        <v>9.33</v>
      </c>
      <c r="L952" s="1">
        <v>6.92</v>
      </c>
      <c r="M952" s="1">
        <f>Europe_Sales_Records[[#This Row],[Unit Price]]-Europe_Sales_Records[[#This Row],[Unit Cost]]</f>
        <v>2.41</v>
      </c>
      <c r="N952" s="1">
        <v>50587.26</v>
      </c>
      <c r="O952" s="6">
        <v>37520.239999999998</v>
      </c>
      <c r="P952" s="1">
        <v>13067.02</v>
      </c>
    </row>
    <row r="953" spans="1:16" x14ac:dyDescent="0.3">
      <c r="A953" s="1" t="s">
        <v>14</v>
      </c>
      <c r="B953" s="1" t="s">
        <v>47</v>
      </c>
      <c r="C953" s="1" t="s">
        <v>60</v>
      </c>
      <c r="D953" s="1" t="s">
        <v>22</v>
      </c>
      <c r="E953" s="1" t="s">
        <v>23</v>
      </c>
      <c r="F953" s="7">
        <v>42276</v>
      </c>
      <c r="G953" s="1" t="s">
        <v>1032</v>
      </c>
      <c r="H953" s="7">
        <v>42313</v>
      </c>
      <c r="I953" s="1">
        <f>Europe_Sales_Records[[#This Row],[Ship Date]]-Europe_Sales_Records[[#This Row],[Order Date]]</f>
        <v>37</v>
      </c>
      <c r="J953" s="1">
        <v>4119</v>
      </c>
      <c r="K953" s="1">
        <v>437.2</v>
      </c>
      <c r="L953" s="1">
        <v>263.33</v>
      </c>
      <c r="M953" s="1">
        <f>Europe_Sales_Records[[#This Row],[Unit Price]]-Europe_Sales_Records[[#This Row],[Unit Cost]]</f>
        <v>173.87</v>
      </c>
      <c r="N953" s="1">
        <v>1800826.8</v>
      </c>
      <c r="O953" s="6">
        <v>1084656.27</v>
      </c>
      <c r="P953" s="1">
        <v>716170.53</v>
      </c>
    </row>
    <row r="954" spans="1:16" x14ac:dyDescent="0.3">
      <c r="A954" s="1" t="s">
        <v>14</v>
      </c>
      <c r="B954" s="1" t="s">
        <v>118</v>
      </c>
      <c r="C954" s="1" t="s">
        <v>60</v>
      </c>
      <c r="D954" s="1" t="s">
        <v>22</v>
      </c>
      <c r="E954" s="1" t="s">
        <v>18</v>
      </c>
      <c r="F954" s="7">
        <v>40604</v>
      </c>
      <c r="G954" s="1" t="s">
        <v>1033</v>
      </c>
      <c r="H954" s="7">
        <v>40635</v>
      </c>
      <c r="I954" s="1">
        <f>Europe_Sales_Records[[#This Row],[Ship Date]]-Europe_Sales_Records[[#This Row],[Order Date]]</f>
        <v>31</v>
      </c>
      <c r="J954" s="1">
        <v>3050</v>
      </c>
      <c r="K954" s="1">
        <v>437.2</v>
      </c>
      <c r="L954" s="1">
        <v>263.33</v>
      </c>
      <c r="M954" s="1">
        <f>Europe_Sales_Records[[#This Row],[Unit Price]]-Europe_Sales_Records[[#This Row],[Unit Cost]]</f>
        <v>173.87</v>
      </c>
      <c r="N954" s="1">
        <v>1333460</v>
      </c>
      <c r="O954" s="6">
        <v>803156.5</v>
      </c>
      <c r="P954" s="1">
        <v>530303.5</v>
      </c>
    </row>
    <row r="955" spans="1:16" x14ac:dyDescent="0.3">
      <c r="A955" s="1" t="s">
        <v>14</v>
      </c>
      <c r="B955" s="1" t="s">
        <v>101</v>
      </c>
      <c r="C955" s="1" t="s">
        <v>29</v>
      </c>
      <c r="D955" s="1" t="s">
        <v>22</v>
      </c>
      <c r="E955" s="1" t="s">
        <v>45</v>
      </c>
      <c r="F955" s="7">
        <v>40778</v>
      </c>
      <c r="G955" s="1" t="s">
        <v>1034</v>
      </c>
      <c r="H955" s="7">
        <v>40812</v>
      </c>
      <c r="I955" s="1">
        <f>Europe_Sales_Records[[#This Row],[Ship Date]]-Europe_Sales_Records[[#This Row],[Order Date]]</f>
        <v>34</v>
      </c>
      <c r="J955" s="1">
        <v>5967</v>
      </c>
      <c r="K955" s="1">
        <v>651.21</v>
      </c>
      <c r="L955" s="1">
        <v>524.96</v>
      </c>
      <c r="M955" s="1">
        <f>Europe_Sales_Records[[#This Row],[Unit Price]]-Europe_Sales_Records[[#This Row],[Unit Cost]]</f>
        <v>126.25</v>
      </c>
      <c r="N955" s="1">
        <v>3885770.07</v>
      </c>
      <c r="O955" s="6">
        <v>3132436.32</v>
      </c>
      <c r="P955" s="1">
        <v>753333.75</v>
      </c>
    </row>
    <row r="956" spans="1:16" x14ac:dyDescent="0.3">
      <c r="A956" s="1" t="s">
        <v>14</v>
      </c>
      <c r="B956" s="1" t="s">
        <v>56</v>
      </c>
      <c r="C956" s="1" t="s">
        <v>79</v>
      </c>
      <c r="D956" s="1" t="s">
        <v>22</v>
      </c>
      <c r="E956" s="1" t="s">
        <v>23</v>
      </c>
      <c r="F956" s="7">
        <v>41896</v>
      </c>
      <c r="G956" s="1" t="s">
        <v>1035</v>
      </c>
      <c r="H956" s="7">
        <v>41920</v>
      </c>
      <c r="I956" s="1">
        <f>Europe_Sales_Records[[#This Row],[Ship Date]]-Europe_Sales_Records[[#This Row],[Order Date]]</f>
        <v>24</v>
      </c>
      <c r="J956" s="1">
        <v>7162</v>
      </c>
      <c r="K956" s="1">
        <v>81.73</v>
      </c>
      <c r="L956" s="1">
        <v>56.67</v>
      </c>
      <c r="M956" s="1">
        <f>Europe_Sales_Records[[#This Row],[Unit Price]]-Europe_Sales_Records[[#This Row],[Unit Cost]]</f>
        <v>25.060000000000002</v>
      </c>
      <c r="N956" s="1">
        <v>585350.26</v>
      </c>
      <c r="O956" s="6">
        <v>405870.54</v>
      </c>
      <c r="P956" s="1">
        <v>179479.72</v>
      </c>
    </row>
    <row r="957" spans="1:16" x14ac:dyDescent="0.3">
      <c r="A957" s="1" t="s">
        <v>14</v>
      </c>
      <c r="B957" s="1" t="s">
        <v>180</v>
      </c>
      <c r="C957" s="1" t="s">
        <v>33</v>
      </c>
      <c r="D957" s="1" t="s">
        <v>22</v>
      </c>
      <c r="E957" s="1" t="s">
        <v>30</v>
      </c>
      <c r="F957" s="7">
        <v>42632</v>
      </c>
      <c r="G957" s="1" t="s">
        <v>1036</v>
      </c>
      <c r="H957" s="7">
        <v>42652</v>
      </c>
      <c r="I957" s="1">
        <f>Europe_Sales_Records[[#This Row],[Ship Date]]-Europe_Sales_Records[[#This Row],[Order Date]]</f>
        <v>20</v>
      </c>
      <c r="J957" s="1">
        <v>8815</v>
      </c>
      <c r="K957" s="1">
        <v>9.33</v>
      </c>
      <c r="L957" s="1">
        <v>6.92</v>
      </c>
      <c r="M957" s="1">
        <f>Europe_Sales_Records[[#This Row],[Unit Price]]-Europe_Sales_Records[[#This Row],[Unit Cost]]</f>
        <v>2.41</v>
      </c>
      <c r="N957" s="1">
        <v>82243.95</v>
      </c>
      <c r="O957" s="6">
        <v>60999.8</v>
      </c>
      <c r="P957" s="1">
        <v>21244.15</v>
      </c>
    </row>
    <row r="958" spans="1:16" x14ac:dyDescent="0.3">
      <c r="A958" s="1" t="s">
        <v>14</v>
      </c>
      <c r="B958" s="1" t="s">
        <v>118</v>
      </c>
      <c r="C958" s="1" t="s">
        <v>39</v>
      </c>
      <c r="D958" s="1" t="s">
        <v>17</v>
      </c>
      <c r="E958" s="1" t="s">
        <v>23</v>
      </c>
      <c r="F958" s="7">
        <v>40647</v>
      </c>
      <c r="G958" s="1" t="s">
        <v>1037</v>
      </c>
      <c r="H958" s="7">
        <v>40697</v>
      </c>
      <c r="I958" s="1">
        <f>Europe_Sales_Records[[#This Row],[Ship Date]]-Europe_Sales_Records[[#This Row],[Order Date]]</f>
        <v>50</v>
      </c>
      <c r="J958" s="1">
        <v>3545</v>
      </c>
      <c r="K958" s="1">
        <v>154.06</v>
      </c>
      <c r="L958" s="1">
        <v>90.93</v>
      </c>
      <c r="M958" s="1">
        <f>Europe_Sales_Records[[#This Row],[Unit Price]]-Europe_Sales_Records[[#This Row],[Unit Cost]]</f>
        <v>63.129999999999995</v>
      </c>
      <c r="N958" s="1">
        <v>546142.69999999995</v>
      </c>
      <c r="O958" s="6">
        <v>322346.84999999998</v>
      </c>
      <c r="P958" s="1">
        <v>223795.85</v>
      </c>
    </row>
    <row r="959" spans="1:16" x14ac:dyDescent="0.3">
      <c r="A959" s="1" t="s">
        <v>14</v>
      </c>
      <c r="B959" s="1" t="s">
        <v>164</v>
      </c>
      <c r="C959" s="1" t="s">
        <v>48</v>
      </c>
      <c r="D959" s="1" t="s">
        <v>17</v>
      </c>
      <c r="E959" s="1" t="s">
        <v>18</v>
      </c>
      <c r="F959" s="7">
        <v>42690</v>
      </c>
      <c r="G959" s="1" t="s">
        <v>1038</v>
      </c>
      <c r="H959" s="7">
        <v>42730</v>
      </c>
      <c r="I959" s="1">
        <f>Europe_Sales_Records[[#This Row],[Ship Date]]-Europe_Sales_Records[[#This Row],[Order Date]]</f>
        <v>40</v>
      </c>
      <c r="J959" s="1">
        <v>1500</v>
      </c>
      <c r="K959" s="1">
        <v>152.58000000000001</v>
      </c>
      <c r="L959" s="1">
        <v>97.44</v>
      </c>
      <c r="M959" s="1">
        <f>Europe_Sales_Records[[#This Row],[Unit Price]]-Europe_Sales_Records[[#This Row],[Unit Cost]]</f>
        <v>55.140000000000015</v>
      </c>
      <c r="N959" s="1">
        <v>228870</v>
      </c>
      <c r="O959" s="6">
        <v>146160</v>
      </c>
      <c r="P959" s="1">
        <v>82710</v>
      </c>
    </row>
    <row r="960" spans="1:16" x14ac:dyDescent="0.3">
      <c r="A960" s="1" t="s">
        <v>14</v>
      </c>
      <c r="B960" s="1" t="s">
        <v>91</v>
      </c>
      <c r="C960" s="1" t="s">
        <v>57</v>
      </c>
      <c r="D960" s="1" t="s">
        <v>17</v>
      </c>
      <c r="E960" s="1" t="s">
        <v>30</v>
      </c>
      <c r="F960" s="7">
        <v>42256</v>
      </c>
      <c r="G960" s="1" t="s">
        <v>1039</v>
      </c>
      <c r="H960" s="7">
        <v>42263</v>
      </c>
      <c r="I960" s="1">
        <f>Europe_Sales_Records[[#This Row],[Ship Date]]-Europe_Sales_Records[[#This Row],[Order Date]]</f>
        <v>7</v>
      </c>
      <c r="J960" s="1">
        <v>7461</v>
      </c>
      <c r="K960" s="1">
        <v>668.27</v>
      </c>
      <c r="L960" s="1">
        <v>502.54</v>
      </c>
      <c r="M960" s="1">
        <f>Europe_Sales_Records[[#This Row],[Unit Price]]-Europe_Sales_Records[[#This Row],[Unit Cost]]</f>
        <v>165.72999999999996</v>
      </c>
      <c r="N960" s="1">
        <v>4985962.47</v>
      </c>
      <c r="O960" s="6">
        <v>3749450.94</v>
      </c>
      <c r="P960" s="1">
        <v>1236511.53</v>
      </c>
    </row>
    <row r="961" spans="1:16" x14ac:dyDescent="0.3">
      <c r="A961" s="1" t="s">
        <v>14</v>
      </c>
      <c r="B961" s="1" t="s">
        <v>28</v>
      </c>
      <c r="C961" s="1" t="s">
        <v>60</v>
      </c>
      <c r="D961" s="1" t="s">
        <v>17</v>
      </c>
      <c r="E961" s="1" t="s">
        <v>45</v>
      </c>
      <c r="F961" s="7">
        <v>42861</v>
      </c>
      <c r="G961" s="1" t="s">
        <v>1040</v>
      </c>
      <c r="H961" s="7">
        <v>42901</v>
      </c>
      <c r="I961" s="1">
        <f>Europe_Sales_Records[[#This Row],[Ship Date]]-Europe_Sales_Records[[#This Row],[Order Date]]</f>
        <v>40</v>
      </c>
      <c r="J961" s="1">
        <v>7258</v>
      </c>
      <c r="K961" s="1">
        <v>437.2</v>
      </c>
      <c r="L961" s="1">
        <v>263.33</v>
      </c>
      <c r="M961" s="1">
        <f>Europe_Sales_Records[[#This Row],[Unit Price]]-Europe_Sales_Records[[#This Row],[Unit Cost]]</f>
        <v>173.87</v>
      </c>
      <c r="N961" s="1">
        <v>3173197.6</v>
      </c>
      <c r="O961" s="6">
        <v>1911249.14</v>
      </c>
      <c r="P961" s="1">
        <v>1261948.46</v>
      </c>
    </row>
    <row r="962" spans="1:16" x14ac:dyDescent="0.3">
      <c r="A962" s="1" t="s">
        <v>14</v>
      </c>
      <c r="B962" s="1" t="s">
        <v>35</v>
      </c>
      <c r="C962" s="1" t="s">
        <v>57</v>
      </c>
      <c r="D962" s="1" t="s">
        <v>17</v>
      </c>
      <c r="E962" s="1" t="s">
        <v>30</v>
      </c>
      <c r="F962" s="7">
        <v>40507</v>
      </c>
      <c r="G962" s="1" t="s">
        <v>1041</v>
      </c>
      <c r="H962" s="7">
        <v>40524</v>
      </c>
      <c r="I962" s="1">
        <f>Europe_Sales_Records[[#This Row],[Ship Date]]-Europe_Sales_Records[[#This Row],[Order Date]]</f>
        <v>17</v>
      </c>
      <c r="J962" s="1">
        <v>3473</v>
      </c>
      <c r="K962" s="1">
        <v>668.27</v>
      </c>
      <c r="L962" s="1">
        <v>502.54</v>
      </c>
      <c r="M962" s="1">
        <f>Europe_Sales_Records[[#This Row],[Unit Price]]-Europe_Sales_Records[[#This Row],[Unit Cost]]</f>
        <v>165.72999999999996</v>
      </c>
      <c r="N962" s="1">
        <v>2320901.71</v>
      </c>
      <c r="O962" s="6">
        <v>1745321.42</v>
      </c>
      <c r="P962" s="1">
        <v>575580.29</v>
      </c>
    </row>
    <row r="963" spans="1:16" x14ac:dyDescent="0.3">
      <c r="A963" s="1" t="s">
        <v>14</v>
      </c>
      <c r="B963" s="1" t="s">
        <v>38</v>
      </c>
      <c r="C963" s="1" t="s">
        <v>57</v>
      </c>
      <c r="D963" s="1" t="s">
        <v>17</v>
      </c>
      <c r="E963" s="1" t="s">
        <v>18</v>
      </c>
      <c r="F963" s="7">
        <v>42618</v>
      </c>
      <c r="G963" s="1" t="s">
        <v>1042</v>
      </c>
      <c r="H963" s="7">
        <v>42644</v>
      </c>
      <c r="I963" s="1">
        <f>Europe_Sales_Records[[#This Row],[Ship Date]]-Europe_Sales_Records[[#This Row],[Order Date]]</f>
        <v>26</v>
      </c>
      <c r="J963" s="1">
        <v>5773</v>
      </c>
      <c r="K963" s="1">
        <v>668.27</v>
      </c>
      <c r="L963" s="1">
        <v>502.54</v>
      </c>
      <c r="M963" s="1">
        <f>Europe_Sales_Records[[#This Row],[Unit Price]]-Europe_Sales_Records[[#This Row],[Unit Cost]]</f>
        <v>165.72999999999996</v>
      </c>
      <c r="N963" s="1">
        <v>3857922.71</v>
      </c>
      <c r="O963" s="6">
        <v>2901163.42</v>
      </c>
      <c r="P963" s="1">
        <v>956759.29</v>
      </c>
    </row>
    <row r="964" spans="1:16" x14ac:dyDescent="0.3">
      <c r="A964" s="1" t="s">
        <v>14</v>
      </c>
      <c r="B964" s="1" t="s">
        <v>127</v>
      </c>
      <c r="C964" s="1" t="s">
        <v>29</v>
      </c>
      <c r="D964" s="1" t="s">
        <v>17</v>
      </c>
      <c r="E964" s="1" t="s">
        <v>18</v>
      </c>
      <c r="F964" s="7">
        <v>42355</v>
      </c>
      <c r="G964" s="1" t="s">
        <v>1043</v>
      </c>
      <c r="H964" s="7">
        <v>42371</v>
      </c>
      <c r="I964" s="1">
        <f>Europe_Sales_Records[[#This Row],[Ship Date]]-Europe_Sales_Records[[#This Row],[Order Date]]</f>
        <v>16</v>
      </c>
      <c r="J964" s="1">
        <v>9264</v>
      </c>
      <c r="K964" s="1">
        <v>651.21</v>
      </c>
      <c r="L964" s="1">
        <v>524.96</v>
      </c>
      <c r="M964" s="1">
        <f>Europe_Sales_Records[[#This Row],[Unit Price]]-Europe_Sales_Records[[#This Row],[Unit Cost]]</f>
        <v>126.25</v>
      </c>
      <c r="N964" s="1">
        <v>6032809.4400000004</v>
      </c>
      <c r="O964" s="6">
        <v>4863229.4400000004</v>
      </c>
      <c r="P964" s="1">
        <v>1169580</v>
      </c>
    </row>
    <row r="965" spans="1:16" x14ac:dyDescent="0.3">
      <c r="A965" s="1" t="s">
        <v>14</v>
      </c>
      <c r="B965" s="1" t="s">
        <v>73</v>
      </c>
      <c r="C965" s="1" t="s">
        <v>79</v>
      </c>
      <c r="D965" s="1" t="s">
        <v>17</v>
      </c>
      <c r="E965" s="1" t="s">
        <v>23</v>
      </c>
      <c r="F965" s="7">
        <v>40808</v>
      </c>
      <c r="G965" s="1" t="s">
        <v>1044</v>
      </c>
      <c r="H965" s="7">
        <v>40813</v>
      </c>
      <c r="I965" s="1">
        <f>Europe_Sales_Records[[#This Row],[Ship Date]]-Europe_Sales_Records[[#This Row],[Order Date]]</f>
        <v>5</v>
      </c>
      <c r="J965" s="1">
        <v>5997</v>
      </c>
      <c r="K965" s="1">
        <v>81.73</v>
      </c>
      <c r="L965" s="1">
        <v>56.67</v>
      </c>
      <c r="M965" s="1">
        <f>Europe_Sales_Records[[#This Row],[Unit Price]]-Europe_Sales_Records[[#This Row],[Unit Cost]]</f>
        <v>25.060000000000002</v>
      </c>
      <c r="N965" s="1">
        <v>490134.81</v>
      </c>
      <c r="O965" s="6">
        <v>339849.99</v>
      </c>
      <c r="P965" s="1">
        <v>150284.82</v>
      </c>
    </row>
    <row r="966" spans="1:16" x14ac:dyDescent="0.3">
      <c r="A966" s="1" t="s">
        <v>14</v>
      </c>
      <c r="B966" s="1" t="s">
        <v>56</v>
      </c>
      <c r="C966" s="1" t="s">
        <v>21</v>
      </c>
      <c r="D966" s="1" t="s">
        <v>17</v>
      </c>
      <c r="E966" s="1" t="s">
        <v>23</v>
      </c>
      <c r="F966" s="7">
        <v>40752</v>
      </c>
      <c r="G966" s="1" t="s">
        <v>1045</v>
      </c>
      <c r="H966" s="7">
        <v>40787</v>
      </c>
      <c r="I966" s="1">
        <f>Europe_Sales_Records[[#This Row],[Ship Date]]-Europe_Sales_Records[[#This Row],[Order Date]]</f>
        <v>35</v>
      </c>
      <c r="J966" s="1">
        <v>3755</v>
      </c>
      <c r="K966" s="1">
        <v>109.28</v>
      </c>
      <c r="L966" s="1">
        <v>35.840000000000003</v>
      </c>
      <c r="M966" s="1">
        <f>Europe_Sales_Records[[#This Row],[Unit Price]]-Europe_Sales_Records[[#This Row],[Unit Cost]]</f>
        <v>73.44</v>
      </c>
      <c r="N966" s="1">
        <v>410346.4</v>
      </c>
      <c r="O966" s="6">
        <v>134579.20000000001</v>
      </c>
      <c r="P966" s="1">
        <v>275767.2</v>
      </c>
    </row>
    <row r="967" spans="1:16" x14ac:dyDescent="0.3">
      <c r="A967" s="1" t="s">
        <v>14</v>
      </c>
      <c r="B967" s="1" t="s">
        <v>32</v>
      </c>
      <c r="C967" s="1" t="s">
        <v>16</v>
      </c>
      <c r="D967" s="1" t="s">
        <v>22</v>
      </c>
      <c r="E967" s="1" t="s">
        <v>45</v>
      </c>
      <c r="F967" s="7">
        <v>42429</v>
      </c>
      <c r="G967" s="1" t="s">
        <v>1046</v>
      </c>
      <c r="H967" s="7">
        <v>42448</v>
      </c>
      <c r="I967" s="1">
        <f>Europe_Sales_Records[[#This Row],[Ship Date]]-Europe_Sales_Records[[#This Row],[Order Date]]</f>
        <v>19</v>
      </c>
      <c r="J967" s="1">
        <v>9875</v>
      </c>
      <c r="K967" s="1">
        <v>47.45</v>
      </c>
      <c r="L967" s="1">
        <v>31.79</v>
      </c>
      <c r="M967" s="1">
        <f>Europe_Sales_Records[[#This Row],[Unit Price]]-Europe_Sales_Records[[#This Row],[Unit Cost]]</f>
        <v>15.660000000000004</v>
      </c>
      <c r="N967" s="1">
        <v>468568.75</v>
      </c>
      <c r="O967" s="6">
        <v>313926.25</v>
      </c>
      <c r="P967" s="1">
        <v>154642.5</v>
      </c>
    </row>
    <row r="968" spans="1:16" x14ac:dyDescent="0.3">
      <c r="A968" s="1" t="s">
        <v>14</v>
      </c>
      <c r="B968" s="1" t="s">
        <v>106</v>
      </c>
      <c r="C968" s="1" t="s">
        <v>42</v>
      </c>
      <c r="D968" s="1" t="s">
        <v>17</v>
      </c>
      <c r="E968" s="1" t="s">
        <v>30</v>
      </c>
      <c r="F968" s="7">
        <v>40343</v>
      </c>
      <c r="G968" s="1" t="s">
        <v>1047</v>
      </c>
      <c r="H968" s="7">
        <v>40393</v>
      </c>
      <c r="I968" s="1">
        <f>Europe_Sales_Records[[#This Row],[Ship Date]]-Europe_Sales_Records[[#This Row],[Order Date]]</f>
        <v>50</v>
      </c>
      <c r="J968" s="1">
        <v>6280</v>
      </c>
      <c r="K968" s="1">
        <v>421.89</v>
      </c>
      <c r="L968" s="1">
        <v>364.69</v>
      </c>
      <c r="M968" s="1">
        <f>Europe_Sales_Records[[#This Row],[Unit Price]]-Europe_Sales_Records[[#This Row],[Unit Cost]]</f>
        <v>57.199999999999989</v>
      </c>
      <c r="N968" s="1">
        <v>2649469.2000000002</v>
      </c>
      <c r="O968" s="6">
        <v>2290253.2000000002</v>
      </c>
      <c r="P968" s="1">
        <v>359216</v>
      </c>
    </row>
    <row r="969" spans="1:16" x14ac:dyDescent="0.3">
      <c r="A969" s="1" t="s">
        <v>14</v>
      </c>
      <c r="B969" s="1" t="s">
        <v>59</v>
      </c>
      <c r="C969" s="1" t="s">
        <v>29</v>
      </c>
      <c r="D969" s="1" t="s">
        <v>17</v>
      </c>
      <c r="E969" s="1" t="s">
        <v>23</v>
      </c>
      <c r="F969" s="7">
        <v>42440</v>
      </c>
      <c r="G969" s="1" t="s">
        <v>1048</v>
      </c>
      <c r="H969" s="7">
        <v>42480</v>
      </c>
      <c r="I969" s="1">
        <f>Europe_Sales_Records[[#This Row],[Ship Date]]-Europe_Sales_Records[[#This Row],[Order Date]]</f>
        <v>40</v>
      </c>
      <c r="J969" s="1">
        <v>33</v>
      </c>
      <c r="K969" s="1">
        <v>651.21</v>
      </c>
      <c r="L969" s="1">
        <v>524.96</v>
      </c>
      <c r="M969" s="1">
        <f>Europe_Sales_Records[[#This Row],[Unit Price]]-Europe_Sales_Records[[#This Row],[Unit Cost]]</f>
        <v>126.25</v>
      </c>
      <c r="N969" s="1">
        <v>21489.93</v>
      </c>
      <c r="O969" s="6">
        <v>17323.68</v>
      </c>
      <c r="P969" s="1">
        <v>4166.25</v>
      </c>
    </row>
    <row r="970" spans="1:16" x14ac:dyDescent="0.3">
      <c r="A970" s="1" t="s">
        <v>14</v>
      </c>
      <c r="B970" s="1" t="s">
        <v>97</v>
      </c>
      <c r="C970" s="1" t="s">
        <v>29</v>
      </c>
      <c r="D970" s="1" t="s">
        <v>17</v>
      </c>
      <c r="E970" s="1" t="s">
        <v>45</v>
      </c>
      <c r="F970" s="7">
        <v>41854</v>
      </c>
      <c r="G970" s="1" t="s">
        <v>1049</v>
      </c>
      <c r="H970" s="7">
        <v>41903</v>
      </c>
      <c r="I970" s="1">
        <f>Europe_Sales_Records[[#This Row],[Ship Date]]-Europe_Sales_Records[[#This Row],[Order Date]]</f>
        <v>49</v>
      </c>
      <c r="J970" s="1">
        <v>7962</v>
      </c>
      <c r="K970" s="1">
        <v>651.21</v>
      </c>
      <c r="L970" s="1">
        <v>524.96</v>
      </c>
      <c r="M970" s="1">
        <f>Europe_Sales_Records[[#This Row],[Unit Price]]-Europe_Sales_Records[[#This Row],[Unit Cost]]</f>
        <v>126.25</v>
      </c>
      <c r="N970" s="1">
        <v>5184934.0199999996</v>
      </c>
      <c r="O970" s="6">
        <v>4179731.52</v>
      </c>
      <c r="P970" s="1">
        <v>1005202.5</v>
      </c>
    </row>
    <row r="971" spans="1:16" x14ac:dyDescent="0.3">
      <c r="A971" s="1" t="s">
        <v>14</v>
      </c>
      <c r="B971" s="1" t="s">
        <v>56</v>
      </c>
      <c r="C971" s="1" t="s">
        <v>42</v>
      </c>
      <c r="D971" s="1" t="s">
        <v>22</v>
      </c>
      <c r="E971" s="1" t="s">
        <v>23</v>
      </c>
      <c r="F971" s="7">
        <v>40532</v>
      </c>
      <c r="G971" s="1" t="s">
        <v>1050</v>
      </c>
      <c r="H971" s="7">
        <v>40574</v>
      </c>
      <c r="I971" s="1">
        <f>Europe_Sales_Records[[#This Row],[Ship Date]]-Europe_Sales_Records[[#This Row],[Order Date]]</f>
        <v>42</v>
      </c>
      <c r="J971" s="1">
        <v>7392</v>
      </c>
      <c r="K971" s="1">
        <v>421.89</v>
      </c>
      <c r="L971" s="1">
        <v>364.69</v>
      </c>
      <c r="M971" s="1">
        <f>Europe_Sales_Records[[#This Row],[Unit Price]]-Europe_Sales_Records[[#This Row],[Unit Cost]]</f>
        <v>57.199999999999989</v>
      </c>
      <c r="N971" s="1">
        <v>3118610.88</v>
      </c>
      <c r="O971" s="6">
        <v>2695788.48</v>
      </c>
      <c r="P971" s="1">
        <v>422822.40000000002</v>
      </c>
    </row>
    <row r="972" spans="1:16" x14ac:dyDescent="0.3">
      <c r="A972" s="1" t="s">
        <v>14</v>
      </c>
      <c r="B972" s="1" t="s">
        <v>164</v>
      </c>
      <c r="C972" s="1" t="s">
        <v>52</v>
      </c>
      <c r="D972" s="1" t="s">
        <v>17</v>
      </c>
      <c r="E972" s="1" t="s">
        <v>45</v>
      </c>
      <c r="F972" s="7">
        <v>41059</v>
      </c>
      <c r="G972" s="1" t="s">
        <v>1051</v>
      </c>
      <c r="H972" s="7">
        <v>41071</v>
      </c>
      <c r="I972" s="1">
        <f>Europe_Sales_Records[[#This Row],[Ship Date]]-Europe_Sales_Records[[#This Row],[Order Date]]</f>
        <v>12</v>
      </c>
      <c r="J972" s="1">
        <v>4835</v>
      </c>
      <c r="K972" s="1">
        <v>255.28</v>
      </c>
      <c r="L972" s="1">
        <v>159.41999999999999</v>
      </c>
      <c r="M972" s="1">
        <f>Europe_Sales_Records[[#This Row],[Unit Price]]-Europe_Sales_Records[[#This Row],[Unit Cost]]</f>
        <v>95.860000000000014</v>
      </c>
      <c r="N972" s="1">
        <v>1234278.8</v>
      </c>
      <c r="O972" s="6">
        <v>770795.7</v>
      </c>
      <c r="P972" s="1">
        <v>463483.1</v>
      </c>
    </row>
    <row r="973" spans="1:16" x14ac:dyDescent="0.3">
      <c r="A973" s="1" t="s">
        <v>14</v>
      </c>
      <c r="B973" s="1" t="s">
        <v>50</v>
      </c>
      <c r="C973" s="1" t="s">
        <v>33</v>
      </c>
      <c r="D973" s="1" t="s">
        <v>22</v>
      </c>
      <c r="E973" s="1" t="s">
        <v>30</v>
      </c>
      <c r="F973" s="7">
        <v>42926</v>
      </c>
      <c r="G973" s="1" t="s">
        <v>1052</v>
      </c>
      <c r="H973" s="7">
        <v>42951</v>
      </c>
      <c r="I973" s="1">
        <f>Europe_Sales_Records[[#This Row],[Ship Date]]-Europe_Sales_Records[[#This Row],[Order Date]]</f>
        <v>25</v>
      </c>
      <c r="J973" s="1">
        <v>6574</v>
      </c>
      <c r="K973" s="1">
        <v>9.33</v>
      </c>
      <c r="L973" s="1">
        <v>6.92</v>
      </c>
      <c r="M973" s="1">
        <f>Europe_Sales_Records[[#This Row],[Unit Price]]-Europe_Sales_Records[[#This Row],[Unit Cost]]</f>
        <v>2.41</v>
      </c>
      <c r="N973" s="1">
        <v>61335.42</v>
      </c>
      <c r="O973" s="6">
        <v>45492.08</v>
      </c>
      <c r="P973" s="1">
        <v>15843.34</v>
      </c>
    </row>
    <row r="974" spans="1:16" x14ac:dyDescent="0.3">
      <c r="A974" s="1" t="s">
        <v>14</v>
      </c>
      <c r="B974" s="1" t="s">
        <v>50</v>
      </c>
      <c r="C974" s="1" t="s">
        <v>26</v>
      </c>
      <c r="D974" s="1" t="s">
        <v>17</v>
      </c>
      <c r="E974" s="1" t="s">
        <v>30</v>
      </c>
      <c r="F974" s="7">
        <v>41047</v>
      </c>
      <c r="G974" s="1" t="s">
        <v>1053</v>
      </c>
      <c r="H974" s="7">
        <v>41066</v>
      </c>
      <c r="I974" s="1">
        <f>Europe_Sales_Records[[#This Row],[Ship Date]]-Europe_Sales_Records[[#This Row],[Order Date]]</f>
        <v>19</v>
      </c>
      <c r="J974" s="1">
        <v>2447</v>
      </c>
      <c r="K974" s="1">
        <v>205.7</v>
      </c>
      <c r="L974" s="1">
        <v>117.11</v>
      </c>
      <c r="M974" s="1">
        <f>Europe_Sales_Records[[#This Row],[Unit Price]]-Europe_Sales_Records[[#This Row],[Unit Cost]]</f>
        <v>88.589999999999989</v>
      </c>
      <c r="N974" s="1">
        <v>503347.9</v>
      </c>
      <c r="O974" s="6">
        <v>286568.17</v>
      </c>
      <c r="P974" s="1">
        <v>216779.73</v>
      </c>
    </row>
    <row r="975" spans="1:16" x14ac:dyDescent="0.3">
      <c r="A975" s="1" t="s">
        <v>14</v>
      </c>
      <c r="B975" s="1" t="s">
        <v>54</v>
      </c>
      <c r="C975" s="1" t="s">
        <v>39</v>
      </c>
      <c r="D975" s="1" t="s">
        <v>17</v>
      </c>
      <c r="E975" s="1" t="s">
        <v>45</v>
      </c>
      <c r="F975" s="7">
        <v>42806</v>
      </c>
      <c r="G975" s="1" t="s">
        <v>1054</v>
      </c>
      <c r="H975" s="7">
        <v>42826</v>
      </c>
      <c r="I975" s="1">
        <f>Europe_Sales_Records[[#This Row],[Ship Date]]-Europe_Sales_Records[[#This Row],[Order Date]]</f>
        <v>20</v>
      </c>
      <c r="J975" s="1">
        <v>22</v>
      </c>
      <c r="K975" s="1">
        <v>154.06</v>
      </c>
      <c r="L975" s="1">
        <v>90.93</v>
      </c>
      <c r="M975" s="1">
        <f>Europe_Sales_Records[[#This Row],[Unit Price]]-Europe_Sales_Records[[#This Row],[Unit Cost]]</f>
        <v>63.129999999999995</v>
      </c>
      <c r="N975" s="1">
        <v>3389.32</v>
      </c>
      <c r="O975" s="6">
        <v>2000.46</v>
      </c>
      <c r="P975" s="1">
        <v>1388.86</v>
      </c>
    </row>
    <row r="976" spans="1:16" x14ac:dyDescent="0.3">
      <c r="A976" s="1" t="s">
        <v>14</v>
      </c>
      <c r="B976" s="1" t="s">
        <v>116</v>
      </c>
      <c r="C976" s="1" t="s">
        <v>57</v>
      </c>
      <c r="D976" s="1" t="s">
        <v>22</v>
      </c>
      <c r="E976" s="1" t="s">
        <v>30</v>
      </c>
      <c r="F976" s="7">
        <v>40710</v>
      </c>
      <c r="G976" s="1" t="s">
        <v>1055</v>
      </c>
      <c r="H976" s="7">
        <v>40754</v>
      </c>
      <c r="I976" s="1">
        <f>Europe_Sales_Records[[#This Row],[Ship Date]]-Europe_Sales_Records[[#This Row],[Order Date]]</f>
        <v>44</v>
      </c>
      <c r="J976" s="1">
        <v>9419</v>
      </c>
      <c r="K976" s="1">
        <v>668.27</v>
      </c>
      <c r="L976" s="1">
        <v>502.54</v>
      </c>
      <c r="M976" s="1">
        <f>Europe_Sales_Records[[#This Row],[Unit Price]]-Europe_Sales_Records[[#This Row],[Unit Cost]]</f>
        <v>165.72999999999996</v>
      </c>
      <c r="N976" s="1">
        <v>6294435.1299999999</v>
      </c>
      <c r="O976" s="6">
        <v>4733424.26</v>
      </c>
      <c r="P976" s="1">
        <v>1561010.87</v>
      </c>
    </row>
    <row r="977" spans="1:16" x14ac:dyDescent="0.3">
      <c r="A977" s="1" t="s">
        <v>14</v>
      </c>
      <c r="B977" s="1" t="s">
        <v>47</v>
      </c>
      <c r="C977" s="1" t="s">
        <v>26</v>
      </c>
      <c r="D977" s="1" t="s">
        <v>17</v>
      </c>
      <c r="E977" s="1" t="s">
        <v>30</v>
      </c>
      <c r="F977" s="7">
        <v>41227</v>
      </c>
      <c r="G977" s="1" t="s">
        <v>1056</v>
      </c>
      <c r="H977" s="7">
        <v>41269</v>
      </c>
      <c r="I977" s="1">
        <f>Europe_Sales_Records[[#This Row],[Ship Date]]-Europe_Sales_Records[[#This Row],[Order Date]]</f>
        <v>42</v>
      </c>
      <c r="J977" s="1">
        <v>3705</v>
      </c>
      <c r="K977" s="1">
        <v>205.7</v>
      </c>
      <c r="L977" s="1">
        <v>117.11</v>
      </c>
      <c r="M977" s="1">
        <f>Europe_Sales_Records[[#This Row],[Unit Price]]-Europe_Sales_Records[[#This Row],[Unit Cost]]</f>
        <v>88.589999999999989</v>
      </c>
      <c r="N977" s="1">
        <v>762118.5</v>
      </c>
      <c r="O977" s="6">
        <v>433892.55</v>
      </c>
      <c r="P977" s="1">
        <v>328225.95</v>
      </c>
    </row>
    <row r="978" spans="1:16" x14ac:dyDescent="0.3">
      <c r="A978" s="1" t="s">
        <v>14</v>
      </c>
      <c r="B978" s="1" t="s">
        <v>176</v>
      </c>
      <c r="C978" s="1" t="s">
        <v>79</v>
      </c>
      <c r="D978" s="1" t="s">
        <v>22</v>
      </c>
      <c r="E978" s="1" t="s">
        <v>23</v>
      </c>
      <c r="F978" s="7">
        <v>41479</v>
      </c>
      <c r="G978" s="1" t="s">
        <v>1057</v>
      </c>
      <c r="H978" s="7">
        <v>41507</v>
      </c>
      <c r="I978" s="1">
        <f>Europe_Sales_Records[[#This Row],[Ship Date]]-Europe_Sales_Records[[#This Row],[Order Date]]</f>
        <v>28</v>
      </c>
      <c r="J978" s="1">
        <v>829</v>
      </c>
      <c r="K978" s="1">
        <v>81.73</v>
      </c>
      <c r="L978" s="1">
        <v>56.67</v>
      </c>
      <c r="M978" s="1">
        <f>Europe_Sales_Records[[#This Row],[Unit Price]]-Europe_Sales_Records[[#This Row],[Unit Cost]]</f>
        <v>25.060000000000002</v>
      </c>
      <c r="N978" s="1">
        <v>67754.17</v>
      </c>
      <c r="O978" s="6">
        <v>46979.43</v>
      </c>
      <c r="P978" s="1">
        <v>20774.740000000002</v>
      </c>
    </row>
    <row r="979" spans="1:16" x14ac:dyDescent="0.3">
      <c r="A979" s="1" t="s">
        <v>14</v>
      </c>
      <c r="B979" s="1" t="s">
        <v>164</v>
      </c>
      <c r="C979" s="1" t="s">
        <v>39</v>
      </c>
      <c r="D979" s="1" t="s">
        <v>17</v>
      </c>
      <c r="E979" s="1" t="s">
        <v>23</v>
      </c>
      <c r="F979" s="7">
        <v>42522</v>
      </c>
      <c r="G979" s="1" t="s">
        <v>1058</v>
      </c>
      <c r="H979" s="7">
        <v>42556</v>
      </c>
      <c r="I979" s="1">
        <f>Europe_Sales_Records[[#This Row],[Ship Date]]-Europe_Sales_Records[[#This Row],[Order Date]]</f>
        <v>34</v>
      </c>
      <c r="J979" s="1">
        <v>8843</v>
      </c>
      <c r="K979" s="1">
        <v>154.06</v>
      </c>
      <c r="L979" s="1">
        <v>90.93</v>
      </c>
      <c r="M979" s="1">
        <f>Europe_Sales_Records[[#This Row],[Unit Price]]-Europe_Sales_Records[[#This Row],[Unit Cost]]</f>
        <v>63.129999999999995</v>
      </c>
      <c r="N979" s="1">
        <v>1362352.58</v>
      </c>
      <c r="O979" s="6">
        <v>804093.99</v>
      </c>
      <c r="P979" s="1">
        <v>558258.59</v>
      </c>
    </row>
    <row r="980" spans="1:16" x14ac:dyDescent="0.3">
      <c r="A980" s="1" t="s">
        <v>14</v>
      </c>
      <c r="B980" s="1" t="s">
        <v>47</v>
      </c>
      <c r="C980" s="1" t="s">
        <v>60</v>
      </c>
      <c r="D980" s="1" t="s">
        <v>17</v>
      </c>
      <c r="E980" s="1" t="s">
        <v>18</v>
      </c>
      <c r="F980" s="7">
        <v>40684</v>
      </c>
      <c r="G980" s="1" t="s">
        <v>1059</v>
      </c>
      <c r="H980" s="7">
        <v>40723</v>
      </c>
      <c r="I980" s="1">
        <f>Europe_Sales_Records[[#This Row],[Ship Date]]-Europe_Sales_Records[[#This Row],[Order Date]]</f>
        <v>39</v>
      </c>
      <c r="J980" s="1">
        <v>2485</v>
      </c>
      <c r="K980" s="1">
        <v>437.2</v>
      </c>
      <c r="L980" s="1">
        <v>263.33</v>
      </c>
      <c r="M980" s="1">
        <f>Europe_Sales_Records[[#This Row],[Unit Price]]-Europe_Sales_Records[[#This Row],[Unit Cost]]</f>
        <v>173.87</v>
      </c>
      <c r="N980" s="1">
        <v>1086442</v>
      </c>
      <c r="O980" s="6">
        <v>654375.05000000005</v>
      </c>
      <c r="P980" s="1">
        <v>432066.95</v>
      </c>
    </row>
    <row r="981" spans="1:16" x14ac:dyDescent="0.3">
      <c r="A981" s="1" t="s">
        <v>14</v>
      </c>
      <c r="B981" s="1" t="s">
        <v>176</v>
      </c>
      <c r="C981" s="1" t="s">
        <v>16</v>
      </c>
      <c r="D981" s="1" t="s">
        <v>22</v>
      </c>
      <c r="E981" s="1" t="s">
        <v>45</v>
      </c>
      <c r="F981" s="7">
        <v>40245</v>
      </c>
      <c r="G981" s="1" t="s">
        <v>1060</v>
      </c>
      <c r="H981" s="7">
        <v>40259</v>
      </c>
      <c r="I981" s="1">
        <f>Europe_Sales_Records[[#This Row],[Ship Date]]-Europe_Sales_Records[[#This Row],[Order Date]]</f>
        <v>14</v>
      </c>
      <c r="J981" s="1">
        <v>2908</v>
      </c>
      <c r="K981" s="1">
        <v>47.45</v>
      </c>
      <c r="L981" s="1">
        <v>31.79</v>
      </c>
      <c r="M981" s="1">
        <f>Europe_Sales_Records[[#This Row],[Unit Price]]-Europe_Sales_Records[[#This Row],[Unit Cost]]</f>
        <v>15.660000000000004</v>
      </c>
      <c r="N981" s="1">
        <v>137984.6</v>
      </c>
      <c r="O981" s="6">
        <v>92445.32</v>
      </c>
      <c r="P981" s="1">
        <v>45539.28</v>
      </c>
    </row>
    <row r="982" spans="1:16" x14ac:dyDescent="0.3">
      <c r="A982" s="1" t="s">
        <v>14</v>
      </c>
      <c r="B982" s="1" t="s">
        <v>94</v>
      </c>
      <c r="C982" s="1" t="s">
        <v>16</v>
      </c>
      <c r="D982" s="1" t="s">
        <v>17</v>
      </c>
      <c r="E982" s="1" t="s">
        <v>45</v>
      </c>
      <c r="F982" s="7">
        <v>40447</v>
      </c>
      <c r="G982" s="1" t="s">
        <v>1061</v>
      </c>
      <c r="H982" s="7">
        <v>40486</v>
      </c>
      <c r="I982" s="1">
        <f>Europe_Sales_Records[[#This Row],[Ship Date]]-Europe_Sales_Records[[#This Row],[Order Date]]</f>
        <v>39</v>
      </c>
      <c r="J982" s="1">
        <v>1126</v>
      </c>
      <c r="K982" s="1">
        <v>47.45</v>
      </c>
      <c r="L982" s="1">
        <v>31.79</v>
      </c>
      <c r="M982" s="1">
        <f>Europe_Sales_Records[[#This Row],[Unit Price]]-Europe_Sales_Records[[#This Row],[Unit Cost]]</f>
        <v>15.660000000000004</v>
      </c>
      <c r="N982" s="1">
        <v>53428.7</v>
      </c>
      <c r="O982" s="6">
        <v>35795.54</v>
      </c>
      <c r="P982" s="1">
        <v>17633.16</v>
      </c>
    </row>
    <row r="983" spans="1:16" x14ac:dyDescent="0.3">
      <c r="A983" s="1" t="s">
        <v>14</v>
      </c>
      <c r="B983" s="1" t="s">
        <v>116</v>
      </c>
      <c r="C983" s="1" t="s">
        <v>79</v>
      </c>
      <c r="D983" s="1" t="s">
        <v>22</v>
      </c>
      <c r="E983" s="1" t="s">
        <v>45</v>
      </c>
      <c r="F983" s="7">
        <v>40467</v>
      </c>
      <c r="G983" s="1" t="s">
        <v>1062</v>
      </c>
      <c r="H983" s="7">
        <v>40493</v>
      </c>
      <c r="I983" s="1">
        <f>Europe_Sales_Records[[#This Row],[Ship Date]]-Europe_Sales_Records[[#This Row],[Order Date]]</f>
        <v>26</v>
      </c>
      <c r="J983" s="1">
        <v>5504</v>
      </c>
      <c r="K983" s="1">
        <v>81.73</v>
      </c>
      <c r="L983" s="1">
        <v>56.67</v>
      </c>
      <c r="M983" s="1">
        <f>Europe_Sales_Records[[#This Row],[Unit Price]]-Europe_Sales_Records[[#This Row],[Unit Cost]]</f>
        <v>25.060000000000002</v>
      </c>
      <c r="N983" s="1">
        <v>449841.91999999998</v>
      </c>
      <c r="O983" s="6">
        <v>311911.67999999999</v>
      </c>
      <c r="P983" s="1">
        <v>137930.23999999999</v>
      </c>
    </row>
    <row r="984" spans="1:16" x14ac:dyDescent="0.3">
      <c r="A984" s="1" t="s">
        <v>14</v>
      </c>
      <c r="B984" s="1" t="s">
        <v>219</v>
      </c>
      <c r="C984" s="1" t="s">
        <v>79</v>
      </c>
      <c r="D984" s="1" t="s">
        <v>17</v>
      </c>
      <c r="E984" s="1" t="s">
        <v>30</v>
      </c>
      <c r="F984" s="7">
        <v>42018</v>
      </c>
      <c r="G984" s="1" t="s">
        <v>1063</v>
      </c>
      <c r="H984" s="7">
        <v>42031</v>
      </c>
      <c r="I984" s="1">
        <f>Europe_Sales_Records[[#This Row],[Ship Date]]-Europe_Sales_Records[[#This Row],[Order Date]]</f>
        <v>13</v>
      </c>
      <c r="J984" s="1">
        <v>519</v>
      </c>
      <c r="K984" s="1">
        <v>81.73</v>
      </c>
      <c r="L984" s="1">
        <v>56.67</v>
      </c>
      <c r="M984" s="1">
        <f>Europe_Sales_Records[[#This Row],[Unit Price]]-Europe_Sales_Records[[#This Row],[Unit Cost]]</f>
        <v>25.060000000000002</v>
      </c>
      <c r="N984" s="1">
        <v>42417.87</v>
      </c>
      <c r="O984" s="6">
        <v>29411.73</v>
      </c>
      <c r="P984" s="1">
        <v>13006.14</v>
      </c>
    </row>
    <row r="985" spans="1:16" x14ac:dyDescent="0.3">
      <c r="A985" s="1" t="s">
        <v>14</v>
      </c>
      <c r="B985" s="1" t="s">
        <v>15</v>
      </c>
      <c r="C985" s="1" t="s">
        <v>48</v>
      </c>
      <c r="D985" s="1" t="s">
        <v>22</v>
      </c>
      <c r="E985" s="1" t="s">
        <v>23</v>
      </c>
      <c r="F985" s="7">
        <v>40421</v>
      </c>
      <c r="G985" s="1" t="s">
        <v>1064</v>
      </c>
      <c r="H985" s="7">
        <v>40432</v>
      </c>
      <c r="I985" s="1">
        <f>Europe_Sales_Records[[#This Row],[Ship Date]]-Europe_Sales_Records[[#This Row],[Order Date]]</f>
        <v>11</v>
      </c>
      <c r="J985" s="1">
        <v>9340</v>
      </c>
      <c r="K985" s="1">
        <v>152.58000000000001</v>
      </c>
      <c r="L985" s="1">
        <v>97.44</v>
      </c>
      <c r="M985" s="1">
        <f>Europe_Sales_Records[[#This Row],[Unit Price]]-Europe_Sales_Records[[#This Row],[Unit Cost]]</f>
        <v>55.140000000000015</v>
      </c>
      <c r="N985" s="1">
        <v>1425097.2</v>
      </c>
      <c r="O985" s="6">
        <v>910089.6</v>
      </c>
      <c r="P985" s="1">
        <v>515007.6</v>
      </c>
    </row>
    <row r="986" spans="1:16" x14ac:dyDescent="0.3">
      <c r="A986" s="1" t="s">
        <v>14</v>
      </c>
      <c r="B986" s="1" t="s">
        <v>106</v>
      </c>
      <c r="C986" s="1" t="s">
        <v>42</v>
      </c>
      <c r="D986" s="1" t="s">
        <v>22</v>
      </c>
      <c r="E986" s="1" t="s">
        <v>23</v>
      </c>
      <c r="F986" s="7">
        <v>40342</v>
      </c>
      <c r="G986" s="1" t="s">
        <v>1065</v>
      </c>
      <c r="H986" s="7">
        <v>40391</v>
      </c>
      <c r="I986" s="1">
        <f>Europe_Sales_Records[[#This Row],[Ship Date]]-Europe_Sales_Records[[#This Row],[Order Date]]</f>
        <v>49</v>
      </c>
      <c r="J986" s="1">
        <v>4338</v>
      </c>
      <c r="K986" s="1">
        <v>421.89</v>
      </c>
      <c r="L986" s="1">
        <v>364.69</v>
      </c>
      <c r="M986" s="1">
        <f>Europe_Sales_Records[[#This Row],[Unit Price]]-Europe_Sales_Records[[#This Row],[Unit Cost]]</f>
        <v>57.199999999999989</v>
      </c>
      <c r="N986" s="1">
        <v>1830158.82</v>
      </c>
      <c r="O986" s="6">
        <v>1582025.22</v>
      </c>
      <c r="P986" s="1">
        <v>248133.6</v>
      </c>
    </row>
    <row r="987" spans="1:16" x14ac:dyDescent="0.3">
      <c r="A987" s="1" t="s">
        <v>14</v>
      </c>
      <c r="B987" s="1" t="s">
        <v>87</v>
      </c>
      <c r="C987" s="1" t="s">
        <v>33</v>
      </c>
      <c r="D987" s="1" t="s">
        <v>17</v>
      </c>
      <c r="E987" s="1" t="s">
        <v>30</v>
      </c>
      <c r="F987" s="7">
        <v>41498</v>
      </c>
      <c r="G987" s="1" t="s">
        <v>1066</v>
      </c>
      <c r="H987" s="7">
        <v>41523</v>
      </c>
      <c r="I987" s="1">
        <f>Europe_Sales_Records[[#This Row],[Ship Date]]-Europe_Sales_Records[[#This Row],[Order Date]]</f>
        <v>25</v>
      </c>
      <c r="J987" s="1">
        <v>4705</v>
      </c>
      <c r="K987" s="1">
        <v>9.33</v>
      </c>
      <c r="L987" s="1">
        <v>6.92</v>
      </c>
      <c r="M987" s="1">
        <f>Europe_Sales_Records[[#This Row],[Unit Price]]-Europe_Sales_Records[[#This Row],[Unit Cost]]</f>
        <v>2.41</v>
      </c>
      <c r="N987" s="1">
        <v>43897.65</v>
      </c>
      <c r="O987" s="6">
        <v>32558.6</v>
      </c>
      <c r="P987" s="1">
        <v>11339.05</v>
      </c>
    </row>
    <row r="988" spans="1:16" x14ac:dyDescent="0.3">
      <c r="A988" s="1" t="s">
        <v>14</v>
      </c>
      <c r="B988" s="1" t="s">
        <v>116</v>
      </c>
      <c r="C988" s="1" t="s">
        <v>26</v>
      </c>
      <c r="D988" s="1" t="s">
        <v>17</v>
      </c>
      <c r="E988" s="1" t="s">
        <v>45</v>
      </c>
      <c r="F988" s="7">
        <v>42426</v>
      </c>
      <c r="G988" s="1" t="s">
        <v>1067</v>
      </c>
      <c r="H988" s="7">
        <v>42463</v>
      </c>
      <c r="I988" s="1">
        <f>Europe_Sales_Records[[#This Row],[Ship Date]]-Europe_Sales_Records[[#This Row],[Order Date]]</f>
        <v>37</v>
      </c>
      <c r="J988" s="1">
        <v>8993</v>
      </c>
      <c r="K988" s="1">
        <v>205.7</v>
      </c>
      <c r="L988" s="1">
        <v>117.11</v>
      </c>
      <c r="M988" s="1">
        <f>Europe_Sales_Records[[#This Row],[Unit Price]]-Europe_Sales_Records[[#This Row],[Unit Cost]]</f>
        <v>88.589999999999989</v>
      </c>
      <c r="N988" s="1">
        <v>1849860.1</v>
      </c>
      <c r="O988" s="6">
        <v>1053170.23</v>
      </c>
      <c r="P988" s="1">
        <v>796689.87</v>
      </c>
    </row>
    <row r="989" spans="1:16" x14ac:dyDescent="0.3">
      <c r="A989" s="1" t="s">
        <v>14</v>
      </c>
      <c r="B989" s="1" t="s">
        <v>219</v>
      </c>
      <c r="C989" s="1" t="s">
        <v>16</v>
      </c>
      <c r="D989" s="1" t="s">
        <v>22</v>
      </c>
      <c r="E989" s="1" t="s">
        <v>30</v>
      </c>
      <c r="F989" s="7">
        <v>40369</v>
      </c>
      <c r="G989" s="1" t="s">
        <v>1068</v>
      </c>
      <c r="H989" s="7">
        <v>40377</v>
      </c>
      <c r="I989" s="1">
        <f>Europe_Sales_Records[[#This Row],[Ship Date]]-Europe_Sales_Records[[#This Row],[Order Date]]</f>
        <v>8</v>
      </c>
      <c r="J989" s="1">
        <v>6700</v>
      </c>
      <c r="K989" s="1">
        <v>47.45</v>
      </c>
      <c r="L989" s="1">
        <v>31.79</v>
      </c>
      <c r="M989" s="1">
        <f>Europe_Sales_Records[[#This Row],[Unit Price]]-Europe_Sales_Records[[#This Row],[Unit Cost]]</f>
        <v>15.660000000000004</v>
      </c>
      <c r="N989" s="1">
        <v>317915</v>
      </c>
      <c r="O989" s="6">
        <v>212993</v>
      </c>
      <c r="P989" s="1">
        <v>104922</v>
      </c>
    </row>
    <row r="990" spans="1:16" x14ac:dyDescent="0.3">
      <c r="A990" s="1" t="s">
        <v>14</v>
      </c>
      <c r="B990" s="1" t="s">
        <v>56</v>
      </c>
      <c r="C990" s="1" t="s">
        <v>29</v>
      </c>
      <c r="D990" s="1" t="s">
        <v>22</v>
      </c>
      <c r="E990" s="1" t="s">
        <v>18</v>
      </c>
      <c r="F990" s="7">
        <v>40528</v>
      </c>
      <c r="G990" s="1" t="s">
        <v>1069</v>
      </c>
      <c r="H990" s="7">
        <v>40539</v>
      </c>
      <c r="I990" s="1">
        <f>Europe_Sales_Records[[#This Row],[Ship Date]]-Europe_Sales_Records[[#This Row],[Order Date]]</f>
        <v>11</v>
      </c>
      <c r="J990" s="1">
        <v>9648</v>
      </c>
      <c r="K990" s="1">
        <v>651.21</v>
      </c>
      <c r="L990" s="1">
        <v>524.96</v>
      </c>
      <c r="M990" s="1">
        <f>Europe_Sales_Records[[#This Row],[Unit Price]]-Europe_Sales_Records[[#This Row],[Unit Cost]]</f>
        <v>126.25</v>
      </c>
      <c r="N990" s="1">
        <v>6282874.0800000001</v>
      </c>
      <c r="O990" s="6">
        <v>5064814.08</v>
      </c>
      <c r="P990" s="1">
        <v>1218060</v>
      </c>
    </row>
    <row r="991" spans="1:16" x14ac:dyDescent="0.3">
      <c r="A991" s="1" t="s">
        <v>14</v>
      </c>
      <c r="B991" s="1" t="s">
        <v>47</v>
      </c>
      <c r="C991" s="1" t="s">
        <v>33</v>
      </c>
      <c r="D991" s="1" t="s">
        <v>22</v>
      </c>
      <c r="E991" s="1" t="s">
        <v>23</v>
      </c>
      <c r="F991" s="7">
        <v>41588</v>
      </c>
      <c r="G991" s="1" t="s">
        <v>1070</v>
      </c>
      <c r="H991" s="7">
        <v>41608</v>
      </c>
      <c r="I991" s="1">
        <f>Europe_Sales_Records[[#This Row],[Ship Date]]-Europe_Sales_Records[[#This Row],[Order Date]]</f>
        <v>20</v>
      </c>
      <c r="J991" s="1">
        <v>3582</v>
      </c>
      <c r="K991" s="1">
        <v>9.33</v>
      </c>
      <c r="L991" s="1">
        <v>6.92</v>
      </c>
      <c r="M991" s="1">
        <f>Europe_Sales_Records[[#This Row],[Unit Price]]-Europe_Sales_Records[[#This Row],[Unit Cost]]</f>
        <v>2.41</v>
      </c>
      <c r="N991" s="1">
        <v>33420.06</v>
      </c>
      <c r="O991" s="6">
        <v>24787.439999999999</v>
      </c>
      <c r="P991" s="1">
        <v>8632.6200000000008</v>
      </c>
    </row>
    <row r="992" spans="1:16" x14ac:dyDescent="0.3">
      <c r="A992" s="1" t="s">
        <v>14</v>
      </c>
      <c r="B992" s="1" t="s">
        <v>101</v>
      </c>
      <c r="C992" s="1" t="s">
        <v>26</v>
      </c>
      <c r="D992" s="1" t="s">
        <v>17</v>
      </c>
      <c r="E992" s="1" t="s">
        <v>23</v>
      </c>
      <c r="F992" s="7">
        <v>41676</v>
      </c>
      <c r="G992" s="1" t="s">
        <v>1071</v>
      </c>
      <c r="H992" s="7">
        <v>41707</v>
      </c>
      <c r="I992" s="1">
        <f>Europe_Sales_Records[[#This Row],[Ship Date]]-Europe_Sales_Records[[#This Row],[Order Date]]</f>
        <v>31</v>
      </c>
      <c r="J992" s="1">
        <v>5086</v>
      </c>
      <c r="K992" s="1">
        <v>205.7</v>
      </c>
      <c r="L992" s="1">
        <v>117.11</v>
      </c>
      <c r="M992" s="1">
        <f>Europe_Sales_Records[[#This Row],[Unit Price]]-Europe_Sales_Records[[#This Row],[Unit Cost]]</f>
        <v>88.589999999999989</v>
      </c>
      <c r="N992" s="1">
        <v>1046190.2</v>
      </c>
      <c r="O992" s="6">
        <v>595621.46</v>
      </c>
      <c r="P992" s="1">
        <v>450568.74</v>
      </c>
    </row>
    <row r="993" spans="1:16" x14ac:dyDescent="0.3">
      <c r="A993" s="1" t="s">
        <v>14</v>
      </c>
      <c r="B993" s="1" t="s">
        <v>232</v>
      </c>
      <c r="C993" s="1" t="s">
        <v>33</v>
      </c>
      <c r="D993" s="1" t="s">
        <v>17</v>
      </c>
      <c r="E993" s="1" t="s">
        <v>18</v>
      </c>
      <c r="F993" s="7">
        <v>42763</v>
      </c>
      <c r="G993" s="1" t="s">
        <v>1072</v>
      </c>
      <c r="H993" s="7">
        <v>42791</v>
      </c>
      <c r="I993" s="1">
        <f>Europe_Sales_Records[[#This Row],[Ship Date]]-Europe_Sales_Records[[#This Row],[Order Date]]</f>
        <v>28</v>
      </c>
      <c r="J993" s="1">
        <v>8169</v>
      </c>
      <c r="K993" s="1">
        <v>9.33</v>
      </c>
      <c r="L993" s="1">
        <v>6.92</v>
      </c>
      <c r="M993" s="1">
        <f>Europe_Sales_Records[[#This Row],[Unit Price]]-Europe_Sales_Records[[#This Row],[Unit Cost]]</f>
        <v>2.41</v>
      </c>
      <c r="N993" s="1">
        <v>76216.77</v>
      </c>
      <c r="O993" s="6">
        <v>56529.48</v>
      </c>
      <c r="P993" s="1">
        <v>19687.29</v>
      </c>
    </row>
    <row r="994" spans="1:16" x14ac:dyDescent="0.3">
      <c r="A994" s="1" t="s">
        <v>14</v>
      </c>
      <c r="B994" s="1" t="s">
        <v>41</v>
      </c>
      <c r="C994" s="1" t="s">
        <v>29</v>
      </c>
      <c r="D994" s="1" t="s">
        <v>17</v>
      </c>
      <c r="E994" s="1" t="s">
        <v>45</v>
      </c>
      <c r="F994" s="7">
        <v>41369</v>
      </c>
      <c r="G994" s="1" t="s">
        <v>1073</v>
      </c>
      <c r="H994" s="7">
        <v>41411</v>
      </c>
      <c r="I994" s="1">
        <f>Europe_Sales_Records[[#This Row],[Ship Date]]-Europe_Sales_Records[[#This Row],[Order Date]]</f>
        <v>42</v>
      </c>
      <c r="J994" s="1">
        <v>150</v>
      </c>
      <c r="K994" s="1">
        <v>651.21</v>
      </c>
      <c r="L994" s="1">
        <v>524.96</v>
      </c>
      <c r="M994" s="1">
        <f>Europe_Sales_Records[[#This Row],[Unit Price]]-Europe_Sales_Records[[#This Row],[Unit Cost]]</f>
        <v>126.25</v>
      </c>
      <c r="N994" s="1">
        <v>97681.5</v>
      </c>
      <c r="O994" s="6">
        <v>78744</v>
      </c>
      <c r="P994" s="1">
        <v>18937.5</v>
      </c>
    </row>
    <row r="995" spans="1:16" x14ac:dyDescent="0.3">
      <c r="A995" s="1" t="s">
        <v>14</v>
      </c>
      <c r="B995" s="1" t="s">
        <v>15</v>
      </c>
      <c r="C995" s="1" t="s">
        <v>57</v>
      </c>
      <c r="D995" s="1" t="s">
        <v>22</v>
      </c>
      <c r="E995" s="1" t="s">
        <v>30</v>
      </c>
      <c r="F995" s="7">
        <v>41876</v>
      </c>
      <c r="G995" s="1" t="s">
        <v>1074</v>
      </c>
      <c r="H995" s="7">
        <v>41912</v>
      </c>
      <c r="I995" s="1">
        <f>Europe_Sales_Records[[#This Row],[Ship Date]]-Europe_Sales_Records[[#This Row],[Order Date]]</f>
        <v>36</v>
      </c>
      <c r="J995" s="1">
        <v>8220</v>
      </c>
      <c r="K995" s="1">
        <v>668.27</v>
      </c>
      <c r="L995" s="1">
        <v>502.54</v>
      </c>
      <c r="M995" s="1">
        <f>Europe_Sales_Records[[#This Row],[Unit Price]]-Europe_Sales_Records[[#This Row],[Unit Cost]]</f>
        <v>165.72999999999996</v>
      </c>
      <c r="N995" s="1">
        <v>5493179.4000000004</v>
      </c>
      <c r="O995" s="6">
        <v>4130878.8</v>
      </c>
      <c r="P995" s="1">
        <v>1362300.6</v>
      </c>
    </row>
    <row r="996" spans="1:16" x14ac:dyDescent="0.3">
      <c r="A996" s="1" t="s">
        <v>14</v>
      </c>
      <c r="B996" s="1" t="s">
        <v>54</v>
      </c>
      <c r="C996" s="1" t="s">
        <v>16</v>
      </c>
      <c r="D996" s="1" t="s">
        <v>22</v>
      </c>
      <c r="E996" s="1" t="s">
        <v>45</v>
      </c>
      <c r="F996" s="7">
        <v>40578</v>
      </c>
      <c r="G996" s="1" t="s">
        <v>1075</v>
      </c>
      <c r="H996" s="7">
        <v>40612</v>
      </c>
      <c r="I996" s="1">
        <f>Europe_Sales_Records[[#This Row],[Ship Date]]-Europe_Sales_Records[[#This Row],[Order Date]]</f>
        <v>34</v>
      </c>
      <c r="J996" s="1">
        <v>3836</v>
      </c>
      <c r="K996" s="1">
        <v>47.45</v>
      </c>
      <c r="L996" s="1">
        <v>31.79</v>
      </c>
      <c r="M996" s="1">
        <f>Europe_Sales_Records[[#This Row],[Unit Price]]-Europe_Sales_Records[[#This Row],[Unit Cost]]</f>
        <v>15.660000000000004</v>
      </c>
      <c r="N996" s="1">
        <v>182018.2</v>
      </c>
      <c r="O996" s="6">
        <v>121946.44</v>
      </c>
      <c r="P996" s="1">
        <v>60071.76</v>
      </c>
    </row>
    <row r="997" spans="1:16" x14ac:dyDescent="0.3">
      <c r="A997" s="1" t="s">
        <v>14</v>
      </c>
      <c r="B997" s="1" t="s">
        <v>219</v>
      </c>
      <c r="C997" s="1" t="s">
        <v>21</v>
      </c>
      <c r="D997" s="1" t="s">
        <v>22</v>
      </c>
      <c r="E997" s="1" t="s">
        <v>45</v>
      </c>
      <c r="F997" s="7">
        <v>42324</v>
      </c>
      <c r="G997" s="1" t="s">
        <v>1076</v>
      </c>
      <c r="H997" s="7">
        <v>42328</v>
      </c>
      <c r="I997" s="1">
        <f>Europe_Sales_Records[[#This Row],[Ship Date]]-Europe_Sales_Records[[#This Row],[Order Date]]</f>
        <v>4</v>
      </c>
      <c r="J997" s="1">
        <v>5944</v>
      </c>
      <c r="K997" s="1">
        <v>109.28</v>
      </c>
      <c r="L997" s="1">
        <v>35.840000000000003</v>
      </c>
      <c r="M997" s="1">
        <f>Europe_Sales_Records[[#This Row],[Unit Price]]-Europe_Sales_Records[[#This Row],[Unit Cost]]</f>
        <v>73.44</v>
      </c>
      <c r="N997" s="1">
        <v>649560.31999999995</v>
      </c>
      <c r="O997" s="6">
        <v>213032.95999999999</v>
      </c>
      <c r="P997" s="1">
        <v>436527.35999999999</v>
      </c>
    </row>
    <row r="998" spans="1:16" x14ac:dyDescent="0.3">
      <c r="A998" s="1" t="s">
        <v>14</v>
      </c>
      <c r="B998" s="1" t="s">
        <v>63</v>
      </c>
      <c r="C998" s="1" t="s">
        <v>39</v>
      </c>
      <c r="D998" s="1" t="s">
        <v>17</v>
      </c>
      <c r="E998" s="1" t="s">
        <v>23</v>
      </c>
      <c r="F998" s="7">
        <v>42648</v>
      </c>
      <c r="G998" s="1" t="s">
        <v>1077</v>
      </c>
      <c r="H998" s="7">
        <v>42687</v>
      </c>
      <c r="I998" s="1">
        <f>Europe_Sales_Records[[#This Row],[Ship Date]]-Europe_Sales_Records[[#This Row],[Order Date]]</f>
        <v>39</v>
      </c>
      <c r="J998" s="1">
        <v>3519</v>
      </c>
      <c r="K998" s="1">
        <v>154.06</v>
      </c>
      <c r="L998" s="1">
        <v>90.93</v>
      </c>
      <c r="M998" s="1">
        <f>Europe_Sales_Records[[#This Row],[Unit Price]]-Europe_Sales_Records[[#This Row],[Unit Cost]]</f>
        <v>63.129999999999995</v>
      </c>
      <c r="N998" s="1">
        <v>542137.14</v>
      </c>
      <c r="O998" s="6">
        <v>319982.67</v>
      </c>
      <c r="P998" s="1">
        <v>222154.47</v>
      </c>
    </row>
    <row r="999" spans="1:16" x14ac:dyDescent="0.3">
      <c r="A999" s="1" t="s">
        <v>14</v>
      </c>
      <c r="B999" s="1" t="s">
        <v>75</v>
      </c>
      <c r="C999" s="1" t="s">
        <v>60</v>
      </c>
      <c r="D999" s="1" t="s">
        <v>22</v>
      </c>
      <c r="E999" s="1" t="s">
        <v>23</v>
      </c>
      <c r="F999" s="7">
        <v>42759</v>
      </c>
      <c r="G999" s="1" t="s">
        <v>1078</v>
      </c>
      <c r="H999" s="7">
        <v>42800</v>
      </c>
      <c r="I999" s="1">
        <f>Europe_Sales_Records[[#This Row],[Ship Date]]-Europe_Sales_Records[[#This Row],[Order Date]]</f>
        <v>41</v>
      </c>
      <c r="J999" s="1">
        <v>9210</v>
      </c>
      <c r="K999" s="1">
        <v>437.2</v>
      </c>
      <c r="L999" s="1">
        <v>263.33</v>
      </c>
      <c r="M999" s="1">
        <f>Europe_Sales_Records[[#This Row],[Unit Price]]-Europe_Sales_Records[[#This Row],[Unit Cost]]</f>
        <v>173.87</v>
      </c>
      <c r="N999" s="1">
        <v>4026612</v>
      </c>
      <c r="O999" s="6">
        <v>2425269.2999999998</v>
      </c>
      <c r="P999" s="1">
        <v>1601342.7</v>
      </c>
    </row>
    <row r="1000" spans="1:16" x14ac:dyDescent="0.3">
      <c r="A1000" s="1" t="s">
        <v>14</v>
      </c>
      <c r="B1000" s="1" t="s">
        <v>116</v>
      </c>
      <c r="C1000" s="1" t="s">
        <v>33</v>
      </c>
      <c r="D1000" s="1" t="s">
        <v>22</v>
      </c>
      <c r="E1000" s="1" t="s">
        <v>30</v>
      </c>
      <c r="F1000" s="7">
        <v>41384</v>
      </c>
      <c r="G1000" s="1" t="s">
        <v>1079</v>
      </c>
      <c r="H1000" s="7">
        <v>41431</v>
      </c>
      <c r="I1000" s="1">
        <f>Europe_Sales_Records[[#This Row],[Ship Date]]-Europe_Sales_Records[[#This Row],[Order Date]]</f>
        <v>47</v>
      </c>
      <c r="J1000" s="1">
        <v>6698</v>
      </c>
      <c r="K1000" s="1">
        <v>9.33</v>
      </c>
      <c r="L1000" s="1">
        <v>6.92</v>
      </c>
      <c r="M1000" s="1">
        <f>Europe_Sales_Records[[#This Row],[Unit Price]]-Europe_Sales_Records[[#This Row],[Unit Cost]]</f>
        <v>2.41</v>
      </c>
      <c r="N1000" s="1">
        <v>62492.34</v>
      </c>
      <c r="O1000" s="6">
        <v>46350.16</v>
      </c>
      <c r="P1000" s="1">
        <v>16142.18</v>
      </c>
    </row>
    <row r="1001" spans="1:16" x14ac:dyDescent="0.3">
      <c r="A1001" s="1" t="s">
        <v>14</v>
      </c>
      <c r="B1001" s="1" t="s">
        <v>164</v>
      </c>
      <c r="C1001" s="1" t="s">
        <v>79</v>
      </c>
      <c r="D1001" s="1" t="s">
        <v>17</v>
      </c>
      <c r="E1001" s="1" t="s">
        <v>18</v>
      </c>
      <c r="F1001" s="7">
        <v>42727</v>
      </c>
      <c r="G1001" s="1" t="s">
        <v>1080</v>
      </c>
      <c r="H1001" s="7">
        <v>42773</v>
      </c>
      <c r="I1001" s="1">
        <f>Europe_Sales_Records[[#This Row],[Ship Date]]-Europe_Sales_Records[[#This Row],[Order Date]]</f>
        <v>46</v>
      </c>
      <c r="J1001" s="1">
        <v>6158</v>
      </c>
      <c r="K1001" s="1">
        <v>81.73</v>
      </c>
      <c r="L1001" s="1">
        <v>56.67</v>
      </c>
      <c r="M1001" s="1">
        <f>Europe_Sales_Records[[#This Row],[Unit Price]]-Europe_Sales_Records[[#This Row],[Unit Cost]]</f>
        <v>25.060000000000002</v>
      </c>
      <c r="N1001" s="1">
        <v>503293.34</v>
      </c>
      <c r="O1001" s="6">
        <v>348973.86</v>
      </c>
      <c r="P1001" s="1">
        <v>154319.48000000001</v>
      </c>
    </row>
    <row r="1002" spans="1:16" x14ac:dyDescent="0.3">
      <c r="A1002" s="1" t="s">
        <v>14</v>
      </c>
      <c r="B1002" s="1" t="s">
        <v>129</v>
      </c>
      <c r="C1002" s="1" t="s">
        <v>52</v>
      </c>
      <c r="D1002" s="1" t="s">
        <v>17</v>
      </c>
      <c r="E1002" s="1" t="s">
        <v>45</v>
      </c>
      <c r="F1002" s="7">
        <v>42019</v>
      </c>
      <c r="G1002" s="1" t="s">
        <v>1081</v>
      </c>
      <c r="H1002" s="7">
        <v>42051</v>
      </c>
      <c r="I1002" s="1">
        <f>Europe_Sales_Records[[#This Row],[Ship Date]]-Europe_Sales_Records[[#This Row],[Order Date]]</f>
        <v>32</v>
      </c>
      <c r="J1002" s="1">
        <v>6171</v>
      </c>
      <c r="K1002" s="1">
        <v>255.28</v>
      </c>
      <c r="L1002" s="1">
        <v>159.41999999999999</v>
      </c>
      <c r="M1002" s="1">
        <f>Europe_Sales_Records[[#This Row],[Unit Price]]-Europe_Sales_Records[[#This Row],[Unit Cost]]</f>
        <v>95.860000000000014</v>
      </c>
      <c r="N1002" s="1">
        <v>1575332.88</v>
      </c>
      <c r="O1002" s="6">
        <v>983780.82</v>
      </c>
      <c r="P1002" s="1">
        <v>591552.06000000006</v>
      </c>
    </row>
    <row r="1003" spans="1:16" x14ac:dyDescent="0.3">
      <c r="A1003" s="1" t="s">
        <v>14</v>
      </c>
      <c r="B1003" s="1" t="s">
        <v>63</v>
      </c>
      <c r="C1003" s="1" t="s">
        <v>57</v>
      </c>
      <c r="D1003" s="1" t="s">
        <v>22</v>
      </c>
      <c r="E1003" s="1" t="s">
        <v>45</v>
      </c>
      <c r="F1003" s="7">
        <v>42585</v>
      </c>
      <c r="G1003" s="1" t="s">
        <v>1082</v>
      </c>
      <c r="H1003" s="7">
        <v>42593</v>
      </c>
      <c r="I1003" s="1">
        <f>Europe_Sales_Records[[#This Row],[Ship Date]]-Europe_Sales_Records[[#This Row],[Order Date]]</f>
        <v>8</v>
      </c>
      <c r="J1003" s="1">
        <v>7426</v>
      </c>
      <c r="K1003" s="1">
        <v>668.27</v>
      </c>
      <c r="L1003" s="1">
        <v>502.54</v>
      </c>
      <c r="M1003" s="1">
        <f>Europe_Sales_Records[[#This Row],[Unit Price]]-Europe_Sales_Records[[#This Row],[Unit Cost]]</f>
        <v>165.72999999999996</v>
      </c>
      <c r="N1003" s="1">
        <v>4962573.0199999996</v>
      </c>
      <c r="O1003" s="6">
        <v>3731862.04</v>
      </c>
      <c r="P1003" s="1">
        <v>1230710.98</v>
      </c>
    </row>
    <row r="1004" spans="1:16" x14ac:dyDescent="0.3">
      <c r="A1004" s="1" t="s">
        <v>14</v>
      </c>
      <c r="B1004" s="1" t="s">
        <v>71</v>
      </c>
      <c r="C1004" s="1" t="s">
        <v>57</v>
      </c>
      <c r="D1004" s="1" t="s">
        <v>22</v>
      </c>
      <c r="E1004" s="1" t="s">
        <v>45</v>
      </c>
      <c r="F1004" s="7">
        <v>42779</v>
      </c>
      <c r="G1004" s="1" t="s">
        <v>1083</v>
      </c>
      <c r="H1004" s="7">
        <v>42786</v>
      </c>
      <c r="I1004" s="1">
        <f>Europe_Sales_Records[[#This Row],[Ship Date]]-Europe_Sales_Records[[#This Row],[Order Date]]</f>
        <v>7</v>
      </c>
      <c r="J1004" s="1">
        <v>5368</v>
      </c>
      <c r="K1004" s="1">
        <v>668.27</v>
      </c>
      <c r="L1004" s="1">
        <v>502.54</v>
      </c>
      <c r="M1004" s="1">
        <f>Europe_Sales_Records[[#This Row],[Unit Price]]-Europe_Sales_Records[[#This Row],[Unit Cost]]</f>
        <v>165.72999999999996</v>
      </c>
      <c r="N1004" s="1">
        <v>3587273.36</v>
      </c>
      <c r="O1004" s="6">
        <v>2697634.72</v>
      </c>
      <c r="P1004" s="1">
        <v>889638.64</v>
      </c>
    </row>
    <row r="1005" spans="1:16" x14ac:dyDescent="0.3">
      <c r="A1005" s="1" t="s">
        <v>14</v>
      </c>
      <c r="B1005" s="1" t="s">
        <v>50</v>
      </c>
      <c r="C1005" s="1" t="s">
        <v>33</v>
      </c>
      <c r="D1005" s="1" t="s">
        <v>22</v>
      </c>
      <c r="E1005" s="1" t="s">
        <v>30</v>
      </c>
      <c r="F1005" s="7">
        <v>40476</v>
      </c>
      <c r="G1005" s="1" t="s">
        <v>1084</v>
      </c>
      <c r="H1005" s="7">
        <v>40488</v>
      </c>
      <c r="I1005" s="1">
        <f>Europe_Sales_Records[[#This Row],[Ship Date]]-Europe_Sales_Records[[#This Row],[Order Date]]</f>
        <v>12</v>
      </c>
      <c r="J1005" s="1">
        <v>5930</v>
      </c>
      <c r="K1005" s="1">
        <v>9.33</v>
      </c>
      <c r="L1005" s="1">
        <v>6.92</v>
      </c>
      <c r="M1005" s="1">
        <f>Europe_Sales_Records[[#This Row],[Unit Price]]-Europe_Sales_Records[[#This Row],[Unit Cost]]</f>
        <v>2.41</v>
      </c>
      <c r="N1005" s="1">
        <v>55326.9</v>
      </c>
      <c r="O1005" s="6">
        <v>41035.599999999999</v>
      </c>
      <c r="P1005" s="1">
        <v>14291.3</v>
      </c>
    </row>
    <row r="1006" spans="1:16" x14ac:dyDescent="0.3">
      <c r="A1006" s="1" t="s">
        <v>14</v>
      </c>
      <c r="B1006" s="1" t="s">
        <v>129</v>
      </c>
      <c r="C1006" s="1" t="s">
        <v>57</v>
      </c>
      <c r="D1006" s="1" t="s">
        <v>17</v>
      </c>
      <c r="E1006" s="1" t="s">
        <v>18</v>
      </c>
      <c r="F1006" s="7">
        <v>42440</v>
      </c>
      <c r="G1006" s="1" t="s">
        <v>1085</v>
      </c>
      <c r="H1006" s="7">
        <v>42483</v>
      </c>
      <c r="I1006" s="1">
        <f>Europe_Sales_Records[[#This Row],[Ship Date]]-Europe_Sales_Records[[#This Row],[Order Date]]</f>
        <v>43</v>
      </c>
      <c r="J1006" s="1">
        <v>1743</v>
      </c>
      <c r="K1006" s="1">
        <v>668.27</v>
      </c>
      <c r="L1006" s="1">
        <v>502.54</v>
      </c>
      <c r="M1006" s="1">
        <f>Europe_Sales_Records[[#This Row],[Unit Price]]-Europe_Sales_Records[[#This Row],[Unit Cost]]</f>
        <v>165.72999999999996</v>
      </c>
      <c r="N1006" s="1">
        <v>1164794.6100000001</v>
      </c>
      <c r="O1006" s="6">
        <v>875927.22</v>
      </c>
      <c r="P1006" s="1">
        <v>288867.39</v>
      </c>
    </row>
    <row r="1007" spans="1:16" x14ac:dyDescent="0.3">
      <c r="A1007" s="1" t="s">
        <v>14</v>
      </c>
      <c r="B1007" s="1" t="s">
        <v>15</v>
      </c>
      <c r="C1007" s="1" t="s">
        <v>42</v>
      </c>
      <c r="D1007" s="1" t="s">
        <v>17</v>
      </c>
      <c r="E1007" s="1" t="s">
        <v>23</v>
      </c>
      <c r="F1007" s="7">
        <v>40882</v>
      </c>
      <c r="G1007" s="1" t="s">
        <v>1086</v>
      </c>
      <c r="H1007" s="7">
        <v>40914</v>
      </c>
      <c r="I1007" s="1">
        <f>Europe_Sales_Records[[#This Row],[Ship Date]]-Europe_Sales_Records[[#This Row],[Order Date]]</f>
        <v>32</v>
      </c>
      <c r="J1007" s="1">
        <v>5745</v>
      </c>
      <c r="K1007" s="1">
        <v>421.89</v>
      </c>
      <c r="L1007" s="1">
        <v>364.69</v>
      </c>
      <c r="M1007" s="1">
        <f>Europe_Sales_Records[[#This Row],[Unit Price]]-Europe_Sales_Records[[#This Row],[Unit Cost]]</f>
        <v>57.199999999999989</v>
      </c>
      <c r="N1007" s="1">
        <v>2423758.0499999998</v>
      </c>
      <c r="O1007" s="6">
        <v>2095144.05</v>
      </c>
      <c r="P1007" s="1">
        <v>328614</v>
      </c>
    </row>
    <row r="1008" spans="1:16" x14ac:dyDescent="0.3">
      <c r="A1008" s="1" t="s">
        <v>14</v>
      </c>
      <c r="B1008" s="1" t="s">
        <v>120</v>
      </c>
      <c r="C1008" s="1" t="s">
        <v>42</v>
      </c>
      <c r="D1008" s="1" t="s">
        <v>22</v>
      </c>
      <c r="E1008" s="1" t="s">
        <v>18</v>
      </c>
      <c r="F1008" s="7">
        <v>42022</v>
      </c>
      <c r="G1008" s="1" t="s">
        <v>1087</v>
      </c>
      <c r="H1008" s="7">
        <v>42054</v>
      </c>
      <c r="I1008" s="1">
        <f>Europe_Sales_Records[[#This Row],[Ship Date]]-Europe_Sales_Records[[#This Row],[Order Date]]</f>
        <v>32</v>
      </c>
      <c r="J1008" s="1">
        <v>1482</v>
      </c>
      <c r="K1008" s="1">
        <v>421.89</v>
      </c>
      <c r="L1008" s="1">
        <v>364.69</v>
      </c>
      <c r="M1008" s="1">
        <f>Europe_Sales_Records[[#This Row],[Unit Price]]-Europe_Sales_Records[[#This Row],[Unit Cost]]</f>
        <v>57.199999999999989</v>
      </c>
      <c r="N1008" s="1">
        <v>625240.98</v>
      </c>
      <c r="O1008" s="6">
        <v>540470.57999999996</v>
      </c>
      <c r="P1008" s="1">
        <v>84770.4</v>
      </c>
    </row>
    <row r="1009" spans="1:16" x14ac:dyDescent="0.3">
      <c r="A1009" s="1" t="s">
        <v>14</v>
      </c>
      <c r="B1009" s="1" t="s">
        <v>127</v>
      </c>
      <c r="C1009" s="1" t="s">
        <v>39</v>
      </c>
      <c r="D1009" s="1" t="s">
        <v>17</v>
      </c>
      <c r="E1009" s="1" t="s">
        <v>18</v>
      </c>
      <c r="F1009" s="7">
        <v>42926</v>
      </c>
      <c r="G1009" s="1" t="s">
        <v>1088</v>
      </c>
      <c r="H1009" s="7">
        <v>42928</v>
      </c>
      <c r="I1009" s="1">
        <f>Europe_Sales_Records[[#This Row],[Ship Date]]-Europe_Sales_Records[[#This Row],[Order Date]]</f>
        <v>2</v>
      </c>
      <c r="J1009" s="1">
        <v>9641</v>
      </c>
      <c r="K1009" s="1">
        <v>154.06</v>
      </c>
      <c r="L1009" s="1">
        <v>90.93</v>
      </c>
      <c r="M1009" s="1">
        <f>Europe_Sales_Records[[#This Row],[Unit Price]]-Europe_Sales_Records[[#This Row],[Unit Cost]]</f>
        <v>63.129999999999995</v>
      </c>
      <c r="N1009" s="1">
        <v>1485292.46</v>
      </c>
      <c r="O1009" s="6">
        <v>876656.13</v>
      </c>
      <c r="P1009" s="1">
        <v>608636.32999999996</v>
      </c>
    </row>
    <row r="1010" spans="1:16" x14ac:dyDescent="0.3">
      <c r="A1010" s="1" t="s">
        <v>14</v>
      </c>
      <c r="B1010" s="1" t="s">
        <v>94</v>
      </c>
      <c r="C1010" s="1" t="s">
        <v>57</v>
      </c>
      <c r="D1010" s="1" t="s">
        <v>22</v>
      </c>
      <c r="E1010" s="1" t="s">
        <v>30</v>
      </c>
      <c r="F1010" s="7">
        <v>40314</v>
      </c>
      <c r="G1010" s="1" t="s">
        <v>1089</v>
      </c>
      <c r="H1010" s="7">
        <v>40335</v>
      </c>
      <c r="I1010" s="1">
        <f>Europe_Sales_Records[[#This Row],[Ship Date]]-Europe_Sales_Records[[#This Row],[Order Date]]</f>
        <v>21</v>
      </c>
      <c r="J1010" s="1">
        <v>7684</v>
      </c>
      <c r="K1010" s="1">
        <v>668.27</v>
      </c>
      <c r="L1010" s="1">
        <v>502.54</v>
      </c>
      <c r="M1010" s="1">
        <f>Europe_Sales_Records[[#This Row],[Unit Price]]-Europe_Sales_Records[[#This Row],[Unit Cost]]</f>
        <v>165.72999999999996</v>
      </c>
      <c r="N1010" s="1">
        <v>5134986.68</v>
      </c>
      <c r="O1010" s="6">
        <v>3861517.36</v>
      </c>
      <c r="P1010" s="1">
        <v>1273469.32</v>
      </c>
    </row>
    <row r="1011" spans="1:16" x14ac:dyDescent="0.3">
      <c r="A1011" s="1" t="s">
        <v>14</v>
      </c>
      <c r="B1011" s="1" t="s">
        <v>120</v>
      </c>
      <c r="C1011" s="1" t="s">
        <v>48</v>
      </c>
      <c r="D1011" s="1" t="s">
        <v>22</v>
      </c>
      <c r="E1011" s="1" t="s">
        <v>18</v>
      </c>
      <c r="F1011" s="7">
        <v>41426</v>
      </c>
      <c r="G1011" s="1" t="s">
        <v>1090</v>
      </c>
      <c r="H1011" s="7">
        <v>41426</v>
      </c>
      <c r="I1011" s="1">
        <f>Europe_Sales_Records[[#This Row],[Ship Date]]-Europe_Sales_Records[[#This Row],[Order Date]]</f>
        <v>0</v>
      </c>
      <c r="J1011" s="1">
        <v>5471</v>
      </c>
      <c r="K1011" s="1">
        <v>152.58000000000001</v>
      </c>
      <c r="L1011" s="1">
        <v>97.44</v>
      </c>
      <c r="M1011" s="1">
        <f>Europe_Sales_Records[[#This Row],[Unit Price]]-Europe_Sales_Records[[#This Row],[Unit Cost]]</f>
        <v>55.140000000000015</v>
      </c>
      <c r="N1011" s="1">
        <v>834765.18</v>
      </c>
      <c r="O1011" s="6">
        <v>533094.24</v>
      </c>
      <c r="P1011" s="1">
        <v>301670.94</v>
      </c>
    </row>
    <row r="1012" spans="1:16" x14ac:dyDescent="0.3">
      <c r="A1012" s="1" t="s">
        <v>14</v>
      </c>
      <c r="B1012" s="1" t="s">
        <v>15</v>
      </c>
      <c r="C1012" s="1" t="s">
        <v>29</v>
      </c>
      <c r="D1012" s="1" t="s">
        <v>22</v>
      </c>
      <c r="E1012" s="1" t="s">
        <v>23</v>
      </c>
      <c r="F1012" s="7">
        <v>40225</v>
      </c>
      <c r="G1012" s="1" t="s">
        <v>1091</v>
      </c>
      <c r="H1012" s="7">
        <v>40271</v>
      </c>
      <c r="I1012" s="1">
        <f>Europe_Sales_Records[[#This Row],[Ship Date]]-Europe_Sales_Records[[#This Row],[Order Date]]</f>
        <v>46</v>
      </c>
      <c r="J1012" s="1">
        <v>5957</v>
      </c>
      <c r="K1012" s="1">
        <v>651.21</v>
      </c>
      <c r="L1012" s="1">
        <v>524.96</v>
      </c>
      <c r="M1012" s="1">
        <f>Europe_Sales_Records[[#This Row],[Unit Price]]-Europe_Sales_Records[[#This Row],[Unit Cost]]</f>
        <v>126.25</v>
      </c>
      <c r="N1012" s="1">
        <v>3879257.97</v>
      </c>
      <c r="O1012" s="6">
        <v>3127186.72</v>
      </c>
      <c r="P1012" s="1">
        <v>752071.25</v>
      </c>
    </row>
    <row r="1013" spans="1:16" x14ac:dyDescent="0.3">
      <c r="A1013" s="1" t="s">
        <v>14</v>
      </c>
      <c r="B1013" s="1" t="s">
        <v>152</v>
      </c>
      <c r="C1013" s="1" t="s">
        <v>29</v>
      </c>
      <c r="D1013" s="1" t="s">
        <v>17</v>
      </c>
      <c r="E1013" s="1" t="s">
        <v>30</v>
      </c>
      <c r="F1013" s="7">
        <v>40926</v>
      </c>
      <c r="G1013" s="1" t="s">
        <v>1092</v>
      </c>
      <c r="H1013" s="7">
        <v>40952</v>
      </c>
      <c r="I1013" s="1">
        <f>Europe_Sales_Records[[#This Row],[Ship Date]]-Europe_Sales_Records[[#This Row],[Order Date]]</f>
        <v>26</v>
      </c>
      <c r="J1013" s="1">
        <v>8253</v>
      </c>
      <c r="K1013" s="1">
        <v>651.21</v>
      </c>
      <c r="L1013" s="1">
        <v>524.96</v>
      </c>
      <c r="M1013" s="1">
        <f>Europe_Sales_Records[[#This Row],[Unit Price]]-Europe_Sales_Records[[#This Row],[Unit Cost]]</f>
        <v>126.25</v>
      </c>
      <c r="N1013" s="1">
        <v>5374436.1299999999</v>
      </c>
      <c r="O1013" s="6">
        <v>4332494.88</v>
      </c>
      <c r="P1013" s="1">
        <v>1041941.25</v>
      </c>
    </row>
    <row r="1014" spans="1:16" x14ac:dyDescent="0.3">
      <c r="A1014" s="1" t="s">
        <v>14</v>
      </c>
      <c r="B1014" s="1" t="s">
        <v>101</v>
      </c>
      <c r="C1014" s="1" t="s">
        <v>29</v>
      </c>
      <c r="D1014" s="1" t="s">
        <v>22</v>
      </c>
      <c r="E1014" s="1" t="s">
        <v>23</v>
      </c>
      <c r="F1014" s="7">
        <v>40650</v>
      </c>
      <c r="G1014" s="1" t="s">
        <v>1093</v>
      </c>
      <c r="H1014" s="7">
        <v>40699</v>
      </c>
      <c r="I1014" s="1">
        <f>Europe_Sales_Records[[#This Row],[Ship Date]]-Europe_Sales_Records[[#This Row],[Order Date]]</f>
        <v>49</v>
      </c>
      <c r="J1014" s="1">
        <v>2212</v>
      </c>
      <c r="K1014" s="1">
        <v>651.21</v>
      </c>
      <c r="L1014" s="1">
        <v>524.96</v>
      </c>
      <c r="M1014" s="1">
        <f>Europe_Sales_Records[[#This Row],[Unit Price]]-Europe_Sales_Records[[#This Row],[Unit Cost]]</f>
        <v>126.25</v>
      </c>
      <c r="N1014" s="1">
        <v>1440476.52</v>
      </c>
      <c r="O1014" s="6">
        <v>1161211.52</v>
      </c>
      <c r="P1014" s="1">
        <v>279265</v>
      </c>
    </row>
    <row r="1015" spans="1:16" x14ac:dyDescent="0.3">
      <c r="A1015" s="1" t="s">
        <v>14</v>
      </c>
      <c r="B1015" s="1" t="s">
        <v>73</v>
      </c>
      <c r="C1015" s="1" t="s">
        <v>60</v>
      </c>
      <c r="D1015" s="1" t="s">
        <v>22</v>
      </c>
      <c r="E1015" s="1" t="s">
        <v>18</v>
      </c>
      <c r="F1015" s="7">
        <v>42860</v>
      </c>
      <c r="G1015" s="1" t="s">
        <v>1094</v>
      </c>
      <c r="H1015" s="7">
        <v>42906</v>
      </c>
      <c r="I1015" s="1">
        <f>Europe_Sales_Records[[#This Row],[Ship Date]]-Europe_Sales_Records[[#This Row],[Order Date]]</f>
        <v>46</v>
      </c>
      <c r="J1015" s="1">
        <v>176</v>
      </c>
      <c r="K1015" s="1">
        <v>437.2</v>
      </c>
      <c r="L1015" s="1">
        <v>263.33</v>
      </c>
      <c r="M1015" s="1">
        <f>Europe_Sales_Records[[#This Row],[Unit Price]]-Europe_Sales_Records[[#This Row],[Unit Cost]]</f>
        <v>173.87</v>
      </c>
      <c r="N1015" s="1">
        <v>76947.199999999997</v>
      </c>
      <c r="O1015" s="6">
        <v>46346.080000000002</v>
      </c>
      <c r="P1015" s="1">
        <v>30601.119999999999</v>
      </c>
    </row>
    <row r="1016" spans="1:16" x14ac:dyDescent="0.3">
      <c r="A1016" s="1" t="s">
        <v>14</v>
      </c>
      <c r="B1016" s="1" t="s">
        <v>127</v>
      </c>
      <c r="C1016" s="1" t="s">
        <v>33</v>
      </c>
      <c r="D1016" s="1" t="s">
        <v>22</v>
      </c>
      <c r="E1016" s="1" t="s">
        <v>45</v>
      </c>
      <c r="F1016" s="7">
        <v>40476</v>
      </c>
      <c r="G1016" s="1" t="s">
        <v>1095</v>
      </c>
      <c r="H1016" s="7">
        <v>40487</v>
      </c>
      <c r="I1016" s="1">
        <f>Europe_Sales_Records[[#This Row],[Ship Date]]-Europe_Sales_Records[[#This Row],[Order Date]]</f>
        <v>11</v>
      </c>
      <c r="J1016" s="1">
        <v>7080</v>
      </c>
      <c r="K1016" s="1">
        <v>9.33</v>
      </c>
      <c r="L1016" s="1">
        <v>6.92</v>
      </c>
      <c r="M1016" s="1">
        <f>Europe_Sales_Records[[#This Row],[Unit Price]]-Europe_Sales_Records[[#This Row],[Unit Cost]]</f>
        <v>2.41</v>
      </c>
      <c r="N1016" s="1">
        <v>66056.399999999994</v>
      </c>
      <c r="O1016" s="6">
        <v>48993.599999999999</v>
      </c>
      <c r="P1016" s="1">
        <v>17062.8</v>
      </c>
    </row>
    <row r="1017" spans="1:16" x14ac:dyDescent="0.3">
      <c r="A1017" s="1" t="s">
        <v>14</v>
      </c>
      <c r="B1017" s="1" t="s">
        <v>103</v>
      </c>
      <c r="C1017" s="1" t="s">
        <v>52</v>
      </c>
      <c r="D1017" s="1" t="s">
        <v>17</v>
      </c>
      <c r="E1017" s="1" t="s">
        <v>30</v>
      </c>
      <c r="F1017" s="7">
        <v>41047</v>
      </c>
      <c r="G1017" s="1" t="s">
        <v>1096</v>
      </c>
      <c r="H1017" s="7">
        <v>41082</v>
      </c>
      <c r="I1017" s="1">
        <f>Europe_Sales_Records[[#This Row],[Ship Date]]-Europe_Sales_Records[[#This Row],[Order Date]]</f>
        <v>35</v>
      </c>
      <c r="J1017" s="1">
        <v>5669</v>
      </c>
      <c r="K1017" s="1">
        <v>255.28</v>
      </c>
      <c r="L1017" s="1">
        <v>159.41999999999999</v>
      </c>
      <c r="M1017" s="1">
        <f>Europe_Sales_Records[[#This Row],[Unit Price]]-Europe_Sales_Records[[#This Row],[Unit Cost]]</f>
        <v>95.860000000000014</v>
      </c>
      <c r="N1017" s="1">
        <v>1447182.32</v>
      </c>
      <c r="O1017" s="6">
        <v>903751.98</v>
      </c>
      <c r="P1017" s="1">
        <v>543430.34</v>
      </c>
    </row>
    <row r="1018" spans="1:16" x14ac:dyDescent="0.3">
      <c r="A1018" s="1" t="s">
        <v>14</v>
      </c>
      <c r="B1018" s="1" t="s">
        <v>157</v>
      </c>
      <c r="C1018" s="1" t="s">
        <v>79</v>
      </c>
      <c r="D1018" s="1" t="s">
        <v>17</v>
      </c>
      <c r="E1018" s="1" t="s">
        <v>18</v>
      </c>
      <c r="F1018" s="7">
        <v>41764</v>
      </c>
      <c r="G1018" s="1" t="s">
        <v>1097</v>
      </c>
      <c r="H1018" s="7">
        <v>41780</v>
      </c>
      <c r="I1018" s="1">
        <f>Europe_Sales_Records[[#This Row],[Ship Date]]-Europe_Sales_Records[[#This Row],[Order Date]]</f>
        <v>16</v>
      </c>
      <c r="J1018" s="1">
        <v>2802</v>
      </c>
      <c r="K1018" s="1">
        <v>81.73</v>
      </c>
      <c r="L1018" s="1">
        <v>56.67</v>
      </c>
      <c r="M1018" s="1">
        <f>Europe_Sales_Records[[#This Row],[Unit Price]]-Europe_Sales_Records[[#This Row],[Unit Cost]]</f>
        <v>25.060000000000002</v>
      </c>
      <c r="N1018" s="1">
        <v>229007.46</v>
      </c>
      <c r="O1018" s="6">
        <v>158789.34</v>
      </c>
      <c r="P1018" s="1">
        <v>70218.12</v>
      </c>
    </row>
    <row r="1019" spans="1:16" x14ac:dyDescent="0.3">
      <c r="A1019" s="1" t="s">
        <v>14</v>
      </c>
      <c r="B1019" s="1" t="s">
        <v>38</v>
      </c>
      <c r="C1019" s="1" t="s">
        <v>42</v>
      </c>
      <c r="D1019" s="1" t="s">
        <v>17</v>
      </c>
      <c r="E1019" s="1" t="s">
        <v>23</v>
      </c>
      <c r="F1019" s="7">
        <v>40530</v>
      </c>
      <c r="G1019" s="1" t="s">
        <v>1098</v>
      </c>
      <c r="H1019" s="7">
        <v>40569</v>
      </c>
      <c r="I1019" s="1">
        <f>Europe_Sales_Records[[#This Row],[Ship Date]]-Europe_Sales_Records[[#This Row],[Order Date]]</f>
        <v>39</v>
      </c>
      <c r="J1019" s="1">
        <v>4657</v>
      </c>
      <c r="K1019" s="1">
        <v>421.89</v>
      </c>
      <c r="L1019" s="1">
        <v>364.69</v>
      </c>
      <c r="M1019" s="1">
        <f>Europe_Sales_Records[[#This Row],[Unit Price]]-Europe_Sales_Records[[#This Row],[Unit Cost]]</f>
        <v>57.199999999999989</v>
      </c>
      <c r="N1019" s="1">
        <v>1964741.73</v>
      </c>
      <c r="O1019" s="6">
        <v>1698361.33</v>
      </c>
      <c r="P1019" s="1">
        <v>266380.40000000002</v>
      </c>
    </row>
    <row r="1020" spans="1:16" x14ac:dyDescent="0.3">
      <c r="A1020" s="1" t="s">
        <v>14</v>
      </c>
      <c r="B1020" s="1" t="s">
        <v>91</v>
      </c>
      <c r="C1020" s="1" t="s">
        <v>48</v>
      </c>
      <c r="D1020" s="1" t="s">
        <v>22</v>
      </c>
      <c r="E1020" s="1" t="s">
        <v>30</v>
      </c>
      <c r="F1020" s="7">
        <v>42902</v>
      </c>
      <c r="G1020" s="1" t="s">
        <v>1099</v>
      </c>
      <c r="H1020" s="7">
        <v>42919</v>
      </c>
      <c r="I1020" s="1">
        <f>Europe_Sales_Records[[#This Row],[Ship Date]]-Europe_Sales_Records[[#This Row],[Order Date]]</f>
        <v>17</v>
      </c>
      <c r="J1020" s="1">
        <v>7514</v>
      </c>
      <c r="K1020" s="1">
        <v>152.58000000000001</v>
      </c>
      <c r="L1020" s="1">
        <v>97.44</v>
      </c>
      <c r="M1020" s="1">
        <f>Europe_Sales_Records[[#This Row],[Unit Price]]-Europe_Sales_Records[[#This Row],[Unit Cost]]</f>
        <v>55.140000000000015</v>
      </c>
      <c r="N1020" s="1">
        <v>1146486.1200000001</v>
      </c>
      <c r="O1020" s="6">
        <v>732164.16</v>
      </c>
      <c r="P1020" s="1">
        <v>414321.96</v>
      </c>
    </row>
    <row r="1021" spans="1:16" x14ac:dyDescent="0.3">
      <c r="A1021" s="1" t="s">
        <v>14</v>
      </c>
      <c r="B1021" s="1" t="s">
        <v>77</v>
      </c>
      <c r="C1021" s="1" t="s">
        <v>48</v>
      </c>
      <c r="D1021" s="1" t="s">
        <v>22</v>
      </c>
      <c r="E1021" s="1" t="s">
        <v>30</v>
      </c>
      <c r="F1021" s="7">
        <v>40935</v>
      </c>
      <c r="G1021" s="1" t="s">
        <v>1100</v>
      </c>
      <c r="H1021" s="7">
        <v>40936</v>
      </c>
      <c r="I1021" s="1">
        <f>Europe_Sales_Records[[#This Row],[Ship Date]]-Europe_Sales_Records[[#This Row],[Order Date]]</f>
        <v>1</v>
      </c>
      <c r="J1021" s="1">
        <v>7683</v>
      </c>
      <c r="K1021" s="1">
        <v>152.58000000000001</v>
      </c>
      <c r="L1021" s="1">
        <v>97.44</v>
      </c>
      <c r="M1021" s="1">
        <f>Europe_Sales_Records[[#This Row],[Unit Price]]-Europe_Sales_Records[[#This Row],[Unit Cost]]</f>
        <v>55.140000000000015</v>
      </c>
      <c r="N1021" s="1">
        <v>1172272.1399999999</v>
      </c>
      <c r="O1021" s="6">
        <v>748631.52</v>
      </c>
      <c r="P1021" s="1">
        <v>423640.62</v>
      </c>
    </row>
    <row r="1022" spans="1:16" x14ac:dyDescent="0.3">
      <c r="A1022" s="1" t="s">
        <v>14</v>
      </c>
      <c r="B1022" s="1" t="s">
        <v>81</v>
      </c>
      <c r="C1022" s="1" t="s">
        <v>26</v>
      </c>
      <c r="D1022" s="1" t="s">
        <v>22</v>
      </c>
      <c r="E1022" s="1" t="s">
        <v>23</v>
      </c>
      <c r="F1022" s="7">
        <v>41360</v>
      </c>
      <c r="G1022" s="1" t="s">
        <v>1101</v>
      </c>
      <c r="H1022" s="7">
        <v>41367</v>
      </c>
      <c r="I1022" s="1">
        <f>Europe_Sales_Records[[#This Row],[Ship Date]]-Europe_Sales_Records[[#This Row],[Order Date]]</f>
        <v>7</v>
      </c>
      <c r="J1022" s="1">
        <v>1223</v>
      </c>
      <c r="K1022" s="1">
        <v>205.7</v>
      </c>
      <c r="L1022" s="1">
        <v>117.11</v>
      </c>
      <c r="M1022" s="1">
        <f>Europe_Sales_Records[[#This Row],[Unit Price]]-Europe_Sales_Records[[#This Row],[Unit Cost]]</f>
        <v>88.589999999999989</v>
      </c>
      <c r="N1022" s="1">
        <v>251571.1</v>
      </c>
      <c r="O1022" s="6">
        <v>143225.53</v>
      </c>
      <c r="P1022" s="1">
        <v>108345.57</v>
      </c>
    </row>
    <row r="1023" spans="1:16" x14ac:dyDescent="0.3">
      <c r="A1023" s="1" t="s">
        <v>14</v>
      </c>
      <c r="B1023" s="1" t="s">
        <v>157</v>
      </c>
      <c r="C1023" s="1" t="s">
        <v>29</v>
      </c>
      <c r="D1023" s="1" t="s">
        <v>22</v>
      </c>
      <c r="E1023" s="1" t="s">
        <v>45</v>
      </c>
      <c r="F1023" s="7">
        <v>40338</v>
      </c>
      <c r="G1023" s="1" t="s">
        <v>1102</v>
      </c>
      <c r="H1023" s="7">
        <v>40347</v>
      </c>
      <c r="I1023" s="1">
        <f>Europe_Sales_Records[[#This Row],[Ship Date]]-Europe_Sales_Records[[#This Row],[Order Date]]</f>
        <v>9</v>
      </c>
      <c r="J1023" s="1">
        <v>1522</v>
      </c>
      <c r="K1023" s="1">
        <v>651.21</v>
      </c>
      <c r="L1023" s="1">
        <v>524.96</v>
      </c>
      <c r="M1023" s="1">
        <f>Europe_Sales_Records[[#This Row],[Unit Price]]-Europe_Sales_Records[[#This Row],[Unit Cost]]</f>
        <v>126.25</v>
      </c>
      <c r="N1023" s="1">
        <v>991141.62</v>
      </c>
      <c r="O1023" s="6">
        <v>798989.12</v>
      </c>
      <c r="P1023" s="1">
        <v>192152.5</v>
      </c>
    </row>
    <row r="1024" spans="1:16" x14ac:dyDescent="0.3">
      <c r="A1024" s="1" t="s">
        <v>14</v>
      </c>
      <c r="B1024" s="1" t="s">
        <v>120</v>
      </c>
      <c r="C1024" s="1" t="s">
        <v>48</v>
      </c>
      <c r="D1024" s="1" t="s">
        <v>17</v>
      </c>
      <c r="E1024" s="1" t="s">
        <v>45</v>
      </c>
      <c r="F1024" s="7">
        <v>41209</v>
      </c>
      <c r="G1024" s="1" t="s">
        <v>1103</v>
      </c>
      <c r="H1024" s="7">
        <v>41224</v>
      </c>
      <c r="I1024" s="1">
        <f>Europe_Sales_Records[[#This Row],[Ship Date]]-Europe_Sales_Records[[#This Row],[Order Date]]</f>
        <v>15</v>
      </c>
      <c r="J1024" s="1">
        <v>8771</v>
      </c>
      <c r="K1024" s="1">
        <v>152.58000000000001</v>
      </c>
      <c r="L1024" s="1">
        <v>97.44</v>
      </c>
      <c r="M1024" s="1">
        <f>Europe_Sales_Records[[#This Row],[Unit Price]]-Europe_Sales_Records[[#This Row],[Unit Cost]]</f>
        <v>55.140000000000015</v>
      </c>
      <c r="N1024" s="1">
        <v>1338279.18</v>
      </c>
      <c r="O1024" s="6">
        <v>854646.24</v>
      </c>
      <c r="P1024" s="1">
        <v>483632.94</v>
      </c>
    </row>
    <row r="1025" spans="1:16" x14ac:dyDescent="0.3">
      <c r="A1025" s="1" t="s">
        <v>14</v>
      </c>
      <c r="B1025" s="1" t="s">
        <v>54</v>
      </c>
      <c r="C1025" s="1" t="s">
        <v>79</v>
      </c>
      <c r="D1025" s="1" t="s">
        <v>22</v>
      </c>
      <c r="E1025" s="1" t="s">
        <v>18</v>
      </c>
      <c r="F1025" s="7">
        <v>40978</v>
      </c>
      <c r="G1025" s="1" t="s">
        <v>1104</v>
      </c>
      <c r="H1025" s="7">
        <v>40993</v>
      </c>
      <c r="I1025" s="1">
        <f>Europe_Sales_Records[[#This Row],[Ship Date]]-Europe_Sales_Records[[#This Row],[Order Date]]</f>
        <v>15</v>
      </c>
      <c r="J1025" s="1">
        <v>9963</v>
      </c>
      <c r="K1025" s="1">
        <v>81.73</v>
      </c>
      <c r="L1025" s="1">
        <v>56.67</v>
      </c>
      <c r="M1025" s="1">
        <f>Europe_Sales_Records[[#This Row],[Unit Price]]-Europe_Sales_Records[[#This Row],[Unit Cost]]</f>
        <v>25.060000000000002</v>
      </c>
      <c r="N1025" s="1">
        <v>814275.99</v>
      </c>
      <c r="O1025" s="6">
        <v>564603.21</v>
      </c>
      <c r="P1025" s="1">
        <v>249672.78</v>
      </c>
    </row>
    <row r="1026" spans="1:16" x14ac:dyDescent="0.3">
      <c r="A1026" s="1" t="s">
        <v>14</v>
      </c>
      <c r="B1026" s="1" t="s">
        <v>131</v>
      </c>
      <c r="C1026" s="1" t="s">
        <v>52</v>
      </c>
      <c r="D1026" s="1" t="s">
        <v>22</v>
      </c>
      <c r="E1026" s="1" t="s">
        <v>45</v>
      </c>
      <c r="F1026" s="7">
        <v>40558</v>
      </c>
      <c r="G1026" s="1" t="s">
        <v>1105</v>
      </c>
      <c r="H1026" s="7">
        <v>40590</v>
      </c>
      <c r="I1026" s="1">
        <f>Europe_Sales_Records[[#This Row],[Ship Date]]-Europe_Sales_Records[[#This Row],[Order Date]]</f>
        <v>32</v>
      </c>
      <c r="J1026" s="1">
        <v>7458</v>
      </c>
      <c r="K1026" s="1">
        <v>255.28</v>
      </c>
      <c r="L1026" s="1">
        <v>159.41999999999999</v>
      </c>
      <c r="M1026" s="1">
        <f>Europe_Sales_Records[[#This Row],[Unit Price]]-Europe_Sales_Records[[#This Row],[Unit Cost]]</f>
        <v>95.860000000000014</v>
      </c>
      <c r="N1026" s="1">
        <v>1903878.24</v>
      </c>
      <c r="O1026" s="6">
        <v>1188954.3600000001</v>
      </c>
      <c r="P1026" s="1">
        <v>714923.88</v>
      </c>
    </row>
    <row r="1027" spans="1:16" x14ac:dyDescent="0.3">
      <c r="A1027" s="1" t="s">
        <v>14</v>
      </c>
      <c r="B1027" s="1" t="s">
        <v>15</v>
      </c>
      <c r="C1027" s="1" t="s">
        <v>57</v>
      </c>
      <c r="D1027" s="1" t="s">
        <v>22</v>
      </c>
      <c r="E1027" s="1" t="s">
        <v>30</v>
      </c>
      <c r="F1027" s="7">
        <v>40595</v>
      </c>
      <c r="G1027" s="1" t="s">
        <v>1106</v>
      </c>
      <c r="H1027" s="7">
        <v>40601</v>
      </c>
      <c r="I1027" s="1">
        <f>Europe_Sales_Records[[#This Row],[Ship Date]]-Europe_Sales_Records[[#This Row],[Order Date]]</f>
        <v>6</v>
      </c>
      <c r="J1027" s="1">
        <v>9405</v>
      </c>
      <c r="K1027" s="1">
        <v>668.27</v>
      </c>
      <c r="L1027" s="1">
        <v>502.54</v>
      </c>
      <c r="M1027" s="1">
        <f>Europe_Sales_Records[[#This Row],[Unit Price]]-Europe_Sales_Records[[#This Row],[Unit Cost]]</f>
        <v>165.72999999999996</v>
      </c>
      <c r="N1027" s="1">
        <v>6285079.3499999996</v>
      </c>
      <c r="O1027" s="6">
        <v>4726388.7</v>
      </c>
      <c r="P1027" s="1">
        <v>1558690.65</v>
      </c>
    </row>
    <row r="1028" spans="1:16" x14ac:dyDescent="0.3">
      <c r="A1028" s="1" t="s">
        <v>14</v>
      </c>
      <c r="B1028" s="1" t="s">
        <v>137</v>
      </c>
      <c r="C1028" s="1" t="s">
        <v>52</v>
      </c>
      <c r="D1028" s="1" t="s">
        <v>17</v>
      </c>
      <c r="E1028" s="1" t="s">
        <v>18</v>
      </c>
      <c r="F1028" s="7">
        <v>41944</v>
      </c>
      <c r="G1028" s="1" t="s">
        <v>1107</v>
      </c>
      <c r="H1028" s="7">
        <v>41959</v>
      </c>
      <c r="I1028" s="1">
        <f>Europe_Sales_Records[[#This Row],[Ship Date]]-Europe_Sales_Records[[#This Row],[Order Date]]</f>
        <v>15</v>
      </c>
      <c r="J1028" s="1">
        <v>2273</v>
      </c>
      <c r="K1028" s="1">
        <v>255.28</v>
      </c>
      <c r="L1028" s="1">
        <v>159.41999999999999</v>
      </c>
      <c r="M1028" s="1">
        <f>Europe_Sales_Records[[#This Row],[Unit Price]]-Europe_Sales_Records[[#This Row],[Unit Cost]]</f>
        <v>95.860000000000014</v>
      </c>
      <c r="N1028" s="1">
        <v>580251.43999999994</v>
      </c>
      <c r="O1028" s="6">
        <v>362361.66</v>
      </c>
      <c r="P1028" s="1">
        <v>217889.78</v>
      </c>
    </row>
    <row r="1029" spans="1:16" x14ac:dyDescent="0.3">
      <c r="A1029" s="1" t="s">
        <v>14</v>
      </c>
      <c r="B1029" s="1" t="s">
        <v>103</v>
      </c>
      <c r="C1029" s="1" t="s">
        <v>21</v>
      </c>
      <c r="D1029" s="1" t="s">
        <v>22</v>
      </c>
      <c r="E1029" s="1" t="s">
        <v>23</v>
      </c>
      <c r="F1029" s="7">
        <v>40640</v>
      </c>
      <c r="G1029" s="1" t="s">
        <v>1108</v>
      </c>
      <c r="H1029" s="7">
        <v>40651</v>
      </c>
      <c r="I1029" s="1">
        <f>Europe_Sales_Records[[#This Row],[Ship Date]]-Europe_Sales_Records[[#This Row],[Order Date]]</f>
        <v>11</v>
      </c>
      <c r="J1029" s="1">
        <v>9843</v>
      </c>
      <c r="K1029" s="1">
        <v>109.28</v>
      </c>
      <c r="L1029" s="1">
        <v>35.840000000000003</v>
      </c>
      <c r="M1029" s="1">
        <f>Europe_Sales_Records[[#This Row],[Unit Price]]-Europe_Sales_Records[[#This Row],[Unit Cost]]</f>
        <v>73.44</v>
      </c>
      <c r="N1029" s="1">
        <v>1075643.04</v>
      </c>
      <c r="O1029" s="6">
        <v>352773.12</v>
      </c>
      <c r="P1029" s="1">
        <v>722869.92</v>
      </c>
    </row>
    <row r="1030" spans="1:16" x14ac:dyDescent="0.3">
      <c r="A1030" s="1" t="s">
        <v>14</v>
      </c>
      <c r="B1030" s="1" t="s">
        <v>219</v>
      </c>
      <c r="C1030" s="1" t="s">
        <v>26</v>
      </c>
      <c r="D1030" s="1" t="s">
        <v>17</v>
      </c>
      <c r="E1030" s="1" t="s">
        <v>18</v>
      </c>
      <c r="F1030" s="7">
        <v>41181</v>
      </c>
      <c r="G1030" s="1" t="s">
        <v>1109</v>
      </c>
      <c r="H1030" s="7">
        <v>41199</v>
      </c>
      <c r="I1030" s="1">
        <f>Europe_Sales_Records[[#This Row],[Ship Date]]-Europe_Sales_Records[[#This Row],[Order Date]]</f>
        <v>18</v>
      </c>
      <c r="J1030" s="1">
        <v>4828</v>
      </c>
      <c r="K1030" s="1">
        <v>205.7</v>
      </c>
      <c r="L1030" s="1">
        <v>117.11</v>
      </c>
      <c r="M1030" s="1">
        <f>Europe_Sales_Records[[#This Row],[Unit Price]]-Europe_Sales_Records[[#This Row],[Unit Cost]]</f>
        <v>88.589999999999989</v>
      </c>
      <c r="N1030" s="1">
        <v>993119.6</v>
      </c>
      <c r="O1030" s="6">
        <v>565407.07999999996</v>
      </c>
      <c r="P1030" s="1">
        <v>427712.52</v>
      </c>
    </row>
    <row r="1031" spans="1:16" x14ac:dyDescent="0.3">
      <c r="A1031" s="1" t="s">
        <v>14</v>
      </c>
      <c r="B1031" s="1" t="s">
        <v>176</v>
      </c>
      <c r="C1031" s="1" t="s">
        <v>60</v>
      </c>
      <c r="D1031" s="1" t="s">
        <v>22</v>
      </c>
      <c r="E1031" s="1" t="s">
        <v>30</v>
      </c>
      <c r="F1031" s="7">
        <v>41929</v>
      </c>
      <c r="G1031" s="1" t="s">
        <v>1110</v>
      </c>
      <c r="H1031" s="7">
        <v>41944</v>
      </c>
      <c r="I1031" s="1">
        <f>Europe_Sales_Records[[#This Row],[Ship Date]]-Europe_Sales_Records[[#This Row],[Order Date]]</f>
        <v>15</v>
      </c>
      <c r="J1031" s="1">
        <v>1722</v>
      </c>
      <c r="K1031" s="1">
        <v>437.2</v>
      </c>
      <c r="L1031" s="1">
        <v>263.33</v>
      </c>
      <c r="M1031" s="1">
        <f>Europe_Sales_Records[[#This Row],[Unit Price]]-Europe_Sales_Records[[#This Row],[Unit Cost]]</f>
        <v>173.87</v>
      </c>
      <c r="N1031" s="1">
        <v>752858.4</v>
      </c>
      <c r="O1031" s="6">
        <v>453454.26</v>
      </c>
      <c r="P1031" s="1">
        <v>299404.14</v>
      </c>
    </row>
    <row r="1032" spans="1:16" x14ac:dyDescent="0.3">
      <c r="A1032" s="1" t="s">
        <v>14</v>
      </c>
      <c r="B1032" s="1" t="s">
        <v>150</v>
      </c>
      <c r="C1032" s="1" t="s">
        <v>48</v>
      </c>
      <c r="D1032" s="1" t="s">
        <v>22</v>
      </c>
      <c r="E1032" s="1" t="s">
        <v>23</v>
      </c>
      <c r="F1032" s="7">
        <v>40301</v>
      </c>
      <c r="G1032" s="1" t="s">
        <v>1111</v>
      </c>
      <c r="H1032" s="7">
        <v>40317</v>
      </c>
      <c r="I1032" s="1">
        <f>Europe_Sales_Records[[#This Row],[Ship Date]]-Europe_Sales_Records[[#This Row],[Order Date]]</f>
        <v>16</v>
      </c>
      <c r="J1032" s="1">
        <v>3646</v>
      </c>
      <c r="K1032" s="1">
        <v>152.58000000000001</v>
      </c>
      <c r="L1032" s="1">
        <v>97.44</v>
      </c>
      <c r="M1032" s="1">
        <f>Europe_Sales_Records[[#This Row],[Unit Price]]-Europe_Sales_Records[[#This Row],[Unit Cost]]</f>
        <v>55.140000000000015</v>
      </c>
      <c r="N1032" s="1">
        <v>556306.68000000005</v>
      </c>
      <c r="O1032" s="6">
        <v>355266.24</v>
      </c>
      <c r="P1032" s="1">
        <v>201040.44</v>
      </c>
    </row>
    <row r="1033" spans="1:16" x14ac:dyDescent="0.3">
      <c r="A1033" s="1" t="s">
        <v>14</v>
      </c>
      <c r="B1033" s="1" t="s">
        <v>137</v>
      </c>
      <c r="C1033" s="1" t="s">
        <v>29</v>
      </c>
      <c r="D1033" s="1" t="s">
        <v>22</v>
      </c>
      <c r="E1033" s="1" t="s">
        <v>30</v>
      </c>
      <c r="F1033" s="7">
        <v>41528</v>
      </c>
      <c r="G1033" s="1" t="s">
        <v>1112</v>
      </c>
      <c r="H1033" s="7">
        <v>41563</v>
      </c>
      <c r="I1033" s="1">
        <f>Europe_Sales_Records[[#This Row],[Ship Date]]-Europe_Sales_Records[[#This Row],[Order Date]]</f>
        <v>35</v>
      </c>
      <c r="J1033" s="1">
        <v>4445</v>
      </c>
      <c r="K1033" s="1">
        <v>651.21</v>
      </c>
      <c r="L1033" s="1">
        <v>524.96</v>
      </c>
      <c r="M1033" s="1">
        <f>Europe_Sales_Records[[#This Row],[Unit Price]]-Europe_Sales_Records[[#This Row],[Unit Cost]]</f>
        <v>126.25</v>
      </c>
      <c r="N1033" s="1">
        <v>2894628.45</v>
      </c>
      <c r="O1033" s="6">
        <v>2333447.2000000002</v>
      </c>
      <c r="P1033" s="1">
        <v>561181.25</v>
      </c>
    </row>
    <row r="1034" spans="1:16" x14ac:dyDescent="0.3">
      <c r="A1034" s="1" t="s">
        <v>14</v>
      </c>
      <c r="B1034" s="1" t="s">
        <v>94</v>
      </c>
      <c r="C1034" s="1" t="s">
        <v>79</v>
      </c>
      <c r="D1034" s="1" t="s">
        <v>22</v>
      </c>
      <c r="E1034" s="1" t="s">
        <v>30</v>
      </c>
      <c r="F1034" s="7">
        <v>42404</v>
      </c>
      <c r="G1034" s="1" t="s">
        <v>1113</v>
      </c>
      <c r="H1034" s="7">
        <v>42409</v>
      </c>
      <c r="I1034" s="1">
        <f>Europe_Sales_Records[[#This Row],[Ship Date]]-Europe_Sales_Records[[#This Row],[Order Date]]</f>
        <v>5</v>
      </c>
      <c r="J1034" s="1">
        <v>8451</v>
      </c>
      <c r="K1034" s="1">
        <v>81.73</v>
      </c>
      <c r="L1034" s="1">
        <v>56.67</v>
      </c>
      <c r="M1034" s="1">
        <f>Europe_Sales_Records[[#This Row],[Unit Price]]-Europe_Sales_Records[[#This Row],[Unit Cost]]</f>
        <v>25.060000000000002</v>
      </c>
      <c r="N1034" s="1">
        <v>690700.23</v>
      </c>
      <c r="O1034" s="6">
        <v>478918.17</v>
      </c>
      <c r="P1034" s="1">
        <v>211782.06</v>
      </c>
    </row>
    <row r="1035" spans="1:16" x14ac:dyDescent="0.3">
      <c r="A1035" s="1" t="s">
        <v>14</v>
      </c>
      <c r="B1035" s="1" t="s">
        <v>120</v>
      </c>
      <c r="C1035" s="1" t="s">
        <v>26</v>
      </c>
      <c r="D1035" s="1" t="s">
        <v>22</v>
      </c>
      <c r="E1035" s="1" t="s">
        <v>30</v>
      </c>
      <c r="F1035" s="7">
        <v>40378</v>
      </c>
      <c r="G1035" s="1" t="s">
        <v>1114</v>
      </c>
      <c r="H1035" s="7">
        <v>40415</v>
      </c>
      <c r="I1035" s="1">
        <f>Europe_Sales_Records[[#This Row],[Ship Date]]-Europe_Sales_Records[[#This Row],[Order Date]]</f>
        <v>37</v>
      </c>
      <c r="J1035" s="1">
        <v>1210</v>
      </c>
      <c r="K1035" s="1">
        <v>205.7</v>
      </c>
      <c r="L1035" s="1">
        <v>117.11</v>
      </c>
      <c r="M1035" s="1">
        <f>Europe_Sales_Records[[#This Row],[Unit Price]]-Europe_Sales_Records[[#This Row],[Unit Cost]]</f>
        <v>88.589999999999989</v>
      </c>
      <c r="N1035" s="1">
        <v>248897</v>
      </c>
      <c r="O1035" s="6">
        <v>141703.1</v>
      </c>
      <c r="P1035" s="1">
        <v>107193.9</v>
      </c>
    </row>
    <row r="1036" spans="1:16" x14ac:dyDescent="0.3">
      <c r="A1036" s="1" t="s">
        <v>14</v>
      </c>
      <c r="B1036" s="1" t="s">
        <v>69</v>
      </c>
      <c r="C1036" s="1" t="s">
        <v>16</v>
      </c>
      <c r="D1036" s="1" t="s">
        <v>22</v>
      </c>
      <c r="E1036" s="1" t="s">
        <v>23</v>
      </c>
      <c r="F1036" s="7">
        <v>41508</v>
      </c>
      <c r="G1036" s="1" t="s">
        <v>1115</v>
      </c>
      <c r="H1036" s="7">
        <v>41521</v>
      </c>
      <c r="I1036" s="1">
        <f>Europe_Sales_Records[[#This Row],[Ship Date]]-Europe_Sales_Records[[#This Row],[Order Date]]</f>
        <v>13</v>
      </c>
      <c r="J1036" s="1">
        <v>2859</v>
      </c>
      <c r="K1036" s="1">
        <v>47.45</v>
      </c>
      <c r="L1036" s="1">
        <v>31.79</v>
      </c>
      <c r="M1036" s="1">
        <f>Europe_Sales_Records[[#This Row],[Unit Price]]-Europe_Sales_Records[[#This Row],[Unit Cost]]</f>
        <v>15.660000000000004</v>
      </c>
      <c r="N1036" s="1">
        <v>135659.54999999999</v>
      </c>
      <c r="O1036" s="6">
        <v>90887.61</v>
      </c>
      <c r="P1036" s="1">
        <v>44771.94</v>
      </c>
    </row>
    <row r="1037" spans="1:16" x14ac:dyDescent="0.3">
      <c r="A1037" s="1" t="s">
        <v>14</v>
      </c>
      <c r="B1037" s="1" t="s">
        <v>65</v>
      </c>
      <c r="C1037" s="1" t="s">
        <v>16</v>
      </c>
      <c r="D1037" s="1" t="s">
        <v>17</v>
      </c>
      <c r="E1037" s="1" t="s">
        <v>18</v>
      </c>
      <c r="F1037" s="7">
        <v>41266</v>
      </c>
      <c r="G1037" s="1" t="s">
        <v>1116</v>
      </c>
      <c r="H1037" s="7">
        <v>41314</v>
      </c>
      <c r="I1037" s="1">
        <f>Europe_Sales_Records[[#This Row],[Ship Date]]-Europe_Sales_Records[[#This Row],[Order Date]]</f>
        <v>48</v>
      </c>
      <c r="J1037" s="1">
        <v>5312</v>
      </c>
      <c r="K1037" s="1">
        <v>47.45</v>
      </c>
      <c r="L1037" s="1">
        <v>31.79</v>
      </c>
      <c r="M1037" s="1">
        <f>Europe_Sales_Records[[#This Row],[Unit Price]]-Europe_Sales_Records[[#This Row],[Unit Cost]]</f>
        <v>15.660000000000004</v>
      </c>
      <c r="N1037" s="1">
        <v>252054.39999999999</v>
      </c>
      <c r="O1037" s="6">
        <v>168868.48000000001</v>
      </c>
      <c r="P1037" s="1">
        <v>83185.919999999998</v>
      </c>
    </row>
    <row r="1038" spans="1:16" x14ac:dyDescent="0.3">
      <c r="A1038" s="1" t="s">
        <v>14</v>
      </c>
      <c r="B1038" s="1" t="s">
        <v>63</v>
      </c>
      <c r="C1038" s="1" t="s">
        <v>79</v>
      </c>
      <c r="D1038" s="1" t="s">
        <v>22</v>
      </c>
      <c r="E1038" s="1" t="s">
        <v>30</v>
      </c>
      <c r="F1038" s="7">
        <v>40631</v>
      </c>
      <c r="G1038" s="1" t="s">
        <v>1117</v>
      </c>
      <c r="H1038" s="7">
        <v>40663</v>
      </c>
      <c r="I1038" s="1">
        <f>Europe_Sales_Records[[#This Row],[Ship Date]]-Europe_Sales_Records[[#This Row],[Order Date]]</f>
        <v>32</v>
      </c>
      <c r="J1038" s="1">
        <v>5915</v>
      </c>
      <c r="K1038" s="1">
        <v>81.73</v>
      </c>
      <c r="L1038" s="1">
        <v>56.67</v>
      </c>
      <c r="M1038" s="1">
        <f>Europe_Sales_Records[[#This Row],[Unit Price]]-Europe_Sales_Records[[#This Row],[Unit Cost]]</f>
        <v>25.060000000000002</v>
      </c>
      <c r="N1038" s="1">
        <v>483432.95</v>
      </c>
      <c r="O1038" s="6">
        <v>335203.05</v>
      </c>
      <c r="P1038" s="1">
        <v>148229.9</v>
      </c>
    </row>
    <row r="1039" spans="1:16" x14ac:dyDescent="0.3">
      <c r="A1039" s="1" t="s">
        <v>14</v>
      </c>
      <c r="B1039" s="1" t="s">
        <v>71</v>
      </c>
      <c r="C1039" s="1" t="s">
        <v>26</v>
      </c>
      <c r="D1039" s="1" t="s">
        <v>22</v>
      </c>
      <c r="E1039" s="1" t="s">
        <v>23</v>
      </c>
      <c r="F1039" s="7">
        <v>40525</v>
      </c>
      <c r="G1039" s="1" t="s">
        <v>1118</v>
      </c>
      <c r="H1039" s="7">
        <v>40535</v>
      </c>
      <c r="I1039" s="1">
        <f>Europe_Sales_Records[[#This Row],[Ship Date]]-Europe_Sales_Records[[#This Row],[Order Date]]</f>
        <v>10</v>
      </c>
      <c r="J1039" s="1">
        <v>50</v>
      </c>
      <c r="K1039" s="1">
        <v>205.7</v>
      </c>
      <c r="L1039" s="1">
        <v>117.11</v>
      </c>
      <c r="M1039" s="1">
        <f>Europe_Sales_Records[[#This Row],[Unit Price]]-Europe_Sales_Records[[#This Row],[Unit Cost]]</f>
        <v>88.589999999999989</v>
      </c>
      <c r="N1039" s="1">
        <v>10285</v>
      </c>
      <c r="O1039" s="6">
        <v>5855.5</v>
      </c>
      <c r="P1039" s="1">
        <v>4429.5</v>
      </c>
    </row>
    <row r="1040" spans="1:16" x14ac:dyDescent="0.3">
      <c r="A1040" s="1" t="s">
        <v>14</v>
      </c>
      <c r="B1040" s="1" t="s">
        <v>164</v>
      </c>
      <c r="C1040" s="1" t="s">
        <v>60</v>
      </c>
      <c r="D1040" s="1" t="s">
        <v>17</v>
      </c>
      <c r="E1040" s="1" t="s">
        <v>45</v>
      </c>
      <c r="F1040" s="7">
        <v>41073</v>
      </c>
      <c r="G1040" s="1" t="s">
        <v>1119</v>
      </c>
      <c r="H1040" s="7">
        <v>41120</v>
      </c>
      <c r="I1040" s="1">
        <f>Europe_Sales_Records[[#This Row],[Ship Date]]-Europe_Sales_Records[[#This Row],[Order Date]]</f>
        <v>47</v>
      </c>
      <c r="J1040" s="1">
        <v>4233</v>
      </c>
      <c r="K1040" s="1">
        <v>437.2</v>
      </c>
      <c r="L1040" s="1">
        <v>263.33</v>
      </c>
      <c r="M1040" s="1">
        <f>Europe_Sales_Records[[#This Row],[Unit Price]]-Europe_Sales_Records[[#This Row],[Unit Cost]]</f>
        <v>173.87</v>
      </c>
      <c r="N1040" s="1">
        <v>1850667.6</v>
      </c>
      <c r="O1040" s="6">
        <v>1114675.8899999999</v>
      </c>
      <c r="P1040" s="1">
        <v>735991.71</v>
      </c>
    </row>
    <row r="1041" spans="1:16" x14ac:dyDescent="0.3">
      <c r="A1041" s="1" t="s">
        <v>14</v>
      </c>
      <c r="B1041" s="1" t="s">
        <v>84</v>
      </c>
      <c r="C1041" s="1" t="s">
        <v>42</v>
      </c>
      <c r="D1041" s="1" t="s">
        <v>17</v>
      </c>
      <c r="E1041" s="1" t="s">
        <v>30</v>
      </c>
      <c r="F1041" s="7">
        <v>41470</v>
      </c>
      <c r="G1041" s="1" t="s">
        <v>1120</v>
      </c>
      <c r="H1041" s="7">
        <v>41503</v>
      </c>
      <c r="I1041" s="1">
        <f>Europe_Sales_Records[[#This Row],[Ship Date]]-Europe_Sales_Records[[#This Row],[Order Date]]</f>
        <v>33</v>
      </c>
      <c r="J1041" s="1">
        <v>615</v>
      </c>
      <c r="K1041" s="1">
        <v>421.89</v>
      </c>
      <c r="L1041" s="1">
        <v>364.69</v>
      </c>
      <c r="M1041" s="1">
        <f>Europe_Sales_Records[[#This Row],[Unit Price]]-Europe_Sales_Records[[#This Row],[Unit Cost]]</f>
        <v>57.199999999999989</v>
      </c>
      <c r="N1041" s="1">
        <v>259462.35</v>
      </c>
      <c r="O1041" s="6">
        <v>224284.35</v>
      </c>
      <c r="P1041" s="1">
        <v>35178</v>
      </c>
    </row>
    <row r="1042" spans="1:16" x14ac:dyDescent="0.3">
      <c r="A1042" s="1" t="s">
        <v>14</v>
      </c>
      <c r="B1042" s="1" t="s">
        <v>67</v>
      </c>
      <c r="C1042" s="1" t="s">
        <v>29</v>
      </c>
      <c r="D1042" s="1" t="s">
        <v>17</v>
      </c>
      <c r="E1042" s="1" t="s">
        <v>18</v>
      </c>
      <c r="F1042" s="7">
        <v>40956</v>
      </c>
      <c r="G1042" s="1" t="s">
        <v>1121</v>
      </c>
      <c r="H1042" s="7">
        <v>40973</v>
      </c>
      <c r="I1042" s="1">
        <f>Europe_Sales_Records[[#This Row],[Ship Date]]-Europe_Sales_Records[[#This Row],[Order Date]]</f>
        <v>17</v>
      </c>
      <c r="J1042" s="1">
        <v>9997</v>
      </c>
      <c r="K1042" s="1">
        <v>651.21</v>
      </c>
      <c r="L1042" s="1">
        <v>524.96</v>
      </c>
      <c r="M1042" s="1">
        <f>Europe_Sales_Records[[#This Row],[Unit Price]]-Europe_Sales_Records[[#This Row],[Unit Cost]]</f>
        <v>126.25</v>
      </c>
      <c r="N1042" s="1">
        <v>6510146.3700000001</v>
      </c>
      <c r="O1042" s="6">
        <v>5248025.12</v>
      </c>
      <c r="P1042" s="1">
        <v>1262121.25</v>
      </c>
    </row>
    <row r="1043" spans="1:16" x14ac:dyDescent="0.3">
      <c r="A1043" s="1" t="s">
        <v>14</v>
      </c>
      <c r="B1043" s="1" t="s">
        <v>127</v>
      </c>
      <c r="C1043" s="1" t="s">
        <v>42</v>
      </c>
      <c r="D1043" s="1" t="s">
        <v>22</v>
      </c>
      <c r="E1043" s="1" t="s">
        <v>18</v>
      </c>
      <c r="F1043" s="7">
        <v>41622</v>
      </c>
      <c r="G1043" s="1" t="s">
        <v>1122</v>
      </c>
      <c r="H1043" s="7">
        <v>41638</v>
      </c>
      <c r="I1043" s="1">
        <f>Europe_Sales_Records[[#This Row],[Ship Date]]-Europe_Sales_Records[[#This Row],[Order Date]]</f>
        <v>16</v>
      </c>
      <c r="J1043" s="1">
        <v>5928</v>
      </c>
      <c r="K1043" s="1">
        <v>421.89</v>
      </c>
      <c r="L1043" s="1">
        <v>364.69</v>
      </c>
      <c r="M1043" s="1">
        <f>Europe_Sales_Records[[#This Row],[Unit Price]]-Europe_Sales_Records[[#This Row],[Unit Cost]]</f>
        <v>57.199999999999989</v>
      </c>
      <c r="N1043" s="1">
        <v>2500963.92</v>
      </c>
      <c r="O1043" s="6">
        <v>2161882.3199999998</v>
      </c>
      <c r="P1043" s="1">
        <v>339081.6</v>
      </c>
    </row>
    <row r="1044" spans="1:16" x14ac:dyDescent="0.3">
      <c r="A1044" s="1" t="s">
        <v>14</v>
      </c>
      <c r="B1044" s="1" t="s">
        <v>172</v>
      </c>
      <c r="C1044" s="1" t="s">
        <v>48</v>
      </c>
      <c r="D1044" s="1" t="s">
        <v>17</v>
      </c>
      <c r="E1044" s="1" t="s">
        <v>23</v>
      </c>
      <c r="F1044" s="7">
        <v>41930</v>
      </c>
      <c r="G1044" s="1" t="s">
        <v>1123</v>
      </c>
      <c r="H1044" s="7">
        <v>41954</v>
      </c>
      <c r="I1044" s="1">
        <f>Europe_Sales_Records[[#This Row],[Ship Date]]-Europe_Sales_Records[[#This Row],[Order Date]]</f>
        <v>24</v>
      </c>
      <c r="J1044" s="1">
        <v>6086</v>
      </c>
      <c r="K1044" s="1">
        <v>152.58000000000001</v>
      </c>
      <c r="L1044" s="1">
        <v>97.44</v>
      </c>
      <c r="M1044" s="1">
        <f>Europe_Sales_Records[[#This Row],[Unit Price]]-Europe_Sales_Records[[#This Row],[Unit Cost]]</f>
        <v>55.140000000000015</v>
      </c>
      <c r="N1044" s="1">
        <v>928601.88</v>
      </c>
      <c r="O1044" s="6">
        <v>593019.84</v>
      </c>
      <c r="P1044" s="1">
        <v>335582.04</v>
      </c>
    </row>
    <row r="1045" spans="1:16" x14ac:dyDescent="0.3">
      <c r="A1045" s="1" t="s">
        <v>14</v>
      </c>
      <c r="B1045" s="1" t="s">
        <v>50</v>
      </c>
      <c r="C1045" s="1" t="s">
        <v>39</v>
      </c>
      <c r="D1045" s="1" t="s">
        <v>17</v>
      </c>
      <c r="E1045" s="1" t="s">
        <v>30</v>
      </c>
      <c r="F1045" s="7">
        <v>40958</v>
      </c>
      <c r="G1045" s="1" t="s">
        <v>1124</v>
      </c>
      <c r="H1045" s="7">
        <v>40987</v>
      </c>
      <c r="I1045" s="1">
        <f>Europe_Sales_Records[[#This Row],[Ship Date]]-Europe_Sales_Records[[#This Row],[Order Date]]</f>
        <v>29</v>
      </c>
      <c r="J1045" s="1">
        <v>7222</v>
      </c>
      <c r="K1045" s="1">
        <v>154.06</v>
      </c>
      <c r="L1045" s="1">
        <v>90.93</v>
      </c>
      <c r="M1045" s="1">
        <f>Europe_Sales_Records[[#This Row],[Unit Price]]-Europe_Sales_Records[[#This Row],[Unit Cost]]</f>
        <v>63.129999999999995</v>
      </c>
      <c r="N1045" s="1">
        <v>1112621.32</v>
      </c>
      <c r="O1045" s="6">
        <v>656696.46</v>
      </c>
      <c r="P1045" s="1">
        <v>455924.86</v>
      </c>
    </row>
    <row r="1046" spans="1:16" x14ac:dyDescent="0.3">
      <c r="A1046" s="1" t="s">
        <v>14</v>
      </c>
      <c r="B1046" s="1" t="s">
        <v>59</v>
      </c>
      <c r="C1046" s="1" t="s">
        <v>26</v>
      </c>
      <c r="D1046" s="1" t="s">
        <v>22</v>
      </c>
      <c r="E1046" s="1" t="s">
        <v>18</v>
      </c>
      <c r="F1046" s="7">
        <v>41128</v>
      </c>
      <c r="G1046" s="1" t="s">
        <v>1125</v>
      </c>
      <c r="H1046" s="7">
        <v>41167</v>
      </c>
      <c r="I1046" s="1">
        <f>Europe_Sales_Records[[#This Row],[Ship Date]]-Europe_Sales_Records[[#This Row],[Order Date]]</f>
        <v>39</v>
      </c>
      <c r="J1046" s="1">
        <v>8539</v>
      </c>
      <c r="K1046" s="1">
        <v>205.7</v>
      </c>
      <c r="L1046" s="1">
        <v>117.11</v>
      </c>
      <c r="M1046" s="1">
        <f>Europe_Sales_Records[[#This Row],[Unit Price]]-Europe_Sales_Records[[#This Row],[Unit Cost]]</f>
        <v>88.589999999999989</v>
      </c>
      <c r="N1046" s="1">
        <v>1756472.3</v>
      </c>
      <c r="O1046" s="6">
        <v>1000002.29</v>
      </c>
      <c r="P1046" s="1">
        <v>756470.01</v>
      </c>
    </row>
    <row r="1047" spans="1:16" x14ac:dyDescent="0.3">
      <c r="A1047" s="1" t="s">
        <v>14</v>
      </c>
      <c r="B1047" s="1" t="s">
        <v>15</v>
      </c>
      <c r="C1047" s="1" t="s">
        <v>57</v>
      </c>
      <c r="D1047" s="1" t="s">
        <v>17</v>
      </c>
      <c r="E1047" s="1" t="s">
        <v>45</v>
      </c>
      <c r="F1047" s="7">
        <v>41248</v>
      </c>
      <c r="G1047" s="1" t="s">
        <v>1126</v>
      </c>
      <c r="H1047" s="7">
        <v>41260</v>
      </c>
      <c r="I1047" s="1">
        <f>Europe_Sales_Records[[#This Row],[Ship Date]]-Europe_Sales_Records[[#This Row],[Order Date]]</f>
        <v>12</v>
      </c>
      <c r="J1047" s="1">
        <v>1448</v>
      </c>
      <c r="K1047" s="1">
        <v>668.27</v>
      </c>
      <c r="L1047" s="1">
        <v>502.54</v>
      </c>
      <c r="M1047" s="1">
        <f>Europe_Sales_Records[[#This Row],[Unit Price]]-Europe_Sales_Records[[#This Row],[Unit Cost]]</f>
        <v>165.72999999999996</v>
      </c>
      <c r="N1047" s="1">
        <v>967654.96</v>
      </c>
      <c r="O1047" s="6">
        <v>727677.92</v>
      </c>
      <c r="P1047" s="1">
        <v>239977.04</v>
      </c>
    </row>
    <row r="1048" spans="1:16" x14ac:dyDescent="0.3">
      <c r="A1048" s="1" t="s">
        <v>14</v>
      </c>
      <c r="B1048" s="1" t="s">
        <v>56</v>
      </c>
      <c r="C1048" s="1" t="s">
        <v>48</v>
      </c>
      <c r="D1048" s="1" t="s">
        <v>22</v>
      </c>
      <c r="E1048" s="1" t="s">
        <v>23</v>
      </c>
      <c r="F1048" s="7">
        <v>41279</v>
      </c>
      <c r="G1048" s="1" t="s">
        <v>1127</v>
      </c>
      <c r="H1048" s="7">
        <v>41313</v>
      </c>
      <c r="I1048" s="1">
        <f>Europe_Sales_Records[[#This Row],[Ship Date]]-Europe_Sales_Records[[#This Row],[Order Date]]</f>
        <v>34</v>
      </c>
      <c r="J1048" s="1">
        <v>7846</v>
      </c>
      <c r="K1048" s="1">
        <v>152.58000000000001</v>
      </c>
      <c r="L1048" s="1">
        <v>97.44</v>
      </c>
      <c r="M1048" s="1">
        <f>Europe_Sales_Records[[#This Row],[Unit Price]]-Europe_Sales_Records[[#This Row],[Unit Cost]]</f>
        <v>55.140000000000015</v>
      </c>
      <c r="N1048" s="1">
        <v>1197142.68</v>
      </c>
      <c r="O1048" s="6">
        <v>764514.24</v>
      </c>
      <c r="P1048" s="1">
        <v>432628.44</v>
      </c>
    </row>
    <row r="1049" spans="1:16" x14ac:dyDescent="0.3">
      <c r="A1049" s="1" t="s">
        <v>14</v>
      </c>
      <c r="B1049" s="1" t="s">
        <v>116</v>
      </c>
      <c r="C1049" s="1" t="s">
        <v>26</v>
      </c>
      <c r="D1049" s="1" t="s">
        <v>17</v>
      </c>
      <c r="E1049" s="1" t="s">
        <v>30</v>
      </c>
      <c r="F1049" s="7">
        <v>40418</v>
      </c>
      <c r="G1049" s="1" t="s">
        <v>1128</v>
      </c>
      <c r="H1049" s="7">
        <v>40466</v>
      </c>
      <c r="I1049" s="1">
        <f>Europe_Sales_Records[[#This Row],[Ship Date]]-Europe_Sales_Records[[#This Row],[Order Date]]</f>
        <v>48</v>
      </c>
      <c r="J1049" s="1">
        <v>1462</v>
      </c>
      <c r="K1049" s="1">
        <v>205.7</v>
      </c>
      <c r="L1049" s="1">
        <v>117.11</v>
      </c>
      <c r="M1049" s="1">
        <f>Europe_Sales_Records[[#This Row],[Unit Price]]-Europe_Sales_Records[[#This Row],[Unit Cost]]</f>
        <v>88.589999999999989</v>
      </c>
      <c r="N1049" s="1">
        <v>300733.40000000002</v>
      </c>
      <c r="O1049" s="6">
        <v>171214.82</v>
      </c>
      <c r="P1049" s="1">
        <v>129518.58</v>
      </c>
    </row>
    <row r="1050" spans="1:16" x14ac:dyDescent="0.3">
      <c r="A1050" s="1" t="s">
        <v>14</v>
      </c>
      <c r="B1050" s="1" t="s">
        <v>32</v>
      </c>
      <c r="C1050" s="1" t="s">
        <v>26</v>
      </c>
      <c r="D1050" s="1" t="s">
        <v>22</v>
      </c>
      <c r="E1050" s="1" t="s">
        <v>18</v>
      </c>
      <c r="F1050" s="7">
        <v>41561</v>
      </c>
      <c r="G1050" s="1" t="s">
        <v>1129</v>
      </c>
      <c r="H1050" s="7">
        <v>41564</v>
      </c>
      <c r="I1050" s="1">
        <f>Europe_Sales_Records[[#This Row],[Ship Date]]-Europe_Sales_Records[[#This Row],[Order Date]]</f>
        <v>3</v>
      </c>
      <c r="J1050" s="1">
        <v>1504</v>
      </c>
      <c r="K1050" s="1">
        <v>205.7</v>
      </c>
      <c r="L1050" s="1">
        <v>117.11</v>
      </c>
      <c r="M1050" s="1">
        <f>Europe_Sales_Records[[#This Row],[Unit Price]]-Europe_Sales_Records[[#This Row],[Unit Cost]]</f>
        <v>88.589999999999989</v>
      </c>
      <c r="N1050" s="1">
        <v>309372.79999999999</v>
      </c>
      <c r="O1050" s="6">
        <v>176133.44</v>
      </c>
      <c r="P1050" s="1">
        <v>133239.35999999999</v>
      </c>
    </row>
    <row r="1051" spans="1:16" x14ac:dyDescent="0.3">
      <c r="A1051" s="1" t="s">
        <v>14</v>
      </c>
      <c r="B1051" s="1" t="s">
        <v>180</v>
      </c>
      <c r="C1051" s="1" t="s">
        <v>52</v>
      </c>
      <c r="D1051" s="1" t="s">
        <v>17</v>
      </c>
      <c r="E1051" s="1" t="s">
        <v>30</v>
      </c>
      <c r="F1051" s="7">
        <v>40378</v>
      </c>
      <c r="G1051" s="1" t="s">
        <v>1130</v>
      </c>
      <c r="H1051" s="7">
        <v>40388</v>
      </c>
      <c r="I1051" s="1">
        <f>Europe_Sales_Records[[#This Row],[Ship Date]]-Europe_Sales_Records[[#This Row],[Order Date]]</f>
        <v>10</v>
      </c>
      <c r="J1051" s="1">
        <v>3135</v>
      </c>
      <c r="K1051" s="1">
        <v>255.28</v>
      </c>
      <c r="L1051" s="1">
        <v>159.41999999999999</v>
      </c>
      <c r="M1051" s="1">
        <f>Europe_Sales_Records[[#This Row],[Unit Price]]-Europe_Sales_Records[[#This Row],[Unit Cost]]</f>
        <v>95.860000000000014</v>
      </c>
      <c r="N1051" s="1">
        <v>800302.8</v>
      </c>
      <c r="O1051" s="6">
        <v>499781.7</v>
      </c>
      <c r="P1051" s="1">
        <v>300521.09999999998</v>
      </c>
    </row>
    <row r="1052" spans="1:16" x14ac:dyDescent="0.3">
      <c r="A1052" s="1" t="s">
        <v>14</v>
      </c>
      <c r="B1052" s="1" t="s">
        <v>127</v>
      </c>
      <c r="C1052" s="1" t="s">
        <v>21</v>
      </c>
      <c r="D1052" s="1" t="s">
        <v>17</v>
      </c>
      <c r="E1052" s="1" t="s">
        <v>45</v>
      </c>
      <c r="F1052" s="7">
        <v>42583</v>
      </c>
      <c r="G1052" s="1" t="s">
        <v>1131</v>
      </c>
      <c r="H1052" s="7">
        <v>42626</v>
      </c>
      <c r="I1052" s="1">
        <f>Europe_Sales_Records[[#This Row],[Ship Date]]-Europe_Sales_Records[[#This Row],[Order Date]]</f>
        <v>43</v>
      </c>
      <c r="J1052" s="1">
        <v>9198</v>
      </c>
      <c r="K1052" s="1">
        <v>109.28</v>
      </c>
      <c r="L1052" s="1">
        <v>35.840000000000003</v>
      </c>
      <c r="M1052" s="1">
        <f>Europe_Sales_Records[[#This Row],[Unit Price]]-Europe_Sales_Records[[#This Row],[Unit Cost]]</f>
        <v>73.44</v>
      </c>
      <c r="N1052" s="1">
        <v>1005157.44</v>
      </c>
      <c r="O1052" s="6">
        <v>329656.32000000001</v>
      </c>
      <c r="P1052" s="1">
        <v>675501.12</v>
      </c>
    </row>
    <row r="1053" spans="1:16" x14ac:dyDescent="0.3">
      <c r="A1053" s="1" t="s">
        <v>14</v>
      </c>
      <c r="B1053" s="1" t="s">
        <v>150</v>
      </c>
      <c r="C1053" s="1" t="s">
        <v>52</v>
      </c>
      <c r="D1053" s="1" t="s">
        <v>22</v>
      </c>
      <c r="E1053" s="1" t="s">
        <v>45</v>
      </c>
      <c r="F1053" s="7">
        <v>40448</v>
      </c>
      <c r="G1053" s="1" t="s">
        <v>1132</v>
      </c>
      <c r="H1053" s="7">
        <v>40459</v>
      </c>
      <c r="I1053" s="1">
        <f>Europe_Sales_Records[[#This Row],[Ship Date]]-Europe_Sales_Records[[#This Row],[Order Date]]</f>
        <v>11</v>
      </c>
      <c r="J1053" s="1">
        <v>707</v>
      </c>
      <c r="K1053" s="1">
        <v>255.28</v>
      </c>
      <c r="L1053" s="1">
        <v>159.41999999999999</v>
      </c>
      <c r="M1053" s="1">
        <f>Europe_Sales_Records[[#This Row],[Unit Price]]-Europe_Sales_Records[[#This Row],[Unit Cost]]</f>
        <v>95.860000000000014</v>
      </c>
      <c r="N1053" s="1">
        <v>180482.96</v>
      </c>
      <c r="O1053" s="6">
        <v>112709.94</v>
      </c>
      <c r="P1053" s="1">
        <v>67773.02</v>
      </c>
    </row>
    <row r="1054" spans="1:16" x14ac:dyDescent="0.3">
      <c r="A1054" s="1" t="s">
        <v>14</v>
      </c>
      <c r="B1054" s="1" t="s">
        <v>25</v>
      </c>
      <c r="C1054" s="1" t="s">
        <v>60</v>
      </c>
      <c r="D1054" s="1" t="s">
        <v>17</v>
      </c>
      <c r="E1054" s="1" t="s">
        <v>30</v>
      </c>
      <c r="F1054" s="7">
        <v>40383</v>
      </c>
      <c r="G1054" s="1" t="s">
        <v>1133</v>
      </c>
      <c r="H1054" s="7">
        <v>40422</v>
      </c>
      <c r="I1054" s="1">
        <f>Europe_Sales_Records[[#This Row],[Ship Date]]-Europe_Sales_Records[[#This Row],[Order Date]]</f>
        <v>39</v>
      </c>
      <c r="J1054" s="1">
        <v>7604</v>
      </c>
      <c r="K1054" s="1">
        <v>437.2</v>
      </c>
      <c r="L1054" s="1">
        <v>263.33</v>
      </c>
      <c r="M1054" s="1">
        <f>Europe_Sales_Records[[#This Row],[Unit Price]]-Europe_Sales_Records[[#This Row],[Unit Cost]]</f>
        <v>173.87</v>
      </c>
      <c r="N1054" s="1">
        <v>3324468.8</v>
      </c>
      <c r="O1054" s="6">
        <v>2002361.32</v>
      </c>
      <c r="P1054" s="1">
        <v>1322107.48</v>
      </c>
    </row>
    <row r="1055" spans="1:16" x14ac:dyDescent="0.3">
      <c r="A1055" s="1" t="s">
        <v>14</v>
      </c>
      <c r="B1055" s="1" t="s">
        <v>152</v>
      </c>
      <c r="C1055" s="1" t="s">
        <v>21</v>
      </c>
      <c r="D1055" s="1" t="s">
        <v>17</v>
      </c>
      <c r="E1055" s="1" t="s">
        <v>18</v>
      </c>
      <c r="F1055" s="7">
        <v>40493</v>
      </c>
      <c r="G1055" s="1" t="s">
        <v>1134</v>
      </c>
      <c r="H1055" s="7">
        <v>40531</v>
      </c>
      <c r="I1055" s="1">
        <f>Europe_Sales_Records[[#This Row],[Ship Date]]-Europe_Sales_Records[[#This Row],[Order Date]]</f>
        <v>38</v>
      </c>
      <c r="J1055" s="1">
        <v>1004</v>
      </c>
      <c r="K1055" s="1">
        <v>109.28</v>
      </c>
      <c r="L1055" s="1">
        <v>35.840000000000003</v>
      </c>
      <c r="M1055" s="1">
        <f>Europe_Sales_Records[[#This Row],[Unit Price]]-Europe_Sales_Records[[#This Row],[Unit Cost]]</f>
        <v>73.44</v>
      </c>
      <c r="N1055" s="1">
        <v>109717.12</v>
      </c>
      <c r="O1055" s="6">
        <v>35983.360000000001</v>
      </c>
      <c r="P1055" s="1">
        <v>73733.759999999995</v>
      </c>
    </row>
    <row r="1056" spans="1:16" x14ac:dyDescent="0.3">
      <c r="A1056" s="1" t="s">
        <v>14</v>
      </c>
      <c r="B1056" s="1" t="s">
        <v>25</v>
      </c>
      <c r="C1056" s="1" t="s">
        <v>26</v>
      </c>
      <c r="D1056" s="1" t="s">
        <v>22</v>
      </c>
      <c r="E1056" s="1" t="s">
        <v>45</v>
      </c>
      <c r="F1056" s="7">
        <v>42362</v>
      </c>
      <c r="G1056" s="1" t="s">
        <v>1135</v>
      </c>
      <c r="H1056" s="7">
        <v>42402</v>
      </c>
      <c r="I1056" s="1">
        <f>Europe_Sales_Records[[#This Row],[Ship Date]]-Europe_Sales_Records[[#This Row],[Order Date]]</f>
        <v>40</v>
      </c>
      <c r="J1056" s="1">
        <v>8609</v>
      </c>
      <c r="K1056" s="1">
        <v>205.7</v>
      </c>
      <c r="L1056" s="1">
        <v>117.11</v>
      </c>
      <c r="M1056" s="1">
        <f>Europe_Sales_Records[[#This Row],[Unit Price]]-Europe_Sales_Records[[#This Row],[Unit Cost]]</f>
        <v>88.589999999999989</v>
      </c>
      <c r="N1056" s="1">
        <v>1770871.3</v>
      </c>
      <c r="O1056" s="6">
        <v>1008199.99</v>
      </c>
      <c r="P1056" s="1">
        <v>762671.31</v>
      </c>
    </row>
    <row r="1057" spans="1:16" x14ac:dyDescent="0.3">
      <c r="A1057" s="1" t="s">
        <v>14</v>
      </c>
      <c r="B1057" s="1" t="s">
        <v>32</v>
      </c>
      <c r="C1057" s="1" t="s">
        <v>48</v>
      </c>
      <c r="D1057" s="1" t="s">
        <v>22</v>
      </c>
      <c r="E1057" s="1" t="s">
        <v>30</v>
      </c>
      <c r="F1057" s="7">
        <v>42207</v>
      </c>
      <c r="G1057" s="1" t="s">
        <v>1136</v>
      </c>
      <c r="H1057" s="7">
        <v>42210</v>
      </c>
      <c r="I1057" s="1">
        <f>Europe_Sales_Records[[#This Row],[Ship Date]]-Europe_Sales_Records[[#This Row],[Order Date]]</f>
        <v>3</v>
      </c>
      <c r="J1057" s="1">
        <v>3488</v>
      </c>
      <c r="K1057" s="1">
        <v>152.58000000000001</v>
      </c>
      <c r="L1057" s="1">
        <v>97.44</v>
      </c>
      <c r="M1057" s="1">
        <f>Europe_Sales_Records[[#This Row],[Unit Price]]-Europe_Sales_Records[[#This Row],[Unit Cost]]</f>
        <v>55.140000000000015</v>
      </c>
      <c r="N1057" s="1">
        <v>532199.04</v>
      </c>
      <c r="O1057" s="6">
        <v>339870.71999999997</v>
      </c>
      <c r="P1057" s="1">
        <v>192328.32000000001</v>
      </c>
    </row>
    <row r="1058" spans="1:16" x14ac:dyDescent="0.3">
      <c r="A1058" s="1" t="s">
        <v>14</v>
      </c>
      <c r="B1058" s="1" t="s">
        <v>129</v>
      </c>
      <c r="C1058" s="1" t="s">
        <v>29</v>
      </c>
      <c r="D1058" s="1" t="s">
        <v>17</v>
      </c>
      <c r="E1058" s="1" t="s">
        <v>23</v>
      </c>
      <c r="F1058" s="7">
        <v>41366</v>
      </c>
      <c r="G1058" s="1" t="s">
        <v>1137</v>
      </c>
      <c r="H1058" s="7">
        <v>41403</v>
      </c>
      <c r="I1058" s="1">
        <f>Europe_Sales_Records[[#This Row],[Ship Date]]-Europe_Sales_Records[[#This Row],[Order Date]]</f>
        <v>37</v>
      </c>
      <c r="J1058" s="1">
        <v>2197</v>
      </c>
      <c r="K1058" s="1">
        <v>651.21</v>
      </c>
      <c r="L1058" s="1">
        <v>524.96</v>
      </c>
      <c r="M1058" s="1">
        <f>Europe_Sales_Records[[#This Row],[Unit Price]]-Europe_Sales_Records[[#This Row],[Unit Cost]]</f>
        <v>126.25</v>
      </c>
      <c r="N1058" s="1">
        <v>1430708.37</v>
      </c>
      <c r="O1058" s="6">
        <v>1153337.1200000001</v>
      </c>
      <c r="P1058" s="1">
        <v>277371.25</v>
      </c>
    </row>
    <row r="1059" spans="1:16" x14ac:dyDescent="0.3">
      <c r="A1059" s="1" t="s">
        <v>14</v>
      </c>
      <c r="B1059" s="1" t="s">
        <v>176</v>
      </c>
      <c r="C1059" s="1" t="s">
        <v>21</v>
      </c>
      <c r="D1059" s="1" t="s">
        <v>22</v>
      </c>
      <c r="E1059" s="1" t="s">
        <v>45</v>
      </c>
      <c r="F1059" s="7">
        <v>42573</v>
      </c>
      <c r="G1059" s="1" t="s">
        <v>1138</v>
      </c>
      <c r="H1059" s="7">
        <v>42608</v>
      </c>
      <c r="I1059" s="1">
        <f>Europe_Sales_Records[[#This Row],[Ship Date]]-Europe_Sales_Records[[#This Row],[Order Date]]</f>
        <v>35</v>
      </c>
      <c r="J1059" s="1">
        <v>7902</v>
      </c>
      <c r="K1059" s="1">
        <v>109.28</v>
      </c>
      <c r="L1059" s="1">
        <v>35.840000000000003</v>
      </c>
      <c r="M1059" s="1">
        <f>Europe_Sales_Records[[#This Row],[Unit Price]]-Europe_Sales_Records[[#This Row],[Unit Cost]]</f>
        <v>73.44</v>
      </c>
      <c r="N1059" s="1">
        <v>863530.56</v>
      </c>
      <c r="O1059" s="6">
        <v>283207.67999999999</v>
      </c>
      <c r="P1059" s="1">
        <v>580322.88</v>
      </c>
    </row>
    <row r="1060" spans="1:16" x14ac:dyDescent="0.3">
      <c r="A1060" s="1" t="s">
        <v>14</v>
      </c>
      <c r="B1060" s="1" t="s">
        <v>50</v>
      </c>
      <c r="C1060" s="1" t="s">
        <v>52</v>
      </c>
      <c r="D1060" s="1" t="s">
        <v>17</v>
      </c>
      <c r="E1060" s="1" t="s">
        <v>23</v>
      </c>
      <c r="F1060" s="7">
        <v>42524</v>
      </c>
      <c r="G1060" s="1" t="s">
        <v>1139</v>
      </c>
      <c r="H1060" s="7">
        <v>42532</v>
      </c>
      <c r="I1060" s="1">
        <f>Europe_Sales_Records[[#This Row],[Ship Date]]-Europe_Sales_Records[[#This Row],[Order Date]]</f>
        <v>8</v>
      </c>
      <c r="J1060" s="1">
        <v>2004</v>
      </c>
      <c r="K1060" s="1">
        <v>255.28</v>
      </c>
      <c r="L1060" s="1">
        <v>159.41999999999999</v>
      </c>
      <c r="M1060" s="1">
        <f>Europe_Sales_Records[[#This Row],[Unit Price]]-Europe_Sales_Records[[#This Row],[Unit Cost]]</f>
        <v>95.860000000000014</v>
      </c>
      <c r="N1060" s="1">
        <v>511581.12</v>
      </c>
      <c r="O1060" s="6">
        <v>319477.68</v>
      </c>
      <c r="P1060" s="1">
        <v>192103.44</v>
      </c>
    </row>
    <row r="1061" spans="1:16" x14ac:dyDescent="0.3">
      <c r="A1061" s="1" t="s">
        <v>14</v>
      </c>
      <c r="B1061" s="1" t="s">
        <v>157</v>
      </c>
      <c r="C1061" s="1" t="s">
        <v>60</v>
      </c>
      <c r="D1061" s="1" t="s">
        <v>17</v>
      </c>
      <c r="E1061" s="1" t="s">
        <v>23</v>
      </c>
      <c r="F1061" s="7">
        <v>40954</v>
      </c>
      <c r="G1061" s="1" t="s">
        <v>1140</v>
      </c>
      <c r="H1061" s="7">
        <v>40958</v>
      </c>
      <c r="I1061" s="1">
        <f>Europe_Sales_Records[[#This Row],[Ship Date]]-Europe_Sales_Records[[#This Row],[Order Date]]</f>
        <v>4</v>
      </c>
      <c r="J1061" s="1">
        <v>6267</v>
      </c>
      <c r="K1061" s="1">
        <v>437.2</v>
      </c>
      <c r="L1061" s="1">
        <v>263.33</v>
      </c>
      <c r="M1061" s="1">
        <f>Europe_Sales_Records[[#This Row],[Unit Price]]-Europe_Sales_Records[[#This Row],[Unit Cost]]</f>
        <v>173.87</v>
      </c>
      <c r="N1061" s="1">
        <v>2739932.4</v>
      </c>
      <c r="O1061" s="6">
        <v>1650289.11</v>
      </c>
      <c r="P1061" s="1">
        <v>1089643.29</v>
      </c>
    </row>
    <row r="1062" spans="1:16" x14ac:dyDescent="0.3">
      <c r="A1062" s="1" t="s">
        <v>14</v>
      </c>
      <c r="B1062" s="1" t="s">
        <v>54</v>
      </c>
      <c r="C1062" s="1" t="s">
        <v>79</v>
      </c>
      <c r="D1062" s="1" t="s">
        <v>17</v>
      </c>
      <c r="E1062" s="1" t="s">
        <v>45</v>
      </c>
      <c r="F1062" s="7">
        <v>40306</v>
      </c>
      <c r="G1062" s="1" t="s">
        <v>1141</v>
      </c>
      <c r="H1062" s="7">
        <v>40332</v>
      </c>
      <c r="I1062" s="1">
        <f>Europe_Sales_Records[[#This Row],[Ship Date]]-Europe_Sales_Records[[#This Row],[Order Date]]</f>
        <v>26</v>
      </c>
      <c r="J1062" s="1">
        <v>3045</v>
      </c>
      <c r="K1062" s="1">
        <v>81.73</v>
      </c>
      <c r="L1062" s="1">
        <v>56.67</v>
      </c>
      <c r="M1062" s="1">
        <f>Europe_Sales_Records[[#This Row],[Unit Price]]-Europe_Sales_Records[[#This Row],[Unit Cost]]</f>
        <v>25.060000000000002</v>
      </c>
      <c r="N1062" s="1">
        <v>248867.85</v>
      </c>
      <c r="O1062" s="6">
        <v>172560.15</v>
      </c>
      <c r="P1062" s="1">
        <v>76307.7</v>
      </c>
    </row>
    <row r="1063" spans="1:16" x14ac:dyDescent="0.3">
      <c r="A1063" s="1" t="s">
        <v>14</v>
      </c>
      <c r="B1063" s="1" t="s">
        <v>99</v>
      </c>
      <c r="C1063" s="1" t="s">
        <v>33</v>
      </c>
      <c r="D1063" s="1" t="s">
        <v>17</v>
      </c>
      <c r="E1063" s="1" t="s">
        <v>45</v>
      </c>
      <c r="F1063" s="7">
        <v>41643</v>
      </c>
      <c r="G1063" s="1" t="s">
        <v>1142</v>
      </c>
      <c r="H1063" s="7">
        <v>41645</v>
      </c>
      <c r="I1063" s="1">
        <f>Europe_Sales_Records[[#This Row],[Ship Date]]-Europe_Sales_Records[[#This Row],[Order Date]]</f>
        <v>2</v>
      </c>
      <c r="J1063" s="1">
        <v>1456</v>
      </c>
      <c r="K1063" s="1">
        <v>9.33</v>
      </c>
      <c r="L1063" s="1">
        <v>6.92</v>
      </c>
      <c r="M1063" s="1">
        <f>Europe_Sales_Records[[#This Row],[Unit Price]]-Europe_Sales_Records[[#This Row],[Unit Cost]]</f>
        <v>2.41</v>
      </c>
      <c r="N1063" s="1">
        <v>13584.48</v>
      </c>
      <c r="O1063" s="6">
        <v>10075.52</v>
      </c>
      <c r="P1063" s="1">
        <v>3508.96</v>
      </c>
    </row>
    <row r="1064" spans="1:16" x14ac:dyDescent="0.3">
      <c r="A1064" s="1" t="s">
        <v>14</v>
      </c>
      <c r="B1064" s="1" t="s">
        <v>50</v>
      </c>
      <c r="C1064" s="1" t="s">
        <v>21</v>
      </c>
      <c r="D1064" s="1" t="s">
        <v>22</v>
      </c>
      <c r="E1064" s="1" t="s">
        <v>18</v>
      </c>
      <c r="F1064" s="7">
        <v>40846</v>
      </c>
      <c r="G1064" s="1" t="s">
        <v>1143</v>
      </c>
      <c r="H1064" s="7">
        <v>40877</v>
      </c>
      <c r="I1064" s="1">
        <f>Europe_Sales_Records[[#This Row],[Ship Date]]-Europe_Sales_Records[[#This Row],[Order Date]]</f>
        <v>31</v>
      </c>
      <c r="J1064" s="1">
        <v>7098</v>
      </c>
      <c r="K1064" s="1">
        <v>109.28</v>
      </c>
      <c r="L1064" s="1">
        <v>35.840000000000003</v>
      </c>
      <c r="M1064" s="1">
        <f>Europe_Sales_Records[[#This Row],[Unit Price]]-Europe_Sales_Records[[#This Row],[Unit Cost]]</f>
        <v>73.44</v>
      </c>
      <c r="N1064" s="1">
        <v>775669.44</v>
      </c>
      <c r="O1064" s="6">
        <v>254392.32000000001</v>
      </c>
      <c r="P1064" s="1">
        <v>521277.12</v>
      </c>
    </row>
    <row r="1065" spans="1:16" x14ac:dyDescent="0.3">
      <c r="A1065" s="1" t="s">
        <v>14</v>
      </c>
      <c r="B1065" s="1" t="s">
        <v>176</v>
      </c>
      <c r="C1065" s="1" t="s">
        <v>39</v>
      </c>
      <c r="D1065" s="1" t="s">
        <v>22</v>
      </c>
      <c r="E1065" s="1" t="s">
        <v>18</v>
      </c>
      <c r="F1065" s="7">
        <v>42594</v>
      </c>
      <c r="G1065" s="1" t="s">
        <v>1144</v>
      </c>
      <c r="H1065" s="7">
        <v>42598</v>
      </c>
      <c r="I1065" s="1">
        <f>Europe_Sales_Records[[#This Row],[Ship Date]]-Europe_Sales_Records[[#This Row],[Order Date]]</f>
        <v>4</v>
      </c>
      <c r="J1065" s="1">
        <v>1220</v>
      </c>
      <c r="K1065" s="1">
        <v>154.06</v>
      </c>
      <c r="L1065" s="1">
        <v>90.93</v>
      </c>
      <c r="M1065" s="1">
        <f>Europe_Sales_Records[[#This Row],[Unit Price]]-Europe_Sales_Records[[#This Row],[Unit Cost]]</f>
        <v>63.129999999999995</v>
      </c>
      <c r="N1065" s="1">
        <v>187953.2</v>
      </c>
      <c r="O1065" s="6">
        <v>110934.6</v>
      </c>
      <c r="P1065" s="1">
        <v>77018.600000000006</v>
      </c>
    </row>
    <row r="1066" spans="1:16" x14ac:dyDescent="0.3">
      <c r="A1066" s="1" t="s">
        <v>14</v>
      </c>
      <c r="B1066" s="1" t="s">
        <v>120</v>
      </c>
      <c r="C1066" s="1" t="s">
        <v>52</v>
      </c>
      <c r="D1066" s="1" t="s">
        <v>17</v>
      </c>
      <c r="E1066" s="1" t="s">
        <v>45</v>
      </c>
      <c r="F1066" s="7">
        <v>40631</v>
      </c>
      <c r="G1066" s="1" t="s">
        <v>1145</v>
      </c>
      <c r="H1066" s="7">
        <v>40636</v>
      </c>
      <c r="I1066" s="1">
        <f>Europe_Sales_Records[[#This Row],[Ship Date]]-Europe_Sales_Records[[#This Row],[Order Date]]</f>
        <v>5</v>
      </c>
      <c r="J1066" s="1">
        <v>4486</v>
      </c>
      <c r="K1066" s="1">
        <v>255.28</v>
      </c>
      <c r="L1066" s="1">
        <v>159.41999999999999</v>
      </c>
      <c r="M1066" s="1">
        <f>Europe_Sales_Records[[#This Row],[Unit Price]]-Europe_Sales_Records[[#This Row],[Unit Cost]]</f>
        <v>95.860000000000014</v>
      </c>
      <c r="N1066" s="1">
        <v>1145186.08</v>
      </c>
      <c r="O1066" s="6">
        <v>715158.12</v>
      </c>
      <c r="P1066" s="1">
        <v>430027.96</v>
      </c>
    </row>
    <row r="1067" spans="1:16" x14ac:dyDescent="0.3">
      <c r="A1067" s="1" t="s">
        <v>14</v>
      </c>
      <c r="B1067" s="1" t="s">
        <v>103</v>
      </c>
      <c r="C1067" s="1" t="s">
        <v>21</v>
      </c>
      <c r="D1067" s="1" t="s">
        <v>17</v>
      </c>
      <c r="E1067" s="1" t="s">
        <v>18</v>
      </c>
      <c r="F1067" s="7">
        <v>42385</v>
      </c>
      <c r="G1067" s="1" t="s">
        <v>1146</v>
      </c>
      <c r="H1067" s="7">
        <v>42434</v>
      </c>
      <c r="I1067" s="1">
        <f>Europe_Sales_Records[[#This Row],[Ship Date]]-Europe_Sales_Records[[#This Row],[Order Date]]</f>
        <v>49</v>
      </c>
      <c r="J1067" s="1">
        <v>8586</v>
      </c>
      <c r="K1067" s="1">
        <v>109.28</v>
      </c>
      <c r="L1067" s="1">
        <v>35.840000000000003</v>
      </c>
      <c r="M1067" s="1">
        <f>Europe_Sales_Records[[#This Row],[Unit Price]]-Europe_Sales_Records[[#This Row],[Unit Cost]]</f>
        <v>73.44</v>
      </c>
      <c r="N1067" s="1">
        <v>938278.08</v>
      </c>
      <c r="O1067" s="6">
        <v>307722.23999999999</v>
      </c>
      <c r="P1067" s="1">
        <v>630555.84</v>
      </c>
    </row>
    <row r="1068" spans="1:16" x14ac:dyDescent="0.3">
      <c r="A1068" s="1" t="s">
        <v>14</v>
      </c>
      <c r="B1068" s="1" t="s">
        <v>56</v>
      </c>
      <c r="C1068" s="1" t="s">
        <v>29</v>
      </c>
      <c r="D1068" s="1" t="s">
        <v>17</v>
      </c>
      <c r="E1068" s="1" t="s">
        <v>23</v>
      </c>
      <c r="F1068" s="7">
        <v>41348</v>
      </c>
      <c r="G1068" s="1" t="s">
        <v>1147</v>
      </c>
      <c r="H1068" s="7">
        <v>41364</v>
      </c>
      <c r="I1068" s="1">
        <f>Europe_Sales_Records[[#This Row],[Ship Date]]-Europe_Sales_Records[[#This Row],[Order Date]]</f>
        <v>16</v>
      </c>
      <c r="J1068" s="1">
        <v>9766</v>
      </c>
      <c r="K1068" s="1">
        <v>651.21</v>
      </c>
      <c r="L1068" s="1">
        <v>524.96</v>
      </c>
      <c r="M1068" s="1">
        <f>Europe_Sales_Records[[#This Row],[Unit Price]]-Europe_Sales_Records[[#This Row],[Unit Cost]]</f>
        <v>126.25</v>
      </c>
      <c r="N1068" s="1">
        <v>6359716.8600000003</v>
      </c>
      <c r="O1068" s="6">
        <v>5126759.3600000003</v>
      </c>
      <c r="P1068" s="1">
        <v>1232957.5</v>
      </c>
    </row>
    <row r="1069" spans="1:16" x14ac:dyDescent="0.3">
      <c r="A1069" s="1" t="s">
        <v>14</v>
      </c>
      <c r="B1069" s="1" t="s">
        <v>120</v>
      </c>
      <c r="C1069" s="1" t="s">
        <v>33</v>
      </c>
      <c r="D1069" s="1" t="s">
        <v>22</v>
      </c>
      <c r="E1069" s="1" t="s">
        <v>30</v>
      </c>
      <c r="F1069" s="7">
        <v>42471</v>
      </c>
      <c r="G1069" s="1" t="s">
        <v>1148</v>
      </c>
      <c r="H1069" s="7">
        <v>42497</v>
      </c>
      <c r="I1069" s="1">
        <f>Europe_Sales_Records[[#This Row],[Ship Date]]-Europe_Sales_Records[[#This Row],[Order Date]]</f>
        <v>26</v>
      </c>
      <c r="J1069" s="1">
        <v>6210</v>
      </c>
      <c r="K1069" s="1">
        <v>9.33</v>
      </c>
      <c r="L1069" s="1">
        <v>6.92</v>
      </c>
      <c r="M1069" s="1">
        <f>Europe_Sales_Records[[#This Row],[Unit Price]]-Europe_Sales_Records[[#This Row],[Unit Cost]]</f>
        <v>2.41</v>
      </c>
      <c r="N1069" s="1">
        <v>57939.3</v>
      </c>
      <c r="O1069" s="6">
        <v>42973.2</v>
      </c>
      <c r="P1069" s="1">
        <v>14966.1</v>
      </c>
    </row>
    <row r="1070" spans="1:16" x14ac:dyDescent="0.3">
      <c r="A1070" s="1" t="s">
        <v>14</v>
      </c>
      <c r="B1070" s="1" t="s">
        <v>120</v>
      </c>
      <c r="C1070" s="1" t="s">
        <v>48</v>
      </c>
      <c r="D1070" s="1" t="s">
        <v>22</v>
      </c>
      <c r="E1070" s="1" t="s">
        <v>23</v>
      </c>
      <c r="F1070" s="7">
        <v>41057</v>
      </c>
      <c r="G1070" s="1" t="s">
        <v>1149</v>
      </c>
      <c r="H1070" s="7">
        <v>41100</v>
      </c>
      <c r="I1070" s="1">
        <f>Europe_Sales_Records[[#This Row],[Ship Date]]-Europe_Sales_Records[[#This Row],[Order Date]]</f>
        <v>43</v>
      </c>
      <c r="J1070" s="1">
        <v>4316</v>
      </c>
      <c r="K1070" s="1">
        <v>152.58000000000001</v>
      </c>
      <c r="L1070" s="1">
        <v>97.44</v>
      </c>
      <c r="M1070" s="1">
        <f>Europe_Sales_Records[[#This Row],[Unit Price]]-Europe_Sales_Records[[#This Row],[Unit Cost]]</f>
        <v>55.140000000000015</v>
      </c>
      <c r="N1070" s="1">
        <v>658535.28</v>
      </c>
      <c r="O1070" s="6">
        <v>420551.04</v>
      </c>
      <c r="P1070" s="1">
        <v>237984.24</v>
      </c>
    </row>
    <row r="1071" spans="1:16" x14ac:dyDescent="0.3">
      <c r="A1071" s="1" t="s">
        <v>14</v>
      </c>
      <c r="B1071" s="1" t="s">
        <v>81</v>
      </c>
      <c r="C1071" s="1" t="s">
        <v>29</v>
      </c>
      <c r="D1071" s="1" t="s">
        <v>17</v>
      </c>
      <c r="E1071" s="1" t="s">
        <v>30</v>
      </c>
      <c r="F1071" s="7">
        <v>41402</v>
      </c>
      <c r="G1071" s="1" t="s">
        <v>1150</v>
      </c>
      <c r="H1071" s="7">
        <v>41406</v>
      </c>
      <c r="I1071" s="1">
        <f>Europe_Sales_Records[[#This Row],[Ship Date]]-Europe_Sales_Records[[#This Row],[Order Date]]</f>
        <v>4</v>
      </c>
      <c r="J1071" s="1">
        <v>3636</v>
      </c>
      <c r="K1071" s="1">
        <v>651.21</v>
      </c>
      <c r="L1071" s="1">
        <v>524.96</v>
      </c>
      <c r="M1071" s="1">
        <f>Europe_Sales_Records[[#This Row],[Unit Price]]-Europe_Sales_Records[[#This Row],[Unit Cost]]</f>
        <v>126.25</v>
      </c>
      <c r="N1071" s="1">
        <v>2367799.56</v>
      </c>
      <c r="O1071" s="6">
        <v>1908754.56</v>
      </c>
      <c r="P1071" s="1">
        <v>459045</v>
      </c>
    </row>
    <row r="1072" spans="1:16" x14ac:dyDescent="0.3">
      <c r="A1072" s="1" t="s">
        <v>14</v>
      </c>
      <c r="B1072" s="1" t="s">
        <v>219</v>
      </c>
      <c r="C1072" s="1" t="s">
        <v>42</v>
      </c>
      <c r="D1072" s="1" t="s">
        <v>22</v>
      </c>
      <c r="E1072" s="1" t="s">
        <v>45</v>
      </c>
      <c r="F1072" s="7">
        <v>42877</v>
      </c>
      <c r="G1072" s="1" t="s">
        <v>1151</v>
      </c>
      <c r="H1072" s="7">
        <v>42880</v>
      </c>
      <c r="I1072" s="1">
        <f>Europe_Sales_Records[[#This Row],[Ship Date]]-Europe_Sales_Records[[#This Row],[Order Date]]</f>
        <v>3</v>
      </c>
      <c r="J1072" s="1">
        <v>1097</v>
      </c>
      <c r="K1072" s="1">
        <v>421.89</v>
      </c>
      <c r="L1072" s="1">
        <v>364.69</v>
      </c>
      <c r="M1072" s="1">
        <f>Europe_Sales_Records[[#This Row],[Unit Price]]-Europe_Sales_Records[[#This Row],[Unit Cost]]</f>
        <v>57.199999999999989</v>
      </c>
      <c r="N1072" s="1">
        <v>462813.33</v>
      </c>
      <c r="O1072" s="6">
        <v>400064.93</v>
      </c>
      <c r="P1072" s="1">
        <v>62748.4</v>
      </c>
    </row>
    <row r="1073" spans="1:16" x14ac:dyDescent="0.3">
      <c r="A1073" s="1" t="s">
        <v>14</v>
      </c>
      <c r="B1073" s="1" t="s">
        <v>59</v>
      </c>
      <c r="C1073" s="1" t="s">
        <v>60</v>
      </c>
      <c r="D1073" s="1" t="s">
        <v>22</v>
      </c>
      <c r="E1073" s="1" t="s">
        <v>45</v>
      </c>
      <c r="F1073" s="7">
        <v>40937</v>
      </c>
      <c r="G1073" s="1" t="s">
        <v>1152</v>
      </c>
      <c r="H1073" s="7">
        <v>40974</v>
      </c>
      <c r="I1073" s="1">
        <f>Europe_Sales_Records[[#This Row],[Ship Date]]-Europe_Sales_Records[[#This Row],[Order Date]]</f>
        <v>37</v>
      </c>
      <c r="J1073" s="1">
        <v>9053</v>
      </c>
      <c r="K1073" s="1">
        <v>437.2</v>
      </c>
      <c r="L1073" s="1">
        <v>263.33</v>
      </c>
      <c r="M1073" s="1">
        <f>Europe_Sales_Records[[#This Row],[Unit Price]]-Europe_Sales_Records[[#This Row],[Unit Cost]]</f>
        <v>173.87</v>
      </c>
      <c r="N1073" s="1">
        <v>3957971.6</v>
      </c>
      <c r="O1073" s="6">
        <v>2383926.4900000002</v>
      </c>
      <c r="P1073" s="1">
        <v>1574045.11</v>
      </c>
    </row>
    <row r="1074" spans="1:16" x14ac:dyDescent="0.3">
      <c r="A1074" s="1" t="s">
        <v>14</v>
      </c>
      <c r="B1074" s="1" t="s">
        <v>97</v>
      </c>
      <c r="C1074" s="1" t="s">
        <v>33</v>
      </c>
      <c r="D1074" s="1" t="s">
        <v>22</v>
      </c>
      <c r="E1074" s="1" t="s">
        <v>30</v>
      </c>
      <c r="F1074" s="7">
        <v>40782</v>
      </c>
      <c r="G1074" s="1" t="s">
        <v>1153</v>
      </c>
      <c r="H1074" s="7">
        <v>40804</v>
      </c>
      <c r="I1074" s="1">
        <f>Europe_Sales_Records[[#This Row],[Ship Date]]-Europe_Sales_Records[[#This Row],[Order Date]]</f>
        <v>22</v>
      </c>
      <c r="J1074" s="1">
        <v>4219</v>
      </c>
      <c r="K1074" s="1">
        <v>9.33</v>
      </c>
      <c r="L1074" s="1">
        <v>6.92</v>
      </c>
      <c r="M1074" s="1">
        <f>Europe_Sales_Records[[#This Row],[Unit Price]]-Europe_Sales_Records[[#This Row],[Unit Cost]]</f>
        <v>2.41</v>
      </c>
      <c r="N1074" s="1">
        <v>39363.269999999997</v>
      </c>
      <c r="O1074" s="6">
        <v>29195.48</v>
      </c>
      <c r="P1074" s="1">
        <v>10167.790000000001</v>
      </c>
    </row>
    <row r="1075" spans="1:16" x14ac:dyDescent="0.3">
      <c r="A1075" s="1" t="s">
        <v>14</v>
      </c>
      <c r="B1075" s="1" t="s">
        <v>106</v>
      </c>
      <c r="C1075" s="1" t="s">
        <v>16</v>
      </c>
      <c r="D1075" s="1" t="s">
        <v>17</v>
      </c>
      <c r="E1075" s="1" t="s">
        <v>45</v>
      </c>
      <c r="F1075" s="7">
        <v>41442</v>
      </c>
      <c r="G1075" s="1" t="s">
        <v>1154</v>
      </c>
      <c r="H1075" s="7">
        <v>41458</v>
      </c>
      <c r="I1075" s="1">
        <f>Europe_Sales_Records[[#This Row],[Ship Date]]-Europe_Sales_Records[[#This Row],[Order Date]]</f>
        <v>16</v>
      </c>
      <c r="J1075" s="1">
        <v>4958</v>
      </c>
      <c r="K1075" s="1">
        <v>47.45</v>
      </c>
      <c r="L1075" s="1">
        <v>31.79</v>
      </c>
      <c r="M1075" s="1">
        <f>Europe_Sales_Records[[#This Row],[Unit Price]]-Europe_Sales_Records[[#This Row],[Unit Cost]]</f>
        <v>15.660000000000004</v>
      </c>
      <c r="N1075" s="1">
        <v>235257.1</v>
      </c>
      <c r="O1075" s="6">
        <v>157614.82</v>
      </c>
      <c r="P1075" s="1">
        <v>77642.28</v>
      </c>
    </row>
    <row r="1076" spans="1:16" x14ac:dyDescent="0.3">
      <c r="A1076" s="1" t="s">
        <v>14</v>
      </c>
      <c r="B1076" s="1" t="s">
        <v>73</v>
      </c>
      <c r="C1076" s="1" t="s">
        <v>21</v>
      </c>
      <c r="D1076" s="1" t="s">
        <v>22</v>
      </c>
      <c r="E1076" s="1" t="s">
        <v>23</v>
      </c>
      <c r="F1076" s="7">
        <v>42687</v>
      </c>
      <c r="G1076" s="1" t="s">
        <v>1155</v>
      </c>
      <c r="H1076" s="7">
        <v>42698</v>
      </c>
      <c r="I1076" s="1">
        <f>Europe_Sales_Records[[#This Row],[Ship Date]]-Europe_Sales_Records[[#This Row],[Order Date]]</f>
        <v>11</v>
      </c>
      <c r="J1076" s="1">
        <v>123</v>
      </c>
      <c r="K1076" s="1">
        <v>109.28</v>
      </c>
      <c r="L1076" s="1">
        <v>35.840000000000003</v>
      </c>
      <c r="M1076" s="1">
        <f>Europe_Sales_Records[[#This Row],[Unit Price]]-Europe_Sales_Records[[#This Row],[Unit Cost]]</f>
        <v>73.44</v>
      </c>
      <c r="N1076" s="1">
        <v>13441.44</v>
      </c>
      <c r="O1076" s="6">
        <v>4408.32</v>
      </c>
      <c r="P1076" s="1">
        <v>9033.1200000000008</v>
      </c>
    </row>
    <row r="1077" spans="1:16" x14ac:dyDescent="0.3">
      <c r="A1077" s="1" t="s">
        <v>14</v>
      </c>
      <c r="B1077" s="1" t="s">
        <v>219</v>
      </c>
      <c r="C1077" s="1" t="s">
        <v>16</v>
      </c>
      <c r="D1077" s="1" t="s">
        <v>22</v>
      </c>
      <c r="E1077" s="1" t="s">
        <v>45</v>
      </c>
      <c r="F1077" s="7">
        <v>42521</v>
      </c>
      <c r="G1077" s="1" t="s">
        <v>1156</v>
      </c>
      <c r="H1077" s="7">
        <v>42533</v>
      </c>
      <c r="I1077" s="1">
        <f>Europe_Sales_Records[[#This Row],[Ship Date]]-Europe_Sales_Records[[#This Row],[Order Date]]</f>
        <v>12</v>
      </c>
      <c r="J1077" s="1">
        <v>3548</v>
      </c>
      <c r="K1077" s="1">
        <v>47.45</v>
      </c>
      <c r="L1077" s="1">
        <v>31.79</v>
      </c>
      <c r="M1077" s="1">
        <f>Europe_Sales_Records[[#This Row],[Unit Price]]-Europe_Sales_Records[[#This Row],[Unit Cost]]</f>
        <v>15.660000000000004</v>
      </c>
      <c r="N1077" s="1">
        <v>168352.6</v>
      </c>
      <c r="O1077" s="6">
        <v>112790.92</v>
      </c>
      <c r="P1077" s="1">
        <v>55561.68</v>
      </c>
    </row>
    <row r="1078" spans="1:16" x14ac:dyDescent="0.3">
      <c r="A1078" s="1" t="s">
        <v>14</v>
      </c>
      <c r="B1078" s="1" t="s">
        <v>35</v>
      </c>
      <c r="C1078" s="1" t="s">
        <v>16</v>
      </c>
      <c r="D1078" s="1" t="s">
        <v>17</v>
      </c>
      <c r="E1078" s="1" t="s">
        <v>18</v>
      </c>
      <c r="F1078" s="7">
        <v>42588</v>
      </c>
      <c r="G1078" s="1" t="s">
        <v>1157</v>
      </c>
      <c r="H1078" s="7">
        <v>42617</v>
      </c>
      <c r="I1078" s="1">
        <f>Europe_Sales_Records[[#This Row],[Ship Date]]-Europe_Sales_Records[[#This Row],[Order Date]]</f>
        <v>29</v>
      </c>
      <c r="J1078" s="1">
        <v>8739</v>
      </c>
      <c r="K1078" s="1">
        <v>47.45</v>
      </c>
      <c r="L1078" s="1">
        <v>31.79</v>
      </c>
      <c r="M1078" s="1">
        <f>Europe_Sales_Records[[#This Row],[Unit Price]]-Europe_Sales_Records[[#This Row],[Unit Cost]]</f>
        <v>15.660000000000004</v>
      </c>
      <c r="N1078" s="1">
        <v>414665.55</v>
      </c>
      <c r="O1078" s="6">
        <v>277812.81</v>
      </c>
      <c r="P1078" s="1">
        <v>136852.74</v>
      </c>
    </row>
    <row r="1079" spans="1:16" x14ac:dyDescent="0.3">
      <c r="A1079" s="1" t="s">
        <v>14</v>
      </c>
      <c r="B1079" s="1" t="s">
        <v>15</v>
      </c>
      <c r="C1079" s="1" t="s">
        <v>57</v>
      </c>
      <c r="D1079" s="1" t="s">
        <v>17</v>
      </c>
      <c r="E1079" s="1" t="s">
        <v>45</v>
      </c>
      <c r="F1079" s="7">
        <v>41949</v>
      </c>
      <c r="G1079" s="1" t="s">
        <v>1158</v>
      </c>
      <c r="H1079" s="7">
        <v>41984</v>
      </c>
      <c r="I1079" s="1">
        <f>Europe_Sales_Records[[#This Row],[Ship Date]]-Europe_Sales_Records[[#This Row],[Order Date]]</f>
        <v>35</v>
      </c>
      <c r="J1079" s="1">
        <v>7522</v>
      </c>
      <c r="K1079" s="1">
        <v>668.27</v>
      </c>
      <c r="L1079" s="1">
        <v>502.54</v>
      </c>
      <c r="M1079" s="1">
        <f>Europe_Sales_Records[[#This Row],[Unit Price]]-Europe_Sales_Records[[#This Row],[Unit Cost]]</f>
        <v>165.72999999999996</v>
      </c>
      <c r="N1079" s="1">
        <v>5026726.9400000004</v>
      </c>
      <c r="O1079" s="6">
        <v>3780105.88</v>
      </c>
      <c r="P1079" s="1">
        <v>1246621.06</v>
      </c>
    </row>
    <row r="1080" spans="1:16" x14ac:dyDescent="0.3">
      <c r="A1080" s="1" t="s">
        <v>14</v>
      </c>
      <c r="B1080" s="1" t="s">
        <v>81</v>
      </c>
      <c r="C1080" s="1" t="s">
        <v>48</v>
      </c>
      <c r="D1080" s="1" t="s">
        <v>22</v>
      </c>
      <c r="E1080" s="1" t="s">
        <v>23</v>
      </c>
      <c r="F1080" s="7">
        <v>40651</v>
      </c>
      <c r="G1080" s="1" t="s">
        <v>1159</v>
      </c>
      <c r="H1080" s="7">
        <v>40657</v>
      </c>
      <c r="I1080" s="1">
        <f>Europe_Sales_Records[[#This Row],[Ship Date]]-Europe_Sales_Records[[#This Row],[Order Date]]</f>
        <v>6</v>
      </c>
      <c r="J1080" s="1">
        <v>7006</v>
      </c>
      <c r="K1080" s="1">
        <v>152.58000000000001</v>
      </c>
      <c r="L1080" s="1">
        <v>97.44</v>
      </c>
      <c r="M1080" s="1">
        <f>Europe_Sales_Records[[#This Row],[Unit Price]]-Europe_Sales_Records[[#This Row],[Unit Cost]]</f>
        <v>55.140000000000015</v>
      </c>
      <c r="N1080" s="1">
        <v>1068975.48</v>
      </c>
      <c r="O1080" s="6">
        <v>682664.64</v>
      </c>
      <c r="P1080" s="1">
        <v>386310.84</v>
      </c>
    </row>
    <row r="1081" spans="1:16" x14ac:dyDescent="0.3">
      <c r="A1081" s="1" t="s">
        <v>14</v>
      </c>
      <c r="B1081" s="1" t="s">
        <v>65</v>
      </c>
      <c r="C1081" s="1" t="s">
        <v>26</v>
      </c>
      <c r="D1081" s="1" t="s">
        <v>17</v>
      </c>
      <c r="E1081" s="1" t="s">
        <v>18</v>
      </c>
      <c r="F1081" s="7">
        <v>42593</v>
      </c>
      <c r="G1081" s="1" t="s">
        <v>1160</v>
      </c>
      <c r="H1081" s="7">
        <v>42593</v>
      </c>
      <c r="I1081" s="1">
        <f>Europe_Sales_Records[[#This Row],[Ship Date]]-Europe_Sales_Records[[#This Row],[Order Date]]</f>
        <v>0</v>
      </c>
      <c r="J1081" s="1">
        <v>1993</v>
      </c>
      <c r="K1081" s="1">
        <v>205.7</v>
      </c>
      <c r="L1081" s="1">
        <v>117.11</v>
      </c>
      <c r="M1081" s="1">
        <f>Europe_Sales_Records[[#This Row],[Unit Price]]-Europe_Sales_Records[[#This Row],[Unit Cost]]</f>
        <v>88.589999999999989</v>
      </c>
      <c r="N1081" s="1">
        <v>409960.1</v>
      </c>
      <c r="O1081" s="6">
        <v>233400.23</v>
      </c>
      <c r="P1081" s="1">
        <v>176559.87</v>
      </c>
    </row>
    <row r="1082" spans="1:16" x14ac:dyDescent="0.3">
      <c r="A1082" s="1" t="s">
        <v>14</v>
      </c>
      <c r="B1082" s="1" t="s">
        <v>63</v>
      </c>
      <c r="C1082" s="1" t="s">
        <v>79</v>
      </c>
      <c r="D1082" s="1" t="s">
        <v>17</v>
      </c>
      <c r="E1082" s="1" t="s">
        <v>30</v>
      </c>
      <c r="F1082" s="7">
        <v>41165</v>
      </c>
      <c r="G1082" s="1" t="s">
        <v>1161</v>
      </c>
      <c r="H1082" s="7">
        <v>41169</v>
      </c>
      <c r="I1082" s="1">
        <f>Europe_Sales_Records[[#This Row],[Ship Date]]-Europe_Sales_Records[[#This Row],[Order Date]]</f>
        <v>4</v>
      </c>
      <c r="J1082" s="1">
        <v>3915</v>
      </c>
      <c r="K1082" s="1">
        <v>81.73</v>
      </c>
      <c r="L1082" s="1">
        <v>56.67</v>
      </c>
      <c r="M1082" s="1">
        <f>Europe_Sales_Records[[#This Row],[Unit Price]]-Europe_Sales_Records[[#This Row],[Unit Cost]]</f>
        <v>25.060000000000002</v>
      </c>
      <c r="N1082" s="1">
        <v>319972.95</v>
      </c>
      <c r="O1082" s="6">
        <v>221863.05</v>
      </c>
      <c r="P1082" s="1">
        <v>98109.9</v>
      </c>
    </row>
    <row r="1083" spans="1:16" x14ac:dyDescent="0.3">
      <c r="A1083" s="1" t="s">
        <v>14</v>
      </c>
      <c r="B1083" s="1" t="s">
        <v>20</v>
      </c>
      <c r="C1083" s="1" t="s">
        <v>57</v>
      </c>
      <c r="D1083" s="1" t="s">
        <v>17</v>
      </c>
      <c r="E1083" s="1" t="s">
        <v>23</v>
      </c>
      <c r="F1083" s="7">
        <v>42177</v>
      </c>
      <c r="G1083" s="1" t="s">
        <v>1162</v>
      </c>
      <c r="H1083" s="7">
        <v>42217</v>
      </c>
      <c r="I1083" s="1">
        <f>Europe_Sales_Records[[#This Row],[Ship Date]]-Europe_Sales_Records[[#This Row],[Order Date]]</f>
        <v>40</v>
      </c>
      <c r="J1083" s="1">
        <v>4104</v>
      </c>
      <c r="K1083" s="1">
        <v>668.27</v>
      </c>
      <c r="L1083" s="1">
        <v>502.54</v>
      </c>
      <c r="M1083" s="1">
        <f>Europe_Sales_Records[[#This Row],[Unit Price]]-Europe_Sales_Records[[#This Row],[Unit Cost]]</f>
        <v>165.72999999999996</v>
      </c>
      <c r="N1083" s="1">
        <v>2742580.08</v>
      </c>
      <c r="O1083" s="6">
        <v>2062424.16</v>
      </c>
      <c r="P1083" s="1">
        <v>680155.92</v>
      </c>
    </row>
    <row r="1084" spans="1:16" x14ac:dyDescent="0.3">
      <c r="A1084" s="1" t="s">
        <v>14</v>
      </c>
      <c r="B1084" s="1" t="s">
        <v>44</v>
      </c>
      <c r="C1084" s="1" t="s">
        <v>52</v>
      </c>
      <c r="D1084" s="1" t="s">
        <v>17</v>
      </c>
      <c r="E1084" s="1" t="s">
        <v>30</v>
      </c>
      <c r="F1084" s="7">
        <v>42846</v>
      </c>
      <c r="G1084" s="1" t="s">
        <v>1163</v>
      </c>
      <c r="H1084" s="7">
        <v>42851</v>
      </c>
      <c r="I1084" s="1">
        <f>Europe_Sales_Records[[#This Row],[Ship Date]]-Europe_Sales_Records[[#This Row],[Order Date]]</f>
        <v>5</v>
      </c>
      <c r="J1084" s="1">
        <v>343</v>
      </c>
      <c r="K1084" s="1">
        <v>255.28</v>
      </c>
      <c r="L1084" s="1">
        <v>159.41999999999999</v>
      </c>
      <c r="M1084" s="1">
        <f>Europe_Sales_Records[[#This Row],[Unit Price]]-Europe_Sales_Records[[#This Row],[Unit Cost]]</f>
        <v>95.860000000000014</v>
      </c>
      <c r="N1084" s="1">
        <v>87561.04</v>
      </c>
      <c r="O1084" s="6">
        <v>54681.06</v>
      </c>
      <c r="P1084" s="1">
        <v>32879.980000000003</v>
      </c>
    </row>
    <row r="1085" spans="1:16" x14ac:dyDescent="0.3">
      <c r="A1085" s="1" t="s">
        <v>14</v>
      </c>
      <c r="B1085" s="1" t="s">
        <v>59</v>
      </c>
      <c r="C1085" s="1" t="s">
        <v>26</v>
      </c>
      <c r="D1085" s="1" t="s">
        <v>17</v>
      </c>
      <c r="E1085" s="1" t="s">
        <v>18</v>
      </c>
      <c r="F1085" s="7">
        <v>40826</v>
      </c>
      <c r="G1085" s="1" t="s">
        <v>1164</v>
      </c>
      <c r="H1085" s="7">
        <v>40855</v>
      </c>
      <c r="I1085" s="1">
        <f>Europe_Sales_Records[[#This Row],[Ship Date]]-Europe_Sales_Records[[#This Row],[Order Date]]</f>
        <v>29</v>
      </c>
      <c r="J1085" s="1">
        <v>859</v>
      </c>
      <c r="K1085" s="1">
        <v>205.7</v>
      </c>
      <c r="L1085" s="1">
        <v>117.11</v>
      </c>
      <c r="M1085" s="1">
        <f>Europe_Sales_Records[[#This Row],[Unit Price]]-Europe_Sales_Records[[#This Row],[Unit Cost]]</f>
        <v>88.589999999999989</v>
      </c>
      <c r="N1085" s="1">
        <v>176696.3</v>
      </c>
      <c r="O1085" s="6">
        <v>100597.49</v>
      </c>
      <c r="P1085" s="1">
        <v>76098.81</v>
      </c>
    </row>
    <row r="1086" spans="1:16" x14ac:dyDescent="0.3">
      <c r="A1086" s="1" t="s">
        <v>14</v>
      </c>
      <c r="B1086" s="1" t="s">
        <v>116</v>
      </c>
      <c r="C1086" s="1" t="s">
        <v>29</v>
      </c>
      <c r="D1086" s="1" t="s">
        <v>17</v>
      </c>
      <c r="E1086" s="1" t="s">
        <v>23</v>
      </c>
      <c r="F1086" s="7">
        <v>41582</v>
      </c>
      <c r="G1086" s="1" t="s">
        <v>1165</v>
      </c>
      <c r="H1086" s="7">
        <v>41613</v>
      </c>
      <c r="I1086" s="1">
        <f>Europe_Sales_Records[[#This Row],[Ship Date]]-Europe_Sales_Records[[#This Row],[Order Date]]</f>
        <v>31</v>
      </c>
      <c r="J1086" s="1">
        <v>7813</v>
      </c>
      <c r="K1086" s="1">
        <v>651.21</v>
      </c>
      <c r="L1086" s="1">
        <v>524.96</v>
      </c>
      <c r="M1086" s="1">
        <f>Europe_Sales_Records[[#This Row],[Unit Price]]-Europe_Sales_Records[[#This Row],[Unit Cost]]</f>
        <v>126.25</v>
      </c>
      <c r="N1086" s="1">
        <v>5087903.7300000004</v>
      </c>
      <c r="O1086" s="6">
        <v>4101512.48</v>
      </c>
      <c r="P1086" s="1">
        <v>986391.25</v>
      </c>
    </row>
    <row r="1087" spans="1:16" x14ac:dyDescent="0.3">
      <c r="A1087" s="1" t="s">
        <v>14</v>
      </c>
      <c r="B1087" s="1" t="s">
        <v>67</v>
      </c>
      <c r="C1087" s="1" t="s">
        <v>52</v>
      </c>
      <c r="D1087" s="1" t="s">
        <v>17</v>
      </c>
      <c r="E1087" s="1" t="s">
        <v>18</v>
      </c>
      <c r="F1087" s="7">
        <v>40189</v>
      </c>
      <c r="G1087" s="1" t="s">
        <v>1166</v>
      </c>
      <c r="H1087" s="7">
        <v>40205</v>
      </c>
      <c r="I1087" s="1">
        <f>Europe_Sales_Records[[#This Row],[Ship Date]]-Europe_Sales_Records[[#This Row],[Order Date]]</f>
        <v>16</v>
      </c>
      <c r="J1087" s="1">
        <v>6238</v>
      </c>
      <c r="K1087" s="1">
        <v>255.28</v>
      </c>
      <c r="L1087" s="1">
        <v>159.41999999999999</v>
      </c>
      <c r="M1087" s="1">
        <f>Europe_Sales_Records[[#This Row],[Unit Price]]-Europe_Sales_Records[[#This Row],[Unit Cost]]</f>
        <v>95.860000000000014</v>
      </c>
      <c r="N1087" s="1">
        <v>1592436.64</v>
      </c>
      <c r="O1087" s="6">
        <v>994461.96</v>
      </c>
      <c r="P1087" s="1">
        <v>597974.68000000005</v>
      </c>
    </row>
    <row r="1088" spans="1:16" x14ac:dyDescent="0.3">
      <c r="A1088" s="1" t="s">
        <v>14</v>
      </c>
      <c r="B1088" s="1" t="s">
        <v>101</v>
      </c>
      <c r="C1088" s="1" t="s">
        <v>79</v>
      </c>
      <c r="D1088" s="1" t="s">
        <v>22</v>
      </c>
      <c r="E1088" s="1" t="s">
        <v>45</v>
      </c>
      <c r="F1088" s="7">
        <v>42137</v>
      </c>
      <c r="G1088" s="1" t="s">
        <v>1167</v>
      </c>
      <c r="H1088" s="7">
        <v>42181</v>
      </c>
      <c r="I1088" s="1">
        <f>Europe_Sales_Records[[#This Row],[Ship Date]]-Europe_Sales_Records[[#This Row],[Order Date]]</f>
        <v>44</v>
      </c>
      <c r="J1088" s="1">
        <v>3771</v>
      </c>
      <c r="K1088" s="1">
        <v>81.73</v>
      </c>
      <c r="L1088" s="1">
        <v>56.67</v>
      </c>
      <c r="M1088" s="1">
        <f>Europe_Sales_Records[[#This Row],[Unit Price]]-Europe_Sales_Records[[#This Row],[Unit Cost]]</f>
        <v>25.060000000000002</v>
      </c>
      <c r="N1088" s="1">
        <v>308203.83</v>
      </c>
      <c r="O1088" s="6">
        <v>213702.57</v>
      </c>
      <c r="P1088" s="1">
        <v>94501.26</v>
      </c>
    </row>
    <row r="1089" spans="1:16" x14ac:dyDescent="0.3">
      <c r="A1089" s="1" t="s">
        <v>14</v>
      </c>
      <c r="B1089" s="1" t="s">
        <v>131</v>
      </c>
      <c r="C1089" s="1" t="s">
        <v>21</v>
      </c>
      <c r="D1089" s="1" t="s">
        <v>17</v>
      </c>
      <c r="E1089" s="1" t="s">
        <v>23</v>
      </c>
      <c r="F1089" s="7">
        <v>41163</v>
      </c>
      <c r="G1089" s="1" t="s">
        <v>1168</v>
      </c>
      <c r="H1089" s="7">
        <v>41179</v>
      </c>
      <c r="I1089" s="1">
        <f>Europe_Sales_Records[[#This Row],[Ship Date]]-Europe_Sales_Records[[#This Row],[Order Date]]</f>
        <v>16</v>
      </c>
      <c r="J1089" s="1">
        <v>3180</v>
      </c>
      <c r="K1089" s="1">
        <v>109.28</v>
      </c>
      <c r="L1089" s="1">
        <v>35.840000000000003</v>
      </c>
      <c r="M1089" s="1">
        <f>Europe_Sales_Records[[#This Row],[Unit Price]]-Europe_Sales_Records[[#This Row],[Unit Cost]]</f>
        <v>73.44</v>
      </c>
      <c r="N1089" s="1">
        <v>347510.4</v>
      </c>
      <c r="O1089" s="6">
        <v>113971.2</v>
      </c>
      <c r="P1089" s="1">
        <v>233539.20000000001</v>
      </c>
    </row>
    <row r="1090" spans="1:16" x14ac:dyDescent="0.3">
      <c r="A1090" s="1" t="s">
        <v>14</v>
      </c>
      <c r="B1090" s="1" t="s">
        <v>94</v>
      </c>
      <c r="C1090" s="1" t="s">
        <v>52</v>
      </c>
      <c r="D1090" s="1" t="s">
        <v>22</v>
      </c>
      <c r="E1090" s="1" t="s">
        <v>23</v>
      </c>
      <c r="F1090" s="7">
        <v>41252</v>
      </c>
      <c r="G1090" s="1" t="s">
        <v>1169</v>
      </c>
      <c r="H1090" s="7">
        <v>41298</v>
      </c>
      <c r="I1090" s="1">
        <f>Europe_Sales_Records[[#This Row],[Ship Date]]-Europe_Sales_Records[[#This Row],[Order Date]]</f>
        <v>46</v>
      </c>
      <c r="J1090" s="1">
        <v>1485</v>
      </c>
      <c r="K1090" s="1">
        <v>255.28</v>
      </c>
      <c r="L1090" s="1">
        <v>159.41999999999999</v>
      </c>
      <c r="M1090" s="1">
        <f>Europe_Sales_Records[[#This Row],[Unit Price]]-Europe_Sales_Records[[#This Row],[Unit Cost]]</f>
        <v>95.860000000000014</v>
      </c>
      <c r="N1090" s="1">
        <v>379090.8</v>
      </c>
      <c r="O1090" s="6">
        <v>236738.7</v>
      </c>
      <c r="P1090" s="1">
        <v>142352.1</v>
      </c>
    </row>
    <row r="1091" spans="1:16" x14ac:dyDescent="0.3">
      <c r="A1091" s="1" t="s">
        <v>14</v>
      </c>
      <c r="B1091" s="1" t="s">
        <v>99</v>
      </c>
      <c r="C1091" s="1" t="s">
        <v>48</v>
      </c>
      <c r="D1091" s="1" t="s">
        <v>17</v>
      </c>
      <c r="E1091" s="1" t="s">
        <v>23</v>
      </c>
      <c r="F1091" s="7">
        <v>42767</v>
      </c>
      <c r="G1091" s="1" t="s">
        <v>1170</v>
      </c>
      <c r="H1091" s="7">
        <v>42776</v>
      </c>
      <c r="I1091" s="1">
        <f>Europe_Sales_Records[[#This Row],[Ship Date]]-Europe_Sales_Records[[#This Row],[Order Date]]</f>
        <v>9</v>
      </c>
      <c r="J1091" s="1">
        <v>3126</v>
      </c>
      <c r="K1091" s="1">
        <v>152.58000000000001</v>
      </c>
      <c r="L1091" s="1">
        <v>97.44</v>
      </c>
      <c r="M1091" s="1">
        <f>Europe_Sales_Records[[#This Row],[Unit Price]]-Europe_Sales_Records[[#This Row],[Unit Cost]]</f>
        <v>55.140000000000015</v>
      </c>
      <c r="N1091" s="1">
        <v>476965.08</v>
      </c>
      <c r="O1091" s="6">
        <v>304597.44</v>
      </c>
      <c r="P1091" s="1">
        <v>172367.64</v>
      </c>
    </row>
    <row r="1092" spans="1:16" x14ac:dyDescent="0.3">
      <c r="A1092" s="1" t="s">
        <v>14</v>
      </c>
      <c r="B1092" s="1" t="s">
        <v>75</v>
      </c>
      <c r="C1092" s="1" t="s">
        <v>39</v>
      </c>
      <c r="D1092" s="1" t="s">
        <v>17</v>
      </c>
      <c r="E1092" s="1" t="s">
        <v>23</v>
      </c>
      <c r="F1092" s="7">
        <v>41315</v>
      </c>
      <c r="G1092" s="1" t="s">
        <v>1171</v>
      </c>
      <c r="H1092" s="7">
        <v>41352</v>
      </c>
      <c r="I1092" s="1">
        <f>Europe_Sales_Records[[#This Row],[Ship Date]]-Europe_Sales_Records[[#This Row],[Order Date]]</f>
        <v>37</v>
      </c>
      <c r="J1092" s="1">
        <v>4637</v>
      </c>
      <c r="K1092" s="1">
        <v>154.06</v>
      </c>
      <c r="L1092" s="1">
        <v>90.93</v>
      </c>
      <c r="M1092" s="1">
        <f>Europe_Sales_Records[[#This Row],[Unit Price]]-Europe_Sales_Records[[#This Row],[Unit Cost]]</f>
        <v>63.129999999999995</v>
      </c>
      <c r="N1092" s="1">
        <v>714376.22</v>
      </c>
      <c r="O1092" s="6">
        <v>421642.41</v>
      </c>
      <c r="P1092" s="1">
        <v>292733.81</v>
      </c>
    </row>
    <row r="1093" spans="1:16" x14ac:dyDescent="0.3">
      <c r="A1093" s="1" t="s">
        <v>14</v>
      </c>
      <c r="B1093" s="1" t="s">
        <v>97</v>
      </c>
      <c r="C1093" s="1" t="s">
        <v>48</v>
      </c>
      <c r="D1093" s="1" t="s">
        <v>22</v>
      </c>
      <c r="E1093" s="1" t="s">
        <v>45</v>
      </c>
      <c r="F1093" s="7">
        <v>41310</v>
      </c>
      <c r="G1093" s="1" t="s">
        <v>1172</v>
      </c>
      <c r="H1093" s="7">
        <v>41342</v>
      </c>
      <c r="I1093" s="1">
        <f>Europe_Sales_Records[[#This Row],[Ship Date]]-Europe_Sales_Records[[#This Row],[Order Date]]</f>
        <v>32</v>
      </c>
      <c r="J1093" s="1">
        <v>6380</v>
      </c>
      <c r="K1093" s="1">
        <v>152.58000000000001</v>
      </c>
      <c r="L1093" s="1">
        <v>97.44</v>
      </c>
      <c r="M1093" s="1">
        <f>Europe_Sales_Records[[#This Row],[Unit Price]]-Europe_Sales_Records[[#This Row],[Unit Cost]]</f>
        <v>55.140000000000015</v>
      </c>
      <c r="N1093" s="1">
        <v>973460.4</v>
      </c>
      <c r="O1093" s="6">
        <v>621667.19999999995</v>
      </c>
      <c r="P1093" s="1">
        <v>351793.2</v>
      </c>
    </row>
    <row r="1094" spans="1:16" x14ac:dyDescent="0.3">
      <c r="A1094" s="1" t="s">
        <v>14</v>
      </c>
      <c r="B1094" s="1" t="s">
        <v>127</v>
      </c>
      <c r="C1094" s="1" t="s">
        <v>21</v>
      </c>
      <c r="D1094" s="1" t="s">
        <v>22</v>
      </c>
      <c r="E1094" s="1" t="s">
        <v>18</v>
      </c>
      <c r="F1094" s="7">
        <v>41347</v>
      </c>
      <c r="G1094" s="1" t="s">
        <v>1173</v>
      </c>
      <c r="H1094" s="7">
        <v>41393</v>
      </c>
      <c r="I1094" s="1">
        <f>Europe_Sales_Records[[#This Row],[Ship Date]]-Europe_Sales_Records[[#This Row],[Order Date]]</f>
        <v>46</v>
      </c>
      <c r="J1094" s="1">
        <v>3183</v>
      </c>
      <c r="K1094" s="1">
        <v>109.28</v>
      </c>
      <c r="L1094" s="1">
        <v>35.840000000000003</v>
      </c>
      <c r="M1094" s="1">
        <f>Europe_Sales_Records[[#This Row],[Unit Price]]-Europe_Sales_Records[[#This Row],[Unit Cost]]</f>
        <v>73.44</v>
      </c>
      <c r="N1094" s="1">
        <v>347838.24</v>
      </c>
      <c r="O1094" s="6">
        <v>114078.72</v>
      </c>
      <c r="P1094" s="1">
        <v>233759.52</v>
      </c>
    </row>
    <row r="1095" spans="1:16" x14ac:dyDescent="0.3">
      <c r="A1095" s="1" t="s">
        <v>14</v>
      </c>
      <c r="B1095" s="1" t="s">
        <v>94</v>
      </c>
      <c r="C1095" s="1" t="s">
        <v>16</v>
      </c>
      <c r="D1095" s="1" t="s">
        <v>22</v>
      </c>
      <c r="E1095" s="1" t="s">
        <v>30</v>
      </c>
      <c r="F1095" s="7">
        <v>42695</v>
      </c>
      <c r="G1095" s="1" t="s">
        <v>1174</v>
      </c>
      <c r="H1095" s="7">
        <v>42739</v>
      </c>
      <c r="I1095" s="1">
        <f>Europe_Sales_Records[[#This Row],[Ship Date]]-Europe_Sales_Records[[#This Row],[Order Date]]</f>
        <v>44</v>
      </c>
      <c r="J1095" s="1">
        <v>8687</v>
      </c>
      <c r="K1095" s="1">
        <v>47.45</v>
      </c>
      <c r="L1095" s="1">
        <v>31.79</v>
      </c>
      <c r="M1095" s="1">
        <f>Europe_Sales_Records[[#This Row],[Unit Price]]-Europe_Sales_Records[[#This Row],[Unit Cost]]</f>
        <v>15.660000000000004</v>
      </c>
      <c r="N1095" s="1">
        <v>412198.15</v>
      </c>
      <c r="O1095" s="6">
        <v>276159.73</v>
      </c>
      <c r="P1095" s="1">
        <v>136038.42000000001</v>
      </c>
    </row>
    <row r="1096" spans="1:16" x14ac:dyDescent="0.3">
      <c r="A1096" s="1" t="s">
        <v>14</v>
      </c>
      <c r="B1096" s="1" t="s">
        <v>232</v>
      </c>
      <c r="C1096" s="1" t="s">
        <v>26</v>
      </c>
      <c r="D1096" s="1" t="s">
        <v>17</v>
      </c>
      <c r="E1096" s="1" t="s">
        <v>45</v>
      </c>
      <c r="F1096" s="7">
        <v>42704</v>
      </c>
      <c r="G1096" s="1" t="s">
        <v>1175</v>
      </c>
      <c r="H1096" s="7">
        <v>42715</v>
      </c>
      <c r="I1096" s="1">
        <f>Europe_Sales_Records[[#This Row],[Ship Date]]-Europe_Sales_Records[[#This Row],[Order Date]]</f>
        <v>11</v>
      </c>
      <c r="J1096" s="1">
        <v>5972</v>
      </c>
      <c r="K1096" s="1">
        <v>205.7</v>
      </c>
      <c r="L1096" s="1">
        <v>117.11</v>
      </c>
      <c r="M1096" s="1">
        <f>Europe_Sales_Records[[#This Row],[Unit Price]]-Europe_Sales_Records[[#This Row],[Unit Cost]]</f>
        <v>88.589999999999989</v>
      </c>
      <c r="N1096" s="1">
        <v>1228440.3999999999</v>
      </c>
      <c r="O1096" s="6">
        <v>699380.92</v>
      </c>
      <c r="P1096" s="1">
        <v>529059.48</v>
      </c>
    </row>
    <row r="1097" spans="1:16" x14ac:dyDescent="0.3">
      <c r="A1097" s="1" t="s">
        <v>14</v>
      </c>
      <c r="B1097" s="1" t="s">
        <v>157</v>
      </c>
      <c r="C1097" s="1" t="s">
        <v>21</v>
      </c>
      <c r="D1097" s="1" t="s">
        <v>22</v>
      </c>
      <c r="E1097" s="1" t="s">
        <v>45</v>
      </c>
      <c r="F1097" s="7">
        <v>41652</v>
      </c>
      <c r="G1097" s="1" t="s">
        <v>1176</v>
      </c>
      <c r="H1097" s="7">
        <v>41662</v>
      </c>
      <c r="I1097" s="1">
        <f>Europe_Sales_Records[[#This Row],[Ship Date]]-Europe_Sales_Records[[#This Row],[Order Date]]</f>
        <v>10</v>
      </c>
      <c r="J1097" s="1">
        <v>4958</v>
      </c>
      <c r="K1097" s="1">
        <v>109.28</v>
      </c>
      <c r="L1097" s="1">
        <v>35.840000000000003</v>
      </c>
      <c r="M1097" s="1">
        <f>Europe_Sales_Records[[#This Row],[Unit Price]]-Europe_Sales_Records[[#This Row],[Unit Cost]]</f>
        <v>73.44</v>
      </c>
      <c r="N1097" s="1">
        <v>541810.24</v>
      </c>
      <c r="O1097" s="6">
        <v>177694.72</v>
      </c>
      <c r="P1097" s="1">
        <v>364115.52</v>
      </c>
    </row>
    <row r="1098" spans="1:16" x14ac:dyDescent="0.3">
      <c r="A1098" s="1" t="s">
        <v>14</v>
      </c>
      <c r="B1098" s="1" t="s">
        <v>129</v>
      </c>
      <c r="C1098" s="1" t="s">
        <v>26</v>
      </c>
      <c r="D1098" s="1" t="s">
        <v>17</v>
      </c>
      <c r="E1098" s="1" t="s">
        <v>23</v>
      </c>
      <c r="F1098" s="7">
        <v>41557</v>
      </c>
      <c r="G1098" s="1" t="s">
        <v>1177</v>
      </c>
      <c r="H1098" s="7">
        <v>41560</v>
      </c>
      <c r="I1098" s="1">
        <f>Europe_Sales_Records[[#This Row],[Ship Date]]-Europe_Sales_Records[[#This Row],[Order Date]]</f>
        <v>3</v>
      </c>
      <c r="J1098" s="1">
        <v>2045</v>
      </c>
      <c r="K1098" s="1">
        <v>205.7</v>
      </c>
      <c r="L1098" s="1">
        <v>117.11</v>
      </c>
      <c r="M1098" s="1">
        <f>Europe_Sales_Records[[#This Row],[Unit Price]]-Europe_Sales_Records[[#This Row],[Unit Cost]]</f>
        <v>88.589999999999989</v>
      </c>
      <c r="N1098" s="1">
        <v>420656.5</v>
      </c>
      <c r="O1098" s="6">
        <v>239489.95</v>
      </c>
      <c r="P1098" s="1">
        <v>181166.55</v>
      </c>
    </row>
    <row r="1099" spans="1:16" x14ac:dyDescent="0.3">
      <c r="A1099" s="1" t="s">
        <v>14</v>
      </c>
      <c r="B1099" s="1" t="s">
        <v>152</v>
      </c>
      <c r="C1099" s="1" t="s">
        <v>33</v>
      </c>
      <c r="D1099" s="1" t="s">
        <v>22</v>
      </c>
      <c r="E1099" s="1" t="s">
        <v>45</v>
      </c>
      <c r="F1099" s="7">
        <v>41933</v>
      </c>
      <c r="G1099" s="1" t="s">
        <v>1178</v>
      </c>
      <c r="H1099" s="7">
        <v>41936</v>
      </c>
      <c r="I1099" s="1">
        <f>Europe_Sales_Records[[#This Row],[Ship Date]]-Europe_Sales_Records[[#This Row],[Order Date]]</f>
        <v>3</v>
      </c>
      <c r="J1099" s="1">
        <v>112</v>
      </c>
      <c r="K1099" s="1">
        <v>9.33</v>
      </c>
      <c r="L1099" s="1">
        <v>6.92</v>
      </c>
      <c r="M1099" s="1">
        <f>Europe_Sales_Records[[#This Row],[Unit Price]]-Europe_Sales_Records[[#This Row],[Unit Cost]]</f>
        <v>2.41</v>
      </c>
      <c r="N1099" s="1">
        <v>1044.96</v>
      </c>
      <c r="O1099" s="6">
        <v>775.04</v>
      </c>
      <c r="P1099" s="1">
        <v>269.92</v>
      </c>
    </row>
    <row r="1100" spans="1:16" x14ac:dyDescent="0.3">
      <c r="A1100" s="1" t="s">
        <v>14</v>
      </c>
      <c r="B1100" s="1" t="s">
        <v>59</v>
      </c>
      <c r="C1100" s="1" t="s">
        <v>42</v>
      </c>
      <c r="D1100" s="1" t="s">
        <v>22</v>
      </c>
      <c r="E1100" s="1" t="s">
        <v>23</v>
      </c>
      <c r="F1100" s="7">
        <v>41141</v>
      </c>
      <c r="G1100" s="1" t="s">
        <v>1179</v>
      </c>
      <c r="H1100" s="7">
        <v>41167</v>
      </c>
      <c r="I1100" s="1">
        <f>Europe_Sales_Records[[#This Row],[Ship Date]]-Europe_Sales_Records[[#This Row],[Order Date]]</f>
        <v>26</v>
      </c>
      <c r="J1100" s="1">
        <v>8286</v>
      </c>
      <c r="K1100" s="1">
        <v>421.89</v>
      </c>
      <c r="L1100" s="1">
        <v>364.69</v>
      </c>
      <c r="M1100" s="1">
        <f>Europe_Sales_Records[[#This Row],[Unit Price]]-Europe_Sales_Records[[#This Row],[Unit Cost]]</f>
        <v>57.199999999999989</v>
      </c>
      <c r="N1100" s="1">
        <v>3495780.54</v>
      </c>
      <c r="O1100" s="6">
        <v>3021821.34</v>
      </c>
      <c r="P1100" s="1">
        <v>473959.2</v>
      </c>
    </row>
    <row r="1101" spans="1:16" x14ac:dyDescent="0.3">
      <c r="A1101" s="1" t="s">
        <v>14</v>
      </c>
      <c r="B1101" s="1" t="s">
        <v>20</v>
      </c>
      <c r="C1101" s="1" t="s">
        <v>48</v>
      </c>
      <c r="D1101" s="1" t="s">
        <v>22</v>
      </c>
      <c r="E1101" s="1" t="s">
        <v>30</v>
      </c>
      <c r="F1101" s="7">
        <v>41267</v>
      </c>
      <c r="G1101" s="1" t="s">
        <v>1180</v>
      </c>
      <c r="H1101" s="7">
        <v>41281</v>
      </c>
      <c r="I1101" s="1">
        <f>Europe_Sales_Records[[#This Row],[Ship Date]]-Europe_Sales_Records[[#This Row],[Order Date]]</f>
        <v>14</v>
      </c>
      <c r="J1101" s="1">
        <v>2958</v>
      </c>
      <c r="K1101" s="1">
        <v>152.58000000000001</v>
      </c>
      <c r="L1101" s="1">
        <v>97.44</v>
      </c>
      <c r="M1101" s="1">
        <f>Europe_Sales_Records[[#This Row],[Unit Price]]-Europe_Sales_Records[[#This Row],[Unit Cost]]</f>
        <v>55.140000000000015</v>
      </c>
      <c r="N1101" s="1">
        <v>451331.64</v>
      </c>
      <c r="O1101" s="6">
        <v>288227.52</v>
      </c>
      <c r="P1101" s="1">
        <v>163104.12</v>
      </c>
    </row>
    <row r="1102" spans="1:16" x14ac:dyDescent="0.3">
      <c r="A1102" s="1" t="s">
        <v>14</v>
      </c>
      <c r="B1102" s="1" t="s">
        <v>38</v>
      </c>
      <c r="C1102" s="1" t="s">
        <v>48</v>
      </c>
      <c r="D1102" s="1" t="s">
        <v>17</v>
      </c>
      <c r="E1102" s="1" t="s">
        <v>23</v>
      </c>
      <c r="F1102" s="7">
        <v>42847</v>
      </c>
      <c r="G1102" s="1" t="s">
        <v>1181</v>
      </c>
      <c r="H1102" s="7">
        <v>42892</v>
      </c>
      <c r="I1102" s="1">
        <f>Europe_Sales_Records[[#This Row],[Ship Date]]-Europe_Sales_Records[[#This Row],[Order Date]]</f>
        <v>45</v>
      </c>
      <c r="J1102" s="1">
        <v>9929</v>
      </c>
      <c r="K1102" s="1">
        <v>152.58000000000001</v>
      </c>
      <c r="L1102" s="1">
        <v>97.44</v>
      </c>
      <c r="M1102" s="1">
        <f>Europe_Sales_Records[[#This Row],[Unit Price]]-Europe_Sales_Records[[#This Row],[Unit Cost]]</f>
        <v>55.140000000000015</v>
      </c>
      <c r="N1102" s="1">
        <v>1514966.82</v>
      </c>
      <c r="O1102" s="6">
        <v>967481.76</v>
      </c>
      <c r="P1102" s="1">
        <v>547485.06000000006</v>
      </c>
    </row>
    <row r="1103" spans="1:16" x14ac:dyDescent="0.3">
      <c r="A1103" s="1" t="s">
        <v>14</v>
      </c>
      <c r="B1103" s="1" t="s">
        <v>103</v>
      </c>
      <c r="C1103" s="1" t="s">
        <v>29</v>
      </c>
      <c r="D1103" s="1" t="s">
        <v>22</v>
      </c>
      <c r="E1103" s="1" t="s">
        <v>45</v>
      </c>
      <c r="F1103" s="7">
        <v>42198</v>
      </c>
      <c r="G1103" s="1" t="s">
        <v>1182</v>
      </c>
      <c r="H1103" s="7">
        <v>42214</v>
      </c>
      <c r="I1103" s="1">
        <f>Europe_Sales_Records[[#This Row],[Ship Date]]-Europe_Sales_Records[[#This Row],[Order Date]]</f>
        <v>16</v>
      </c>
      <c r="J1103" s="1">
        <v>8775</v>
      </c>
      <c r="K1103" s="1">
        <v>651.21</v>
      </c>
      <c r="L1103" s="1">
        <v>524.96</v>
      </c>
      <c r="M1103" s="1">
        <f>Europe_Sales_Records[[#This Row],[Unit Price]]-Europe_Sales_Records[[#This Row],[Unit Cost]]</f>
        <v>126.25</v>
      </c>
      <c r="N1103" s="1">
        <v>5714367.75</v>
      </c>
      <c r="O1103" s="6">
        <v>4606524</v>
      </c>
      <c r="P1103" s="1">
        <v>1107843.75</v>
      </c>
    </row>
    <row r="1104" spans="1:16" x14ac:dyDescent="0.3">
      <c r="A1104" s="1" t="s">
        <v>14</v>
      </c>
      <c r="B1104" s="1" t="s">
        <v>164</v>
      </c>
      <c r="C1104" s="1" t="s">
        <v>48</v>
      </c>
      <c r="D1104" s="1" t="s">
        <v>17</v>
      </c>
      <c r="E1104" s="1" t="s">
        <v>30</v>
      </c>
      <c r="F1104" s="7">
        <v>41557</v>
      </c>
      <c r="G1104" s="1" t="s">
        <v>1183</v>
      </c>
      <c r="H1104" s="7">
        <v>41606</v>
      </c>
      <c r="I1104" s="1">
        <f>Europe_Sales_Records[[#This Row],[Ship Date]]-Europe_Sales_Records[[#This Row],[Order Date]]</f>
        <v>49</v>
      </c>
      <c r="J1104" s="1">
        <v>3968</v>
      </c>
      <c r="K1104" s="1">
        <v>152.58000000000001</v>
      </c>
      <c r="L1104" s="1">
        <v>97.44</v>
      </c>
      <c r="M1104" s="1">
        <f>Europe_Sales_Records[[#This Row],[Unit Price]]-Europe_Sales_Records[[#This Row],[Unit Cost]]</f>
        <v>55.140000000000015</v>
      </c>
      <c r="N1104" s="1">
        <v>605437.43999999994</v>
      </c>
      <c r="O1104" s="6">
        <v>386641.91999999998</v>
      </c>
      <c r="P1104" s="1">
        <v>218795.51999999999</v>
      </c>
    </row>
    <row r="1105" spans="1:16" x14ac:dyDescent="0.3">
      <c r="A1105" s="1" t="s">
        <v>14</v>
      </c>
      <c r="B1105" s="1" t="s">
        <v>120</v>
      </c>
      <c r="C1105" s="1" t="s">
        <v>57</v>
      </c>
      <c r="D1105" s="1" t="s">
        <v>17</v>
      </c>
      <c r="E1105" s="1" t="s">
        <v>18</v>
      </c>
      <c r="F1105" s="7">
        <v>40460</v>
      </c>
      <c r="G1105" s="1" t="s">
        <v>1184</v>
      </c>
      <c r="H1105" s="7">
        <v>40461</v>
      </c>
      <c r="I1105" s="1">
        <f>Europe_Sales_Records[[#This Row],[Ship Date]]-Europe_Sales_Records[[#This Row],[Order Date]]</f>
        <v>1</v>
      </c>
      <c r="J1105" s="1">
        <v>235</v>
      </c>
      <c r="K1105" s="1">
        <v>668.27</v>
      </c>
      <c r="L1105" s="1">
        <v>502.54</v>
      </c>
      <c r="M1105" s="1">
        <f>Europe_Sales_Records[[#This Row],[Unit Price]]-Europe_Sales_Records[[#This Row],[Unit Cost]]</f>
        <v>165.72999999999996</v>
      </c>
      <c r="N1105" s="1">
        <v>157043.45000000001</v>
      </c>
      <c r="O1105" s="6">
        <v>118096.9</v>
      </c>
      <c r="P1105" s="1">
        <v>38946.550000000003</v>
      </c>
    </row>
    <row r="1106" spans="1:16" x14ac:dyDescent="0.3">
      <c r="A1106" s="1" t="s">
        <v>14</v>
      </c>
      <c r="B1106" s="1" t="s">
        <v>56</v>
      </c>
      <c r="C1106" s="1" t="s">
        <v>21</v>
      </c>
      <c r="D1106" s="1" t="s">
        <v>17</v>
      </c>
      <c r="E1106" s="1" t="s">
        <v>30</v>
      </c>
      <c r="F1106" s="7">
        <v>40368</v>
      </c>
      <c r="G1106" s="1" t="s">
        <v>1185</v>
      </c>
      <c r="H1106" s="7">
        <v>40368</v>
      </c>
      <c r="I1106" s="1">
        <f>Europe_Sales_Records[[#This Row],[Ship Date]]-Europe_Sales_Records[[#This Row],[Order Date]]</f>
        <v>0</v>
      </c>
      <c r="J1106" s="1">
        <v>8980</v>
      </c>
      <c r="K1106" s="1">
        <v>109.28</v>
      </c>
      <c r="L1106" s="1">
        <v>35.840000000000003</v>
      </c>
      <c r="M1106" s="1">
        <f>Europe_Sales_Records[[#This Row],[Unit Price]]-Europe_Sales_Records[[#This Row],[Unit Cost]]</f>
        <v>73.44</v>
      </c>
      <c r="N1106" s="1">
        <v>981334.4</v>
      </c>
      <c r="O1106" s="6">
        <v>321843.20000000001</v>
      </c>
      <c r="P1106" s="1">
        <v>659491.19999999995</v>
      </c>
    </row>
    <row r="1107" spans="1:16" x14ac:dyDescent="0.3">
      <c r="A1107" s="1" t="s">
        <v>14</v>
      </c>
      <c r="B1107" s="1" t="s">
        <v>38</v>
      </c>
      <c r="C1107" s="1" t="s">
        <v>26</v>
      </c>
      <c r="D1107" s="1" t="s">
        <v>22</v>
      </c>
      <c r="E1107" s="1" t="s">
        <v>23</v>
      </c>
      <c r="F1107" s="7">
        <v>41261</v>
      </c>
      <c r="G1107" s="1" t="s">
        <v>1186</v>
      </c>
      <c r="H1107" s="7">
        <v>41267</v>
      </c>
      <c r="I1107" s="1">
        <f>Europe_Sales_Records[[#This Row],[Ship Date]]-Europe_Sales_Records[[#This Row],[Order Date]]</f>
        <v>6</v>
      </c>
      <c r="J1107" s="1">
        <v>1842</v>
      </c>
      <c r="K1107" s="1">
        <v>205.7</v>
      </c>
      <c r="L1107" s="1">
        <v>117.11</v>
      </c>
      <c r="M1107" s="1">
        <f>Europe_Sales_Records[[#This Row],[Unit Price]]-Europe_Sales_Records[[#This Row],[Unit Cost]]</f>
        <v>88.589999999999989</v>
      </c>
      <c r="N1107" s="1">
        <v>378899.4</v>
      </c>
      <c r="O1107" s="6">
        <v>215716.62</v>
      </c>
      <c r="P1107" s="1">
        <v>163182.78</v>
      </c>
    </row>
    <row r="1108" spans="1:16" x14ac:dyDescent="0.3">
      <c r="A1108" s="1" t="s">
        <v>14</v>
      </c>
      <c r="B1108" s="1" t="s">
        <v>97</v>
      </c>
      <c r="C1108" s="1" t="s">
        <v>29</v>
      </c>
      <c r="D1108" s="1" t="s">
        <v>22</v>
      </c>
      <c r="E1108" s="1" t="s">
        <v>18</v>
      </c>
      <c r="F1108" s="7">
        <v>42051</v>
      </c>
      <c r="G1108" s="1" t="s">
        <v>1187</v>
      </c>
      <c r="H1108" s="7">
        <v>42055</v>
      </c>
      <c r="I1108" s="1">
        <f>Europe_Sales_Records[[#This Row],[Ship Date]]-Europe_Sales_Records[[#This Row],[Order Date]]</f>
        <v>4</v>
      </c>
      <c r="J1108" s="1">
        <v>5217</v>
      </c>
      <c r="K1108" s="1">
        <v>651.21</v>
      </c>
      <c r="L1108" s="1">
        <v>524.96</v>
      </c>
      <c r="M1108" s="1">
        <f>Europe_Sales_Records[[#This Row],[Unit Price]]-Europe_Sales_Records[[#This Row],[Unit Cost]]</f>
        <v>126.25</v>
      </c>
      <c r="N1108" s="1">
        <v>3397362.57</v>
      </c>
      <c r="O1108" s="6">
        <v>2738716.32</v>
      </c>
      <c r="P1108" s="1">
        <v>658646.25</v>
      </c>
    </row>
    <row r="1109" spans="1:16" x14ac:dyDescent="0.3">
      <c r="A1109" s="1" t="s">
        <v>14</v>
      </c>
      <c r="B1109" s="1" t="s">
        <v>99</v>
      </c>
      <c r="C1109" s="1" t="s">
        <v>52</v>
      </c>
      <c r="D1109" s="1" t="s">
        <v>17</v>
      </c>
      <c r="E1109" s="1" t="s">
        <v>18</v>
      </c>
      <c r="F1109" s="7">
        <v>40179</v>
      </c>
      <c r="G1109" s="1" t="s">
        <v>1188</v>
      </c>
      <c r="H1109" s="7">
        <v>40188</v>
      </c>
      <c r="I1109" s="1">
        <f>Europe_Sales_Records[[#This Row],[Ship Date]]-Europe_Sales_Records[[#This Row],[Order Date]]</f>
        <v>9</v>
      </c>
      <c r="J1109" s="1">
        <v>9367</v>
      </c>
      <c r="K1109" s="1">
        <v>255.28</v>
      </c>
      <c r="L1109" s="1">
        <v>159.41999999999999</v>
      </c>
      <c r="M1109" s="1">
        <f>Europe_Sales_Records[[#This Row],[Unit Price]]-Europe_Sales_Records[[#This Row],[Unit Cost]]</f>
        <v>95.860000000000014</v>
      </c>
      <c r="N1109" s="1">
        <v>2391207.7599999998</v>
      </c>
      <c r="O1109" s="6">
        <v>1493287.14</v>
      </c>
      <c r="P1109" s="1">
        <v>897920.62</v>
      </c>
    </row>
    <row r="1110" spans="1:16" x14ac:dyDescent="0.3">
      <c r="A1110" s="1" t="s">
        <v>14</v>
      </c>
      <c r="B1110" s="1" t="s">
        <v>69</v>
      </c>
      <c r="C1110" s="1" t="s">
        <v>52</v>
      </c>
      <c r="D1110" s="1" t="s">
        <v>17</v>
      </c>
      <c r="E1110" s="1" t="s">
        <v>45</v>
      </c>
      <c r="F1110" s="7">
        <v>42420</v>
      </c>
      <c r="G1110" s="1" t="s">
        <v>1189</v>
      </c>
      <c r="H1110" s="7">
        <v>42468</v>
      </c>
      <c r="I1110" s="1">
        <f>Europe_Sales_Records[[#This Row],[Ship Date]]-Europe_Sales_Records[[#This Row],[Order Date]]</f>
        <v>48</v>
      </c>
      <c r="J1110" s="1">
        <v>1725</v>
      </c>
      <c r="K1110" s="1">
        <v>255.28</v>
      </c>
      <c r="L1110" s="1">
        <v>159.41999999999999</v>
      </c>
      <c r="M1110" s="1">
        <f>Europe_Sales_Records[[#This Row],[Unit Price]]-Europe_Sales_Records[[#This Row],[Unit Cost]]</f>
        <v>95.860000000000014</v>
      </c>
      <c r="N1110" s="1">
        <v>440358</v>
      </c>
      <c r="O1110" s="6">
        <v>274999.5</v>
      </c>
      <c r="P1110" s="1">
        <v>165358.5</v>
      </c>
    </row>
    <row r="1111" spans="1:16" x14ac:dyDescent="0.3">
      <c r="A1111" s="1" t="s">
        <v>14</v>
      </c>
      <c r="B1111" s="1" t="s">
        <v>35</v>
      </c>
      <c r="C1111" s="1" t="s">
        <v>21</v>
      </c>
      <c r="D1111" s="1" t="s">
        <v>17</v>
      </c>
      <c r="E1111" s="1" t="s">
        <v>23</v>
      </c>
      <c r="F1111" s="7">
        <v>40866</v>
      </c>
      <c r="G1111" s="1" t="s">
        <v>1190</v>
      </c>
      <c r="H1111" s="7">
        <v>40881</v>
      </c>
      <c r="I1111" s="1">
        <f>Europe_Sales_Records[[#This Row],[Ship Date]]-Europe_Sales_Records[[#This Row],[Order Date]]</f>
        <v>15</v>
      </c>
      <c r="J1111" s="1">
        <v>7547</v>
      </c>
      <c r="K1111" s="1">
        <v>109.28</v>
      </c>
      <c r="L1111" s="1">
        <v>35.840000000000003</v>
      </c>
      <c r="M1111" s="1">
        <f>Europe_Sales_Records[[#This Row],[Unit Price]]-Europe_Sales_Records[[#This Row],[Unit Cost]]</f>
        <v>73.44</v>
      </c>
      <c r="N1111" s="1">
        <v>824736.16</v>
      </c>
      <c r="O1111" s="6">
        <v>270484.47999999998</v>
      </c>
      <c r="P1111" s="1">
        <v>554251.68000000005</v>
      </c>
    </row>
    <row r="1112" spans="1:16" x14ac:dyDescent="0.3">
      <c r="A1112" s="1" t="s">
        <v>14</v>
      </c>
      <c r="B1112" s="1" t="s">
        <v>150</v>
      </c>
      <c r="C1112" s="1" t="s">
        <v>42</v>
      </c>
      <c r="D1112" s="1" t="s">
        <v>22</v>
      </c>
      <c r="E1112" s="1" t="s">
        <v>30</v>
      </c>
      <c r="F1112" s="7">
        <v>42061</v>
      </c>
      <c r="G1112" s="1" t="s">
        <v>1191</v>
      </c>
      <c r="H1112" s="7">
        <v>42061</v>
      </c>
      <c r="I1112" s="1">
        <f>Europe_Sales_Records[[#This Row],[Ship Date]]-Europe_Sales_Records[[#This Row],[Order Date]]</f>
        <v>0</v>
      </c>
      <c r="J1112" s="1">
        <v>1798</v>
      </c>
      <c r="K1112" s="1">
        <v>421.89</v>
      </c>
      <c r="L1112" s="1">
        <v>364.69</v>
      </c>
      <c r="M1112" s="1">
        <f>Europe_Sales_Records[[#This Row],[Unit Price]]-Europe_Sales_Records[[#This Row],[Unit Cost]]</f>
        <v>57.199999999999989</v>
      </c>
      <c r="N1112" s="1">
        <v>758558.22</v>
      </c>
      <c r="O1112" s="6">
        <v>655712.62</v>
      </c>
      <c r="P1112" s="1">
        <v>102845.6</v>
      </c>
    </row>
    <row r="1113" spans="1:16" x14ac:dyDescent="0.3">
      <c r="A1113" s="1" t="s">
        <v>14</v>
      </c>
      <c r="B1113" s="1" t="s">
        <v>44</v>
      </c>
      <c r="C1113" s="1" t="s">
        <v>39</v>
      </c>
      <c r="D1113" s="1" t="s">
        <v>22</v>
      </c>
      <c r="E1113" s="1" t="s">
        <v>18</v>
      </c>
      <c r="F1113" s="7">
        <v>42907</v>
      </c>
      <c r="G1113" s="1" t="s">
        <v>1192</v>
      </c>
      <c r="H1113" s="7">
        <v>42939</v>
      </c>
      <c r="I1113" s="1">
        <f>Europe_Sales_Records[[#This Row],[Ship Date]]-Europe_Sales_Records[[#This Row],[Order Date]]</f>
        <v>32</v>
      </c>
      <c r="J1113" s="1">
        <v>2203</v>
      </c>
      <c r="K1113" s="1">
        <v>154.06</v>
      </c>
      <c r="L1113" s="1">
        <v>90.93</v>
      </c>
      <c r="M1113" s="1">
        <f>Europe_Sales_Records[[#This Row],[Unit Price]]-Europe_Sales_Records[[#This Row],[Unit Cost]]</f>
        <v>63.129999999999995</v>
      </c>
      <c r="N1113" s="1">
        <v>339394.18</v>
      </c>
      <c r="O1113" s="6">
        <v>200318.79</v>
      </c>
      <c r="P1113" s="1">
        <v>139075.39000000001</v>
      </c>
    </row>
    <row r="1114" spans="1:16" x14ac:dyDescent="0.3">
      <c r="A1114" s="1" t="s">
        <v>14</v>
      </c>
      <c r="B1114" s="1" t="s">
        <v>75</v>
      </c>
      <c r="C1114" s="1" t="s">
        <v>16</v>
      </c>
      <c r="D1114" s="1" t="s">
        <v>22</v>
      </c>
      <c r="E1114" s="1" t="s">
        <v>23</v>
      </c>
      <c r="F1114" s="7">
        <v>40577</v>
      </c>
      <c r="G1114" s="1" t="s">
        <v>1193</v>
      </c>
      <c r="H1114" s="7">
        <v>40601</v>
      </c>
      <c r="I1114" s="1">
        <f>Europe_Sales_Records[[#This Row],[Ship Date]]-Europe_Sales_Records[[#This Row],[Order Date]]</f>
        <v>24</v>
      </c>
      <c r="J1114" s="1">
        <v>7404</v>
      </c>
      <c r="K1114" s="1">
        <v>47.45</v>
      </c>
      <c r="L1114" s="1">
        <v>31.79</v>
      </c>
      <c r="M1114" s="1">
        <f>Europe_Sales_Records[[#This Row],[Unit Price]]-Europe_Sales_Records[[#This Row],[Unit Cost]]</f>
        <v>15.660000000000004</v>
      </c>
      <c r="N1114" s="1">
        <v>351319.8</v>
      </c>
      <c r="O1114" s="6">
        <v>235373.16</v>
      </c>
      <c r="P1114" s="1">
        <v>115946.64</v>
      </c>
    </row>
    <row r="1115" spans="1:16" x14ac:dyDescent="0.3">
      <c r="A1115" s="1" t="s">
        <v>14</v>
      </c>
      <c r="B1115" s="1" t="s">
        <v>75</v>
      </c>
      <c r="C1115" s="1" t="s">
        <v>33</v>
      </c>
      <c r="D1115" s="1" t="s">
        <v>17</v>
      </c>
      <c r="E1115" s="1" t="s">
        <v>30</v>
      </c>
      <c r="F1115" s="7">
        <v>42518</v>
      </c>
      <c r="G1115" s="1" t="s">
        <v>1194</v>
      </c>
      <c r="H1115" s="7">
        <v>42567</v>
      </c>
      <c r="I1115" s="1">
        <f>Europe_Sales_Records[[#This Row],[Ship Date]]-Europe_Sales_Records[[#This Row],[Order Date]]</f>
        <v>49</v>
      </c>
      <c r="J1115" s="1">
        <v>5669</v>
      </c>
      <c r="K1115" s="1">
        <v>9.33</v>
      </c>
      <c r="L1115" s="1">
        <v>6.92</v>
      </c>
      <c r="M1115" s="1">
        <f>Europe_Sales_Records[[#This Row],[Unit Price]]-Europe_Sales_Records[[#This Row],[Unit Cost]]</f>
        <v>2.41</v>
      </c>
      <c r="N1115" s="1">
        <v>52891.77</v>
      </c>
      <c r="O1115" s="6">
        <v>39229.480000000003</v>
      </c>
      <c r="P1115" s="1">
        <v>13662.29</v>
      </c>
    </row>
    <row r="1116" spans="1:16" x14ac:dyDescent="0.3">
      <c r="A1116" s="1" t="s">
        <v>14</v>
      </c>
      <c r="B1116" s="1" t="s">
        <v>129</v>
      </c>
      <c r="C1116" s="1" t="s">
        <v>42</v>
      </c>
      <c r="D1116" s="1" t="s">
        <v>17</v>
      </c>
      <c r="E1116" s="1" t="s">
        <v>18</v>
      </c>
      <c r="F1116" s="7">
        <v>42625</v>
      </c>
      <c r="G1116" s="1" t="s">
        <v>1195</v>
      </c>
      <c r="H1116" s="7">
        <v>42639</v>
      </c>
      <c r="I1116" s="1">
        <f>Europe_Sales_Records[[#This Row],[Ship Date]]-Europe_Sales_Records[[#This Row],[Order Date]]</f>
        <v>14</v>
      </c>
      <c r="J1116" s="1">
        <v>1543</v>
      </c>
      <c r="K1116" s="1">
        <v>421.89</v>
      </c>
      <c r="L1116" s="1">
        <v>364.69</v>
      </c>
      <c r="M1116" s="1">
        <f>Europe_Sales_Records[[#This Row],[Unit Price]]-Europe_Sales_Records[[#This Row],[Unit Cost]]</f>
        <v>57.199999999999989</v>
      </c>
      <c r="N1116" s="1">
        <v>650976.27</v>
      </c>
      <c r="O1116" s="6">
        <v>562716.67000000004</v>
      </c>
      <c r="P1116" s="1">
        <v>88259.6</v>
      </c>
    </row>
    <row r="1117" spans="1:16" x14ac:dyDescent="0.3">
      <c r="A1117" s="1" t="s">
        <v>14</v>
      </c>
      <c r="B1117" s="1" t="s">
        <v>41</v>
      </c>
      <c r="C1117" s="1" t="s">
        <v>52</v>
      </c>
      <c r="D1117" s="1" t="s">
        <v>17</v>
      </c>
      <c r="E1117" s="1" t="s">
        <v>23</v>
      </c>
      <c r="F1117" s="7">
        <v>41862</v>
      </c>
      <c r="G1117" s="1" t="s">
        <v>1196</v>
      </c>
      <c r="H1117" s="7">
        <v>41907</v>
      </c>
      <c r="I1117" s="1">
        <f>Europe_Sales_Records[[#This Row],[Ship Date]]-Europe_Sales_Records[[#This Row],[Order Date]]</f>
        <v>45</v>
      </c>
      <c r="J1117" s="1">
        <v>9246</v>
      </c>
      <c r="K1117" s="1">
        <v>255.28</v>
      </c>
      <c r="L1117" s="1">
        <v>159.41999999999999</v>
      </c>
      <c r="M1117" s="1">
        <f>Europe_Sales_Records[[#This Row],[Unit Price]]-Europe_Sales_Records[[#This Row],[Unit Cost]]</f>
        <v>95.860000000000014</v>
      </c>
      <c r="N1117" s="1">
        <v>2360318.88</v>
      </c>
      <c r="O1117" s="6">
        <v>1473997.32</v>
      </c>
      <c r="P1117" s="1">
        <v>886321.56</v>
      </c>
    </row>
    <row r="1118" spans="1:16" x14ac:dyDescent="0.3">
      <c r="A1118" s="1" t="s">
        <v>14</v>
      </c>
      <c r="B1118" s="1" t="s">
        <v>180</v>
      </c>
      <c r="C1118" s="1" t="s">
        <v>79</v>
      </c>
      <c r="D1118" s="1" t="s">
        <v>17</v>
      </c>
      <c r="E1118" s="1" t="s">
        <v>30</v>
      </c>
      <c r="F1118" s="7">
        <v>41644</v>
      </c>
      <c r="G1118" s="1" t="s">
        <v>1197</v>
      </c>
      <c r="H1118" s="7">
        <v>41674</v>
      </c>
      <c r="I1118" s="1">
        <f>Europe_Sales_Records[[#This Row],[Ship Date]]-Europe_Sales_Records[[#This Row],[Order Date]]</f>
        <v>30</v>
      </c>
      <c r="J1118" s="1">
        <v>2179</v>
      </c>
      <c r="K1118" s="1">
        <v>81.73</v>
      </c>
      <c r="L1118" s="1">
        <v>56.67</v>
      </c>
      <c r="M1118" s="1">
        <f>Europe_Sales_Records[[#This Row],[Unit Price]]-Europe_Sales_Records[[#This Row],[Unit Cost]]</f>
        <v>25.060000000000002</v>
      </c>
      <c r="N1118" s="1">
        <v>178089.67</v>
      </c>
      <c r="O1118" s="6">
        <v>123483.93</v>
      </c>
      <c r="P1118" s="1">
        <v>54605.74</v>
      </c>
    </row>
    <row r="1119" spans="1:16" x14ac:dyDescent="0.3">
      <c r="A1119" s="1" t="s">
        <v>14</v>
      </c>
      <c r="B1119" s="1" t="s">
        <v>35</v>
      </c>
      <c r="C1119" s="1" t="s">
        <v>21</v>
      </c>
      <c r="D1119" s="1" t="s">
        <v>22</v>
      </c>
      <c r="E1119" s="1" t="s">
        <v>30</v>
      </c>
      <c r="F1119" s="7">
        <v>42868</v>
      </c>
      <c r="G1119" s="1" t="s">
        <v>1198</v>
      </c>
      <c r="H1119" s="7">
        <v>42899</v>
      </c>
      <c r="I1119" s="1">
        <f>Europe_Sales_Records[[#This Row],[Ship Date]]-Europe_Sales_Records[[#This Row],[Order Date]]</f>
        <v>31</v>
      </c>
      <c r="J1119" s="1">
        <v>1171</v>
      </c>
      <c r="K1119" s="1">
        <v>109.28</v>
      </c>
      <c r="L1119" s="1">
        <v>35.840000000000003</v>
      </c>
      <c r="M1119" s="1">
        <f>Europe_Sales_Records[[#This Row],[Unit Price]]-Europe_Sales_Records[[#This Row],[Unit Cost]]</f>
        <v>73.44</v>
      </c>
      <c r="N1119" s="1">
        <v>127966.88</v>
      </c>
      <c r="O1119" s="6">
        <v>41968.639999999999</v>
      </c>
      <c r="P1119" s="1">
        <v>85998.24</v>
      </c>
    </row>
    <row r="1120" spans="1:16" x14ac:dyDescent="0.3">
      <c r="A1120" s="1" t="s">
        <v>14</v>
      </c>
      <c r="B1120" s="1" t="s">
        <v>91</v>
      </c>
      <c r="C1120" s="1" t="s">
        <v>21</v>
      </c>
      <c r="D1120" s="1" t="s">
        <v>22</v>
      </c>
      <c r="E1120" s="1" t="s">
        <v>30</v>
      </c>
      <c r="F1120" s="7">
        <v>40181</v>
      </c>
      <c r="G1120" s="1" t="s">
        <v>1199</v>
      </c>
      <c r="H1120" s="7">
        <v>40231</v>
      </c>
      <c r="I1120" s="1">
        <f>Europe_Sales_Records[[#This Row],[Ship Date]]-Europe_Sales_Records[[#This Row],[Order Date]]</f>
        <v>50</v>
      </c>
      <c r="J1120" s="1">
        <v>313</v>
      </c>
      <c r="K1120" s="1">
        <v>109.28</v>
      </c>
      <c r="L1120" s="1">
        <v>35.840000000000003</v>
      </c>
      <c r="M1120" s="1">
        <f>Europe_Sales_Records[[#This Row],[Unit Price]]-Europe_Sales_Records[[#This Row],[Unit Cost]]</f>
        <v>73.44</v>
      </c>
      <c r="N1120" s="1">
        <v>34204.639999999999</v>
      </c>
      <c r="O1120" s="6">
        <v>11217.92</v>
      </c>
      <c r="P1120" s="1">
        <v>22986.720000000001</v>
      </c>
    </row>
    <row r="1121" spans="1:16" x14ac:dyDescent="0.3">
      <c r="A1121" s="1" t="s">
        <v>14</v>
      </c>
      <c r="B1121" s="1" t="s">
        <v>69</v>
      </c>
      <c r="C1121" s="1" t="s">
        <v>21</v>
      </c>
      <c r="D1121" s="1" t="s">
        <v>22</v>
      </c>
      <c r="E1121" s="1" t="s">
        <v>23</v>
      </c>
      <c r="F1121" s="7">
        <v>40452</v>
      </c>
      <c r="G1121" s="1" t="s">
        <v>1200</v>
      </c>
      <c r="H1121" s="7">
        <v>40466</v>
      </c>
      <c r="I1121" s="1">
        <f>Europe_Sales_Records[[#This Row],[Ship Date]]-Europe_Sales_Records[[#This Row],[Order Date]]</f>
        <v>14</v>
      </c>
      <c r="J1121" s="1">
        <v>2735</v>
      </c>
      <c r="K1121" s="1">
        <v>109.28</v>
      </c>
      <c r="L1121" s="1">
        <v>35.840000000000003</v>
      </c>
      <c r="M1121" s="1">
        <f>Europe_Sales_Records[[#This Row],[Unit Price]]-Europe_Sales_Records[[#This Row],[Unit Cost]]</f>
        <v>73.44</v>
      </c>
      <c r="N1121" s="1">
        <v>298880.8</v>
      </c>
      <c r="O1121" s="6">
        <v>98022.399999999994</v>
      </c>
      <c r="P1121" s="1">
        <v>200858.4</v>
      </c>
    </row>
    <row r="1122" spans="1:16" x14ac:dyDescent="0.3">
      <c r="A1122" s="1" t="s">
        <v>14</v>
      </c>
      <c r="B1122" s="1" t="s">
        <v>131</v>
      </c>
      <c r="C1122" s="1" t="s">
        <v>21</v>
      </c>
      <c r="D1122" s="1" t="s">
        <v>22</v>
      </c>
      <c r="E1122" s="1" t="s">
        <v>45</v>
      </c>
      <c r="F1122" s="7">
        <v>40704</v>
      </c>
      <c r="G1122" s="1" t="s">
        <v>1201</v>
      </c>
      <c r="H1122" s="7">
        <v>40719</v>
      </c>
      <c r="I1122" s="1">
        <f>Europe_Sales_Records[[#This Row],[Ship Date]]-Europe_Sales_Records[[#This Row],[Order Date]]</f>
        <v>15</v>
      </c>
      <c r="J1122" s="1">
        <v>4507</v>
      </c>
      <c r="K1122" s="1">
        <v>109.28</v>
      </c>
      <c r="L1122" s="1">
        <v>35.840000000000003</v>
      </c>
      <c r="M1122" s="1">
        <f>Europe_Sales_Records[[#This Row],[Unit Price]]-Europe_Sales_Records[[#This Row],[Unit Cost]]</f>
        <v>73.44</v>
      </c>
      <c r="N1122" s="1">
        <v>492524.96</v>
      </c>
      <c r="O1122" s="6">
        <v>161530.88</v>
      </c>
      <c r="P1122" s="1">
        <v>330994.08</v>
      </c>
    </row>
    <row r="1123" spans="1:16" x14ac:dyDescent="0.3">
      <c r="A1123" s="1" t="s">
        <v>14</v>
      </c>
      <c r="B1123" s="1" t="s">
        <v>150</v>
      </c>
      <c r="C1123" s="1" t="s">
        <v>16</v>
      </c>
      <c r="D1123" s="1" t="s">
        <v>22</v>
      </c>
      <c r="E1123" s="1" t="s">
        <v>45</v>
      </c>
      <c r="F1123" s="7">
        <v>41238</v>
      </c>
      <c r="G1123" s="1" t="s">
        <v>1202</v>
      </c>
      <c r="H1123" s="7">
        <v>41241</v>
      </c>
      <c r="I1123" s="1">
        <f>Europe_Sales_Records[[#This Row],[Ship Date]]-Europe_Sales_Records[[#This Row],[Order Date]]</f>
        <v>3</v>
      </c>
      <c r="J1123" s="1">
        <v>5866</v>
      </c>
      <c r="K1123" s="1">
        <v>47.45</v>
      </c>
      <c r="L1123" s="1">
        <v>31.79</v>
      </c>
      <c r="M1123" s="1">
        <f>Europe_Sales_Records[[#This Row],[Unit Price]]-Europe_Sales_Records[[#This Row],[Unit Cost]]</f>
        <v>15.660000000000004</v>
      </c>
      <c r="N1123" s="1">
        <v>278341.7</v>
      </c>
      <c r="O1123" s="6">
        <v>186480.14</v>
      </c>
      <c r="P1123" s="1">
        <v>91861.56</v>
      </c>
    </row>
    <row r="1124" spans="1:16" x14ac:dyDescent="0.3">
      <c r="A1124" s="1" t="s">
        <v>14</v>
      </c>
      <c r="B1124" s="1" t="s">
        <v>81</v>
      </c>
      <c r="C1124" s="1" t="s">
        <v>33</v>
      </c>
      <c r="D1124" s="1" t="s">
        <v>22</v>
      </c>
      <c r="E1124" s="1" t="s">
        <v>30</v>
      </c>
      <c r="F1124" s="7">
        <v>40874</v>
      </c>
      <c r="G1124" s="1" t="s">
        <v>1203</v>
      </c>
      <c r="H1124" s="7">
        <v>40900</v>
      </c>
      <c r="I1124" s="1">
        <f>Europe_Sales_Records[[#This Row],[Ship Date]]-Europe_Sales_Records[[#This Row],[Order Date]]</f>
        <v>26</v>
      </c>
      <c r="J1124" s="1">
        <v>5685</v>
      </c>
      <c r="K1124" s="1">
        <v>9.33</v>
      </c>
      <c r="L1124" s="1">
        <v>6.92</v>
      </c>
      <c r="M1124" s="1">
        <f>Europe_Sales_Records[[#This Row],[Unit Price]]-Europe_Sales_Records[[#This Row],[Unit Cost]]</f>
        <v>2.41</v>
      </c>
      <c r="N1124" s="1">
        <v>53041.05</v>
      </c>
      <c r="O1124" s="6">
        <v>39340.199999999997</v>
      </c>
      <c r="P1124" s="1">
        <v>13700.85</v>
      </c>
    </row>
    <row r="1125" spans="1:16" x14ac:dyDescent="0.3">
      <c r="A1125" s="1" t="s">
        <v>14</v>
      </c>
      <c r="B1125" s="1" t="s">
        <v>15</v>
      </c>
      <c r="C1125" s="1" t="s">
        <v>26</v>
      </c>
      <c r="D1125" s="1" t="s">
        <v>22</v>
      </c>
      <c r="E1125" s="1" t="s">
        <v>18</v>
      </c>
      <c r="F1125" s="7">
        <v>41853</v>
      </c>
      <c r="G1125" s="1" t="s">
        <v>1204</v>
      </c>
      <c r="H1125" s="7">
        <v>41868</v>
      </c>
      <c r="I1125" s="1">
        <f>Europe_Sales_Records[[#This Row],[Ship Date]]-Europe_Sales_Records[[#This Row],[Order Date]]</f>
        <v>15</v>
      </c>
      <c r="J1125" s="1">
        <v>2960</v>
      </c>
      <c r="K1125" s="1">
        <v>205.7</v>
      </c>
      <c r="L1125" s="1">
        <v>117.11</v>
      </c>
      <c r="M1125" s="1">
        <f>Europe_Sales_Records[[#This Row],[Unit Price]]-Europe_Sales_Records[[#This Row],[Unit Cost]]</f>
        <v>88.589999999999989</v>
      </c>
      <c r="N1125" s="1">
        <v>608872</v>
      </c>
      <c r="O1125" s="6">
        <v>346645.6</v>
      </c>
      <c r="P1125" s="1">
        <v>262226.40000000002</v>
      </c>
    </row>
    <row r="1126" spans="1:16" x14ac:dyDescent="0.3">
      <c r="A1126" s="1" t="s">
        <v>14</v>
      </c>
      <c r="B1126" s="1" t="s">
        <v>50</v>
      </c>
      <c r="C1126" s="1" t="s">
        <v>52</v>
      </c>
      <c r="D1126" s="1" t="s">
        <v>22</v>
      </c>
      <c r="E1126" s="1" t="s">
        <v>30</v>
      </c>
      <c r="F1126" s="7">
        <v>41200</v>
      </c>
      <c r="G1126" s="1" t="s">
        <v>1205</v>
      </c>
      <c r="H1126" s="7">
        <v>41213</v>
      </c>
      <c r="I1126" s="1">
        <f>Europe_Sales_Records[[#This Row],[Ship Date]]-Europe_Sales_Records[[#This Row],[Order Date]]</f>
        <v>13</v>
      </c>
      <c r="J1126" s="1">
        <v>4985</v>
      </c>
      <c r="K1126" s="1">
        <v>255.28</v>
      </c>
      <c r="L1126" s="1">
        <v>159.41999999999999</v>
      </c>
      <c r="M1126" s="1">
        <f>Europe_Sales_Records[[#This Row],[Unit Price]]-Europe_Sales_Records[[#This Row],[Unit Cost]]</f>
        <v>95.860000000000014</v>
      </c>
      <c r="N1126" s="1">
        <v>1272570.8</v>
      </c>
      <c r="O1126" s="6">
        <v>794708.7</v>
      </c>
      <c r="P1126" s="1">
        <v>477862.1</v>
      </c>
    </row>
    <row r="1127" spans="1:16" x14ac:dyDescent="0.3">
      <c r="A1127" s="1" t="s">
        <v>14</v>
      </c>
      <c r="B1127" s="1" t="s">
        <v>69</v>
      </c>
      <c r="C1127" s="1" t="s">
        <v>52</v>
      </c>
      <c r="D1127" s="1" t="s">
        <v>22</v>
      </c>
      <c r="E1127" s="1" t="s">
        <v>18</v>
      </c>
      <c r="F1127" s="7">
        <v>40812</v>
      </c>
      <c r="G1127" s="1" t="s">
        <v>1206</v>
      </c>
      <c r="H1127" s="7">
        <v>40833</v>
      </c>
      <c r="I1127" s="1">
        <f>Europe_Sales_Records[[#This Row],[Ship Date]]-Europe_Sales_Records[[#This Row],[Order Date]]</f>
        <v>21</v>
      </c>
      <c r="J1127" s="1">
        <v>4529</v>
      </c>
      <c r="K1127" s="1">
        <v>255.28</v>
      </c>
      <c r="L1127" s="1">
        <v>159.41999999999999</v>
      </c>
      <c r="M1127" s="1">
        <f>Europe_Sales_Records[[#This Row],[Unit Price]]-Europe_Sales_Records[[#This Row],[Unit Cost]]</f>
        <v>95.860000000000014</v>
      </c>
      <c r="N1127" s="1">
        <v>1156163.1200000001</v>
      </c>
      <c r="O1127" s="6">
        <v>722013.18</v>
      </c>
      <c r="P1127" s="1">
        <v>434149.94</v>
      </c>
    </row>
    <row r="1128" spans="1:16" x14ac:dyDescent="0.3">
      <c r="A1128" s="1" t="s">
        <v>14</v>
      </c>
      <c r="B1128" s="1" t="s">
        <v>84</v>
      </c>
      <c r="C1128" s="1" t="s">
        <v>16</v>
      </c>
      <c r="D1128" s="1" t="s">
        <v>22</v>
      </c>
      <c r="E1128" s="1" t="s">
        <v>45</v>
      </c>
      <c r="F1128" s="7">
        <v>41347</v>
      </c>
      <c r="G1128" s="1" t="s">
        <v>1207</v>
      </c>
      <c r="H1128" s="7">
        <v>41356</v>
      </c>
      <c r="I1128" s="1">
        <f>Europe_Sales_Records[[#This Row],[Ship Date]]-Europe_Sales_Records[[#This Row],[Order Date]]</f>
        <v>9</v>
      </c>
      <c r="J1128" s="1">
        <v>757</v>
      </c>
      <c r="K1128" s="1">
        <v>47.45</v>
      </c>
      <c r="L1128" s="1">
        <v>31.79</v>
      </c>
      <c r="M1128" s="1">
        <f>Europe_Sales_Records[[#This Row],[Unit Price]]-Europe_Sales_Records[[#This Row],[Unit Cost]]</f>
        <v>15.660000000000004</v>
      </c>
      <c r="N1128" s="1">
        <v>35919.65</v>
      </c>
      <c r="O1128" s="6">
        <v>24065.03</v>
      </c>
      <c r="P1128" s="1">
        <v>11854.62</v>
      </c>
    </row>
    <row r="1129" spans="1:16" x14ac:dyDescent="0.3">
      <c r="A1129" s="1" t="s">
        <v>14</v>
      </c>
      <c r="B1129" s="1" t="s">
        <v>47</v>
      </c>
      <c r="C1129" s="1" t="s">
        <v>42</v>
      </c>
      <c r="D1129" s="1" t="s">
        <v>22</v>
      </c>
      <c r="E1129" s="1" t="s">
        <v>45</v>
      </c>
      <c r="F1129" s="7">
        <v>42270</v>
      </c>
      <c r="G1129" s="1" t="s">
        <v>1208</v>
      </c>
      <c r="H1129" s="7">
        <v>42286</v>
      </c>
      <c r="I1129" s="1">
        <f>Europe_Sales_Records[[#This Row],[Ship Date]]-Europe_Sales_Records[[#This Row],[Order Date]]</f>
        <v>16</v>
      </c>
      <c r="J1129" s="1">
        <v>2502</v>
      </c>
      <c r="K1129" s="1">
        <v>421.89</v>
      </c>
      <c r="L1129" s="1">
        <v>364.69</v>
      </c>
      <c r="M1129" s="1">
        <f>Europe_Sales_Records[[#This Row],[Unit Price]]-Europe_Sales_Records[[#This Row],[Unit Cost]]</f>
        <v>57.199999999999989</v>
      </c>
      <c r="N1129" s="1">
        <v>1055568.78</v>
      </c>
      <c r="O1129" s="6">
        <v>912454.38</v>
      </c>
      <c r="P1129" s="1">
        <v>143114.4</v>
      </c>
    </row>
    <row r="1130" spans="1:16" x14ac:dyDescent="0.3">
      <c r="A1130" s="1" t="s">
        <v>14</v>
      </c>
      <c r="B1130" s="1" t="s">
        <v>232</v>
      </c>
      <c r="C1130" s="1" t="s">
        <v>42</v>
      </c>
      <c r="D1130" s="1" t="s">
        <v>17</v>
      </c>
      <c r="E1130" s="1" t="s">
        <v>23</v>
      </c>
      <c r="F1130" s="7">
        <v>40220</v>
      </c>
      <c r="G1130" s="1" t="s">
        <v>1209</v>
      </c>
      <c r="H1130" s="7">
        <v>40243</v>
      </c>
      <c r="I1130" s="1">
        <f>Europe_Sales_Records[[#This Row],[Ship Date]]-Europe_Sales_Records[[#This Row],[Order Date]]</f>
        <v>23</v>
      </c>
      <c r="J1130" s="1">
        <v>8416</v>
      </c>
      <c r="K1130" s="1">
        <v>421.89</v>
      </c>
      <c r="L1130" s="1">
        <v>364.69</v>
      </c>
      <c r="M1130" s="1">
        <f>Europe_Sales_Records[[#This Row],[Unit Price]]-Europe_Sales_Records[[#This Row],[Unit Cost]]</f>
        <v>57.199999999999989</v>
      </c>
      <c r="N1130" s="1">
        <v>3550626.24</v>
      </c>
      <c r="O1130" s="6">
        <v>3069231.04</v>
      </c>
      <c r="P1130" s="1">
        <v>481395.20000000001</v>
      </c>
    </row>
    <row r="1131" spans="1:16" x14ac:dyDescent="0.3">
      <c r="A1131" s="1" t="s">
        <v>14</v>
      </c>
      <c r="B1131" s="1" t="s">
        <v>97</v>
      </c>
      <c r="C1131" s="1" t="s">
        <v>39</v>
      </c>
      <c r="D1131" s="1" t="s">
        <v>22</v>
      </c>
      <c r="E1131" s="1" t="s">
        <v>45</v>
      </c>
      <c r="F1131" s="7">
        <v>41950</v>
      </c>
      <c r="G1131" s="1" t="s">
        <v>1210</v>
      </c>
      <c r="H1131" s="7">
        <v>41950</v>
      </c>
      <c r="I1131" s="1">
        <f>Europe_Sales_Records[[#This Row],[Ship Date]]-Europe_Sales_Records[[#This Row],[Order Date]]</f>
        <v>0</v>
      </c>
      <c r="J1131" s="1">
        <v>8676</v>
      </c>
      <c r="K1131" s="1">
        <v>154.06</v>
      </c>
      <c r="L1131" s="1">
        <v>90.93</v>
      </c>
      <c r="M1131" s="1">
        <f>Europe_Sales_Records[[#This Row],[Unit Price]]-Europe_Sales_Records[[#This Row],[Unit Cost]]</f>
        <v>63.129999999999995</v>
      </c>
      <c r="N1131" s="1">
        <v>1336624.56</v>
      </c>
      <c r="O1131" s="6">
        <v>788908.68</v>
      </c>
      <c r="P1131" s="1">
        <v>547715.88</v>
      </c>
    </row>
    <row r="1132" spans="1:16" x14ac:dyDescent="0.3">
      <c r="A1132" s="1" t="s">
        <v>14</v>
      </c>
      <c r="B1132" s="1" t="s">
        <v>28</v>
      </c>
      <c r="C1132" s="1" t="s">
        <v>33</v>
      </c>
      <c r="D1132" s="1" t="s">
        <v>17</v>
      </c>
      <c r="E1132" s="1" t="s">
        <v>18</v>
      </c>
      <c r="F1132" s="7">
        <v>41555</v>
      </c>
      <c r="G1132" s="1" t="s">
        <v>1211</v>
      </c>
      <c r="H1132" s="7">
        <v>41579</v>
      </c>
      <c r="I1132" s="1">
        <f>Europe_Sales_Records[[#This Row],[Ship Date]]-Europe_Sales_Records[[#This Row],[Order Date]]</f>
        <v>24</v>
      </c>
      <c r="J1132" s="1">
        <v>7742</v>
      </c>
      <c r="K1132" s="1">
        <v>9.33</v>
      </c>
      <c r="L1132" s="1">
        <v>6.92</v>
      </c>
      <c r="M1132" s="1">
        <f>Europe_Sales_Records[[#This Row],[Unit Price]]-Europe_Sales_Records[[#This Row],[Unit Cost]]</f>
        <v>2.41</v>
      </c>
      <c r="N1132" s="1">
        <v>72232.86</v>
      </c>
      <c r="O1132" s="6">
        <v>53574.64</v>
      </c>
      <c r="P1132" s="1">
        <v>18658.22</v>
      </c>
    </row>
    <row r="1133" spans="1:16" x14ac:dyDescent="0.3">
      <c r="A1133" s="1" t="s">
        <v>14</v>
      </c>
      <c r="B1133" s="1" t="s">
        <v>56</v>
      </c>
      <c r="C1133" s="1" t="s">
        <v>48</v>
      </c>
      <c r="D1133" s="1" t="s">
        <v>17</v>
      </c>
      <c r="E1133" s="1" t="s">
        <v>30</v>
      </c>
      <c r="F1133" s="7">
        <v>42337</v>
      </c>
      <c r="G1133" s="1" t="s">
        <v>1212</v>
      </c>
      <c r="H1133" s="7">
        <v>42341</v>
      </c>
      <c r="I1133" s="1">
        <f>Europe_Sales_Records[[#This Row],[Ship Date]]-Europe_Sales_Records[[#This Row],[Order Date]]</f>
        <v>4</v>
      </c>
      <c r="J1133" s="1">
        <v>6052</v>
      </c>
      <c r="K1133" s="1">
        <v>152.58000000000001</v>
      </c>
      <c r="L1133" s="1">
        <v>97.44</v>
      </c>
      <c r="M1133" s="1">
        <f>Europe_Sales_Records[[#This Row],[Unit Price]]-Europe_Sales_Records[[#This Row],[Unit Cost]]</f>
        <v>55.140000000000015</v>
      </c>
      <c r="N1133" s="1">
        <v>923414.16</v>
      </c>
      <c r="O1133" s="6">
        <v>589706.88</v>
      </c>
      <c r="P1133" s="1">
        <v>333707.28000000003</v>
      </c>
    </row>
    <row r="1134" spans="1:16" x14ac:dyDescent="0.3">
      <c r="A1134" s="1" t="s">
        <v>14</v>
      </c>
      <c r="B1134" s="1" t="s">
        <v>59</v>
      </c>
      <c r="C1134" s="1" t="s">
        <v>26</v>
      </c>
      <c r="D1134" s="1" t="s">
        <v>22</v>
      </c>
      <c r="E1134" s="1" t="s">
        <v>45</v>
      </c>
      <c r="F1134" s="7">
        <v>42352</v>
      </c>
      <c r="G1134" s="1" t="s">
        <v>1213</v>
      </c>
      <c r="H1134" s="7">
        <v>42383</v>
      </c>
      <c r="I1134" s="1">
        <f>Europe_Sales_Records[[#This Row],[Ship Date]]-Europe_Sales_Records[[#This Row],[Order Date]]</f>
        <v>31</v>
      </c>
      <c r="J1134" s="1">
        <v>959</v>
      </c>
      <c r="K1134" s="1">
        <v>205.7</v>
      </c>
      <c r="L1134" s="1">
        <v>117.11</v>
      </c>
      <c r="M1134" s="1">
        <f>Europe_Sales_Records[[#This Row],[Unit Price]]-Europe_Sales_Records[[#This Row],[Unit Cost]]</f>
        <v>88.589999999999989</v>
      </c>
      <c r="N1134" s="1">
        <v>197266.3</v>
      </c>
      <c r="O1134" s="6">
        <v>112308.49</v>
      </c>
      <c r="P1134" s="1">
        <v>84957.81</v>
      </c>
    </row>
    <row r="1135" spans="1:16" x14ac:dyDescent="0.3">
      <c r="A1135" s="1" t="s">
        <v>14</v>
      </c>
      <c r="B1135" s="1" t="s">
        <v>101</v>
      </c>
      <c r="C1135" s="1" t="s">
        <v>39</v>
      </c>
      <c r="D1135" s="1" t="s">
        <v>22</v>
      </c>
      <c r="E1135" s="1" t="s">
        <v>30</v>
      </c>
      <c r="F1135" s="7">
        <v>42568</v>
      </c>
      <c r="G1135" s="1" t="s">
        <v>1214</v>
      </c>
      <c r="H1135" s="7">
        <v>42577</v>
      </c>
      <c r="I1135" s="1">
        <f>Europe_Sales_Records[[#This Row],[Ship Date]]-Europe_Sales_Records[[#This Row],[Order Date]]</f>
        <v>9</v>
      </c>
      <c r="J1135" s="1">
        <v>2938</v>
      </c>
      <c r="K1135" s="1">
        <v>154.06</v>
      </c>
      <c r="L1135" s="1">
        <v>90.93</v>
      </c>
      <c r="M1135" s="1">
        <f>Europe_Sales_Records[[#This Row],[Unit Price]]-Europe_Sales_Records[[#This Row],[Unit Cost]]</f>
        <v>63.129999999999995</v>
      </c>
      <c r="N1135" s="1">
        <v>452628.28</v>
      </c>
      <c r="O1135" s="6">
        <v>267152.34000000003</v>
      </c>
      <c r="P1135" s="1">
        <v>185475.94</v>
      </c>
    </row>
    <row r="1136" spans="1:16" x14ac:dyDescent="0.3">
      <c r="A1136" s="1" t="s">
        <v>14</v>
      </c>
      <c r="B1136" s="1" t="s">
        <v>120</v>
      </c>
      <c r="C1136" s="1" t="s">
        <v>60</v>
      </c>
      <c r="D1136" s="1" t="s">
        <v>17</v>
      </c>
      <c r="E1136" s="1" t="s">
        <v>18</v>
      </c>
      <c r="F1136" s="7">
        <v>40194</v>
      </c>
      <c r="G1136" s="1" t="s">
        <v>1215</v>
      </c>
      <c r="H1136" s="7">
        <v>40232</v>
      </c>
      <c r="I1136" s="1">
        <f>Europe_Sales_Records[[#This Row],[Ship Date]]-Europe_Sales_Records[[#This Row],[Order Date]]</f>
        <v>38</v>
      </c>
      <c r="J1136" s="1">
        <v>9492</v>
      </c>
      <c r="K1136" s="1">
        <v>437.2</v>
      </c>
      <c r="L1136" s="1">
        <v>263.33</v>
      </c>
      <c r="M1136" s="1">
        <f>Europe_Sales_Records[[#This Row],[Unit Price]]-Europe_Sales_Records[[#This Row],[Unit Cost]]</f>
        <v>173.87</v>
      </c>
      <c r="N1136" s="1">
        <v>4149902.4</v>
      </c>
      <c r="O1136" s="6">
        <v>2499528.36</v>
      </c>
      <c r="P1136" s="1">
        <v>1650374.04</v>
      </c>
    </row>
    <row r="1137" spans="1:16" x14ac:dyDescent="0.3">
      <c r="A1137" s="1" t="s">
        <v>14</v>
      </c>
      <c r="B1137" s="1" t="s">
        <v>47</v>
      </c>
      <c r="C1137" s="1" t="s">
        <v>33</v>
      </c>
      <c r="D1137" s="1" t="s">
        <v>22</v>
      </c>
      <c r="E1137" s="1" t="s">
        <v>18</v>
      </c>
      <c r="F1137" s="7">
        <v>42209</v>
      </c>
      <c r="G1137" s="1" t="s">
        <v>1216</v>
      </c>
      <c r="H1137" s="7">
        <v>42228</v>
      </c>
      <c r="I1137" s="1">
        <f>Europe_Sales_Records[[#This Row],[Ship Date]]-Europe_Sales_Records[[#This Row],[Order Date]]</f>
        <v>19</v>
      </c>
      <c r="J1137" s="1">
        <v>4503</v>
      </c>
      <c r="K1137" s="1">
        <v>9.33</v>
      </c>
      <c r="L1137" s="1">
        <v>6.92</v>
      </c>
      <c r="M1137" s="1">
        <f>Europe_Sales_Records[[#This Row],[Unit Price]]-Europe_Sales_Records[[#This Row],[Unit Cost]]</f>
        <v>2.41</v>
      </c>
      <c r="N1137" s="1">
        <v>42012.99</v>
      </c>
      <c r="O1137" s="6">
        <v>31160.76</v>
      </c>
      <c r="P1137" s="1">
        <v>10852.23</v>
      </c>
    </row>
    <row r="1138" spans="1:16" x14ac:dyDescent="0.3">
      <c r="A1138" s="1" t="s">
        <v>14</v>
      </c>
      <c r="B1138" s="1" t="s">
        <v>97</v>
      </c>
      <c r="C1138" s="1" t="s">
        <v>29</v>
      </c>
      <c r="D1138" s="1" t="s">
        <v>17</v>
      </c>
      <c r="E1138" s="1" t="s">
        <v>23</v>
      </c>
      <c r="F1138" s="7">
        <v>41122</v>
      </c>
      <c r="G1138" s="1" t="s">
        <v>1217</v>
      </c>
      <c r="H1138" s="7">
        <v>41142</v>
      </c>
      <c r="I1138" s="1">
        <f>Europe_Sales_Records[[#This Row],[Ship Date]]-Europe_Sales_Records[[#This Row],[Order Date]]</f>
        <v>20</v>
      </c>
      <c r="J1138" s="1">
        <v>2708</v>
      </c>
      <c r="K1138" s="1">
        <v>651.21</v>
      </c>
      <c r="L1138" s="1">
        <v>524.96</v>
      </c>
      <c r="M1138" s="1">
        <f>Europe_Sales_Records[[#This Row],[Unit Price]]-Europe_Sales_Records[[#This Row],[Unit Cost]]</f>
        <v>126.25</v>
      </c>
      <c r="N1138" s="1">
        <v>1763476.68</v>
      </c>
      <c r="O1138" s="6">
        <v>1421591.68</v>
      </c>
      <c r="P1138" s="1">
        <v>341885</v>
      </c>
    </row>
    <row r="1139" spans="1:16" x14ac:dyDescent="0.3">
      <c r="A1139" s="1" t="s">
        <v>14</v>
      </c>
      <c r="B1139" s="1" t="s">
        <v>164</v>
      </c>
      <c r="C1139" s="1" t="s">
        <v>16</v>
      </c>
      <c r="D1139" s="1" t="s">
        <v>17</v>
      </c>
      <c r="E1139" s="1" t="s">
        <v>23</v>
      </c>
      <c r="F1139" s="7">
        <v>42262</v>
      </c>
      <c r="G1139" s="1" t="s">
        <v>1218</v>
      </c>
      <c r="H1139" s="7">
        <v>42285</v>
      </c>
      <c r="I1139" s="1">
        <f>Europe_Sales_Records[[#This Row],[Ship Date]]-Europe_Sales_Records[[#This Row],[Order Date]]</f>
        <v>23</v>
      </c>
      <c r="J1139" s="1">
        <v>5868</v>
      </c>
      <c r="K1139" s="1">
        <v>47.45</v>
      </c>
      <c r="L1139" s="1">
        <v>31.79</v>
      </c>
      <c r="M1139" s="1">
        <f>Europe_Sales_Records[[#This Row],[Unit Price]]-Europe_Sales_Records[[#This Row],[Unit Cost]]</f>
        <v>15.660000000000004</v>
      </c>
      <c r="N1139" s="1">
        <v>278436.59999999998</v>
      </c>
      <c r="O1139" s="6">
        <v>186543.72</v>
      </c>
      <c r="P1139" s="1">
        <v>91892.88</v>
      </c>
    </row>
    <row r="1140" spans="1:16" x14ac:dyDescent="0.3">
      <c r="A1140" s="1" t="s">
        <v>14</v>
      </c>
      <c r="B1140" s="1" t="s">
        <v>81</v>
      </c>
      <c r="C1140" s="1" t="s">
        <v>21</v>
      </c>
      <c r="D1140" s="1" t="s">
        <v>17</v>
      </c>
      <c r="E1140" s="1" t="s">
        <v>30</v>
      </c>
      <c r="F1140" s="7">
        <v>41283</v>
      </c>
      <c r="G1140" s="1" t="s">
        <v>1219</v>
      </c>
      <c r="H1140" s="7">
        <v>41285</v>
      </c>
      <c r="I1140" s="1">
        <f>Europe_Sales_Records[[#This Row],[Ship Date]]-Europe_Sales_Records[[#This Row],[Order Date]]</f>
        <v>2</v>
      </c>
      <c r="J1140" s="1">
        <v>3802</v>
      </c>
      <c r="K1140" s="1">
        <v>109.28</v>
      </c>
      <c r="L1140" s="1">
        <v>35.840000000000003</v>
      </c>
      <c r="M1140" s="1">
        <f>Europe_Sales_Records[[#This Row],[Unit Price]]-Europe_Sales_Records[[#This Row],[Unit Cost]]</f>
        <v>73.44</v>
      </c>
      <c r="N1140" s="1">
        <v>415482.56</v>
      </c>
      <c r="O1140" s="6">
        <v>136263.67999999999</v>
      </c>
      <c r="P1140" s="1">
        <v>279218.88</v>
      </c>
    </row>
    <row r="1141" spans="1:16" x14ac:dyDescent="0.3">
      <c r="A1141" s="1" t="s">
        <v>14</v>
      </c>
      <c r="B1141" s="1" t="s">
        <v>232</v>
      </c>
      <c r="C1141" s="1" t="s">
        <v>42</v>
      </c>
      <c r="D1141" s="1" t="s">
        <v>22</v>
      </c>
      <c r="E1141" s="1" t="s">
        <v>45</v>
      </c>
      <c r="F1141" s="7">
        <v>41144</v>
      </c>
      <c r="G1141" s="1" t="s">
        <v>1220</v>
      </c>
      <c r="H1141" s="7">
        <v>41178</v>
      </c>
      <c r="I1141" s="1">
        <f>Europe_Sales_Records[[#This Row],[Ship Date]]-Europe_Sales_Records[[#This Row],[Order Date]]</f>
        <v>34</v>
      </c>
      <c r="J1141" s="1">
        <v>8959</v>
      </c>
      <c r="K1141" s="1">
        <v>421.89</v>
      </c>
      <c r="L1141" s="1">
        <v>364.69</v>
      </c>
      <c r="M1141" s="1">
        <f>Europe_Sales_Records[[#This Row],[Unit Price]]-Europe_Sales_Records[[#This Row],[Unit Cost]]</f>
        <v>57.199999999999989</v>
      </c>
      <c r="N1141" s="1">
        <v>3779712.51</v>
      </c>
      <c r="O1141" s="6">
        <v>3267257.71</v>
      </c>
      <c r="P1141" s="1">
        <v>512454.8</v>
      </c>
    </row>
    <row r="1142" spans="1:16" x14ac:dyDescent="0.3">
      <c r="A1142" s="1" t="s">
        <v>14</v>
      </c>
      <c r="B1142" s="1" t="s">
        <v>41</v>
      </c>
      <c r="C1142" s="1" t="s">
        <v>39</v>
      </c>
      <c r="D1142" s="1" t="s">
        <v>22</v>
      </c>
      <c r="E1142" s="1" t="s">
        <v>30</v>
      </c>
      <c r="F1142" s="7">
        <v>42658</v>
      </c>
      <c r="G1142" s="1" t="s">
        <v>1221</v>
      </c>
      <c r="H1142" s="7">
        <v>42658</v>
      </c>
      <c r="I1142" s="1">
        <f>Europe_Sales_Records[[#This Row],[Ship Date]]-Europe_Sales_Records[[#This Row],[Order Date]]</f>
        <v>0</v>
      </c>
      <c r="J1142" s="1">
        <v>244</v>
      </c>
      <c r="K1142" s="1">
        <v>154.06</v>
      </c>
      <c r="L1142" s="1">
        <v>90.93</v>
      </c>
      <c r="M1142" s="1">
        <f>Europe_Sales_Records[[#This Row],[Unit Price]]-Europe_Sales_Records[[#This Row],[Unit Cost]]</f>
        <v>63.129999999999995</v>
      </c>
      <c r="N1142" s="1">
        <v>37590.639999999999</v>
      </c>
      <c r="O1142" s="6">
        <v>22186.92</v>
      </c>
      <c r="P1142" s="1">
        <v>15403.72</v>
      </c>
    </row>
    <row r="1143" spans="1:16" x14ac:dyDescent="0.3">
      <c r="A1143" s="1" t="s">
        <v>14</v>
      </c>
      <c r="B1143" s="1" t="s">
        <v>71</v>
      </c>
      <c r="C1143" s="1" t="s">
        <v>33</v>
      </c>
      <c r="D1143" s="1" t="s">
        <v>17</v>
      </c>
      <c r="E1143" s="1" t="s">
        <v>45</v>
      </c>
      <c r="F1143" s="7">
        <v>40659</v>
      </c>
      <c r="G1143" s="1" t="s">
        <v>1222</v>
      </c>
      <c r="H1143" s="7">
        <v>40709</v>
      </c>
      <c r="I1143" s="1">
        <f>Europe_Sales_Records[[#This Row],[Ship Date]]-Europe_Sales_Records[[#This Row],[Order Date]]</f>
        <v>50</v>
      </c>
      <c r="J1143" s="1">
        <v>1573</v>
      </c>
      <c r="K1143" s="1">
        <v>9.33</v>
      </c>
      <c r="L1143" s="1">
        <v>6.92</v>
      </c>
      <c r="M1143" s="1">
        <f>Europe_Sales_Records[[#This Row],[Unit Price]]-Europe_Sales_Records[[#This Row],[Unit Cost]]</f>
        <v>2.41</v>
      </c>
      <c r="N1143" s="1">
        <v>14676.09</v>
      </c>
      <c r="O1143" s="6">
        <v>10885.16</v>
      </c>
      <c r="P1143" s="1">
        <v>3790.93</v>
      </c>
    </row>
    <row r="1144" spans="1:16" x14ac:dyDescent="0.3">
      <c r="A1144" s="1" t="s">
        <v>14</v>
      </c>
      <c r="B1144" s="1" t="s">
        <v>56</v>
      </c>
      <c r="C1144" s="1" t="s">
        <v>16</v>
      </c>
      <c r="D1144" s="1" t="s">
        <v>17</v>
      </c>
      <c r="E1144" s="1" t="s">
        <v>30</v>
      </c>
      <c r="F1144" s="7">
        <v>41128</v>
      </c>
      <c r="G1144" s="1" t="s">
        <v>1223</v>
      </c>
      <c r="H1144" s="7">
        <v>41148</v>
      </c>
      <c r="I1144" s="1">
        <f>Europe_Sales_Records[[#This Row],[Ship Date]]-Europe_Sales_Records[[#This Row],[Order Date]]</f>
        <v>20</v>
      </c>
      <c r="J1144" s="1">
        <v>1111</v>
      </c>
      <c r="K1144" s="1">
        <v>47.45</v>
      </c>
      <c r="L1144" s="1">
        <v>31.79</v>
      </c>
      <c r="M1144" s="1">
        <f>Europe_Sales_Records[[#This Row],[Unit Price]]-Europe_Sales_Records[[#This Row],[Unit Cost]]</f>
        <v>15.660000000000004</v>
      </c>
      <c r="N1144" s="1">
        <v>52716.95</v>
      </c>
      <c r="O1144" s="6">
        <v>35318.69</v>
      </c>
      <c r="P1144" s="1">
        <v>17398.259999999998</v>
      </c>
    </row>
    <row r="1145" spans="1:16" x14ac:dyDescent="0.3">
      <c r="A1145" s="1" t="s">
        <v>14</v>
      </c>
      <c r="B1145" s="1" t="s">
        <v>47</v>
      </c>
      <c r="C1145" s="1" t="s">
        <v>48</v>
      </c>
      <c r="D1145" s="1" t="s">
        <v>22</v>
      </c>
      <c r="E1145" s="1" t="s">
        <v>30</v>
      </c>
      <c r="F1145" s="7">
        <v>41491</v>
      </c>
      <c r="G1145" s="1" t="s">
        <v>1224</v>
      </c>
      <c r="H1145" s="7">
        <v>41497</v>
      </c>
      <c r="I1145" s="1">
        <f>Europe_Sales_Records[[#This Row],[Ship Date]]-Europe_Sales_Records[[#This Row],[Order Date]]</f>
        <v>6</v>
      </c>
      <c r="J1145" s="1">
        <v>2856</v>
      </c>
      <c r="K1145" s="1">
        <v>152.58000000000001</v>
      </c>
      <c r="L1145" s="1">
        <v>97.44</v>
      </c>
      <c r="M1145" s="1">
        <f>Europe_Sales_Records[[#This Row],[Unit Price]]-Europe_Sales_Records[[#This Row],[Unit Cost]]</f>
        <v>55.140000000000015</v>
      </c>
      <c r="N1145" s="1">
        <v>435768.48</v>
      </c>
      <c r="O1145" s="6">
        <v>278288.64000000001</v>
      </c>
      <c r="P1145" s="1">
        <v>157479.84</v>
      </c>
    </row>
    <row r="1146" spans="1:16" x14ac:dyDescent="0.3">
      <c r="A1146" s="1" t="s">
        <v>14</v>
      </c>
      <c r="B1146" s="1" t="s">
        <v>50</v>
      </c>
      <c r="C1146" s="1" t="s">
        <v>42</v>
      </c>
      <c r="D1146" s="1" t="s">
        <v>17</v>
      </c>
      <c r="E1146" s="1" t="s">
        <v>30</v>
      </c>
      <c r="F1146" s="7">
        <v>40991</v>
      </c>
      <c r="G1146" s="1" t="s">
        <v>1225</v>
      </c>
      <c r="H1146" s="7">
        <v>41034</v>
      </c>
      <c r="I1146" s="1">
        <f>Europe_Sales_Records[[#This Row],[Ship Date]]-Europe_Sales_Records[[#This Row],[Order Date]]</f>
        <v>43</v>
      </c>
      <c r="J1146" s="1">
        <v>6065</v>
      </c>
      <c r="K1146" s="1">
        <v>421.89</v>
      </c>
      <c r="L1146" s="1">
        <v>364.69</v>
      </c>
      <c r="M1146" s="1">
        <f>Europe_Sales_Records[[#This Row],[Unit Price]]-Europe_Sales_Records[[#This Row],[Unit Cost]]</f>
        <v>57.199999999999989</v>
      </c>
      <c r="N1146" s="1">
        <v>2558762.85</v>
      </c>
      <c r="O1146" s="6">
        <v>2211844.85</v>
      </c>
      <c r="P1146" s="1">
        <v>346918</v>
      </c>
    </row>
    <row r="1147" spans="1:16" x14ac:dyDescent="0.3">
      <c r="A1147" s="1" t="s">
        <v>14</v>
      </c>
      <c r="B1147" s="1" t="s">
        <v>28</v>
      </c>
      <c r="C1147" s="1" t="s">
        <v>33</v>
      </c>
      <c r="D1147" s="1" t="s">
        <v>22</v>
      </c>
      <c r="E1147" s="1" t="s">
        <v>30</v>
      </c>
      <c r="F1147" s="7">
        <v>40421</v>
      </c>
      <c r="G1147" s="1" t="s">
        <v>1226</v>
      </c>
      <c r="H1147" s="7">
        <v>40453</v>
      </c>
      <c r="I1147" s="1">
        <f>Europe_Sales_Records[[#This Row],[Ship Date]]-Europe_Sales_Records[[#This Row],[Order Date]]</f>
        <v>32</v>
      </c>
      <c r="J1147" s="1">
        <v>8267</v>
      </c>
      <c r="K1147" s="1">
        <v>9.33</v>
      </c>
      <c r="L1147" s="1">
        <v>6.92</v>
      </c>
      <c r="M1147" s="1">
        <f>Europe_Sales_Records[[#This Row],[Unit Price]]-Europe_Sales_Records[[#This Row],[Unit Cost]]</f>
        <v>2.41</v>
      </c>
      <c r="N1147" s="1">
        <v>77131.11</v>
      </c>
      <c r="O1147" s="6">
        <v>57207.64</v>
      </c>
      <c r="P1147" s="1">
        <v>19923.47</v>
      </c>
    </row>
    <row r="1148" spans="1:16" x14ac:dyDescent="0.3">
      <c r="A1148" s="1" t="s">
        <v>14</v>
      </c>
      <c r="B1148" s="1" t="s">
        <v>44</v>
      </c>
      <c r="C1148" s="1" t="s">
        <v>52</v>
      </c>
      <c r="D1148" s="1" t="s">
        <v>22</v>
      </c>
      <c r="E1148" s="1" t="s">
        <v>23</v>
      </c>
      <c r="F1148" s="7">
        <v>40464</v>
      </c>
      <c r="G1148" s="1" t="s">
        <v>1227</v>
      </c>
      <c r="H1148" s="7">
        <v>40505</v>
      </c>
      <c r="I1148" s="1">
        <f>Europe_Sales_Records[[#This Row],[Ship Date]]-Europe_Sales_Records[[#This Row],[Order Date]]</f>
        <v>41</v>
      </c>
      <c r="J1148" s="1">
        <v>5118</v>
      </c>
      <c r="K1148" s="1">
        <v>255.28</v>
      </c>
      <c r="L1148" s="1">
        <v>159.41999999999999</v>
      </c>
      <c r="M1148" s="1">
        <f>Europe_Sales_Records[[#This Row],[Unit Price]]-Europe_Sales_Records[[#This Row],[Unit Cost]]</f>
        <v>95.860000000000014</v>
      </c>
      <c r="N1148" s="1">
        <v>1306523.04</v>
      </c>
      <c r="O1148" s="6">
        <v>815911.56</v>
      </c>
      <c r="P1148" s="1">
        <v>490611.48</v>
      </c>
    </row>
    <row r="1149" spans="1:16" x14ac:dyDescent="0.3">
      <c r="A1149" s="1" t="s">
        <v>14</v>
      </c>
      <c r="B1149" s="1" t="s">
        <v>44</v>
      </c>
      <c r="C1149" s="1" t="s">
        <v>39</v>
      </c>
      <c r="D1149" s="1" t="s">
        <v>22</v>
      </c>
      <c r="E1149" s="1" t="s">
        <v>30</v>
      </c>
      <c r="F1149" s="7">
        <v>42238</v>
      </c>
      <c r="G1149" s="1" t="s">
        <v>1228</v>
      </c>
      <c r="H1149" s="7">
        <v>42281</v>
      </c>
      <c r="I1149" s="1">
        <f>Europe_Sales_Records[[#This Row],[Ship Date]]-Europe_Sales_Records[[#This Row],[Order Date]]</f>
        <v>43</v>
      </c>
      <c r="J1149" s="1">
        <v>9169</v>
      </c>
      <c r="K1149" s="1">
        <v>154.06</v>
      </c>
      <c r="L1149" s="1">
        <v>90.93</v>
      </c>
      <c r="M1149" s="1">
        <f>Europe_Sales_Records[[#This Row],[Unit Price]]-Europe_Sales_Records[[#This Row],[Unit Cost]]</f>
        <v>63.129999999999995</v>
      </c>
      <c r="N1149" s="1">
        <v>1412576.14</v>
      </c>
      <c r="O1149" s="6">
        <v>833737.17</v>
      </c>
      <c r="P1149" s="1">
        <v>578838.97</v>
      </c>
    </row>
    <row r="1150" spans="1:16" x14ac:dyDescent="0.3">
      <c r="A1150" s="1" t="s">
        <v>14</v>
      </c>
      <c r="B1150" s="1" t="s">
        <v>25</v>
      </c>
      <c r="C1150" s="1" t="s">
        <v>79</v>
      </c>
      <c r="D1150" s="1" t="s">
        <v>17</v>
      </c>
      <c r="E1150" s="1" t="s">
        <v>23</v>
      </c>
      <c r="F1150" s="7">
        <v>40308</v>
      </c>
      <c r="G1150" s="1" t="s">
        <v>1229</v>
      </c>
      <c r="H1150" s="7">
        <v>40336</v>
      </c>
      <c r="I1150" s="1">
        <f>Europe_Sales_Records[[#This Row],[Ship Date]]-Europe_Sales_Records[[#This Row],[Order Date]]</f>
        <v>28</v>
      </c>
      <c r="J1150" s="1">
        <v>6348</v>
      </c>
      <c r="K1150" s="1">
        <v>81.73</v>
      </c>
      <c r="L1150" s="1">
        <v>56.67</v>
      </c>
      <c r="M1150" s="1">
        <f>Europe_Sales_Records[[#This Row],[Unit Price]]-Europe_Sales_Records[[#This Row],[Unit Cost]]</f>
        <v>25.060000000000002</v>
      </c>
      <c r="N1150" s="1">
        <v>518822.04</v>
      </c>
      <c r="O1150" s="6">
        <v>359741.16</v>
      </c>
      <c r="P1150" s="1">
        <v>159080.88</v>
      </c>
    </row>
    <row r="1151" spans="1:16" x14ac:dyDescent="0.3">
      <c r="A1151" s="1" t="s">
        <v>14</v>
      </c>
      <c r="B1151" s="1" t="s">
        <v>180</v>
      </c>
      <c r="C1151" s="1" t="s">
        <v>79</v>
      </c>
      <c r="D1151" s="1" t="s">
        <v>17</v>
      </c>
      <c r="E1151" s="1" t="s">
        <v>45</v>
      </c>
      <c r="F1151" s="7">
        <v>42792</v>
      </c>
      <c r="G1151" s="1" t="s">
        <v>1230</v>
      </c>
      <c r="H1151" s="7">
        <v>42842</v>
      </c>
      <c r="I1151" s="1">
        <f>Europe_Sales_Records[[#This Row],[Ship Date]]-Europe_Sales_Records[[#This Row],[Order Date]]</f>
        <v>50</v>
      </c>
      <c r="J1151" s="1">
        <v>3331</v>
      </c>
      <c r="K1151" s="1">
        <v>81.73</v>
      </c>
      <c r="L1151" s="1">
        <v>56.67</v>
      </c>
      <c r="M1151" s="1">
        <f>Europe_Sales_Records[[#This Row],[Unit Price]]-Europe_Sales_Records[[#This Row],[Unit Cost]]</f>
        <v>25.060000000000002</v>
      </c>
      <c r="N1151" s="1">
        <v>272242.63</v>
      </c>
      <c r="O1151" s="6">
        <v>188767.77</v>
      </c>
      <c r="P1151" s="1">
        <v>83474.86</v>
      </c>
    </row>
    <row r="1152" spans="1:16" x14ac:dyDescent="0.3">
      <c r="A1152" s="1" t="s">
        <v>14</v>
      </c>
      <c r="B1152" s="1" t="s">
        <v>150</v>
      </c>
      <c r="C1152" s="1" t="s">
        <v>52</v>
      </c>
      <c r="D1152" s="1" t="s">
        <v>17</v>
      </c>
      <c r="E1152" s="1" t="s">
        <v>18</v>
      </c>
      <c r="F1152" s="7">
        <v>41340</v>
      </c>
      <c r="G1152" s="1" t="s">
        <v>1231</v>
      </c>
      <c r="H1152" s="7">
        <v>41377</v>
      </c>
      <c r="I1152" s="1">
        <f>Europe_Sales_Records[[#This Row],[Ship Date]]-Europe_Sales_Records[[#This Row],[Order Date]]</f>
        <v>37</v>
      </c>
      <c r="J1152" s="1">
        <v>6267</v>
      </c>
      <c r="K1152" s="1">
        <v>255.28</v>
      </c>
      <c r="L1152" s="1">
        <v>159.41999999999999</v>
      </c>
      <c r="M1152" s="1">
        <f>Europe_Sales_Records[[#This Row],[Unit Price]]-Europe_Sales_Records[[#This Row],[Unit Cost]]</f>
        <v>95.860000000000014</v>
      </c>
      <c r="N1152" s="1">
        <v>1599839.76</v>
      </c>
      <c r="O1152" s="6">
        <v>999085.14</v>
      </c>
      <c r="P1152" s="1">
        <v>600754.62</v>
      </c>
    </row>
    <row r="1153" spans="1:16" x14ac:dyDescent="0.3">
      <c r="A1153" s="1" t="s">
        <v>14</v>
      </c>
      <c r="B1153" s="1" t="s">
        <v>97</v>
      </c>
      <c r="C1153" s="1" t="s">
        <v>33</v>
      </c>
      <c r="D1153" s="1" t="s">
        <v>22</v>
      </c>
      <c r="E1153" s="1" t="s">
        <v>30</v>
      </c>
      <c r="F1153" s="7">
        <v>41071</v>
      </c>
      <c r="G1153" s="1" t="s">
        <v>1232</v>
      </c>
      <c r="H1153" s="7">
        <v>41098</v>
      </c>
      <c r="I1153" s="1">
        <f>Europe_Sales_Records[[#This Row],[Ship Date]]-Europe_Sales_Records[[#This Row],[Order Date]]</f>
        <v>27</v>
      </c>
      <c r="J1153" s="1">
        <v>6362</v>
      </c>
      <c r="K1153" s="1">
        <v>9.33</v>
      </c>
      <c r="L1153" s="1">
        <v>6.92</v>
      </c>
      <c r="M1153" s="1">
        <f>Europe_Sales_Records[[#This Row],[Unit Price]]-Europe_Sales_Records[[#This Row],[Unit Cost]]</f>
        <v>2.41</v>
      </c>
      <c r="N1153" s="1">
        <v>59357.46</v>
      </c>
      <c r="O1153" s="6">
        <v>44025.04</v>
      </c>
      <c r="P1153" s="1">
        <v>15332.42</v>
      </c>
    </row>
    <row r="1154" spans="1:16" x14ac:dyDescent="0.3">
      <c r="A1154" s="1" t="s">
        <v>14</v>
      </c>
      <c r="B1154" s="1" t="s">
        <v>63</v>
      </c>
      <c r="C1154" s="1" t="s">
        <v>16</v>
      </c>
      <c r="D1154" s="1" t="s">
        <v>22</v>
      </c>
      <c r="E1154" s="1" t="s">
        <v>23</v>
      </c>
      <c r="F1154" s="7">
        <v>41031</v>
      </c>
      <c r="G1154" s="1" t="s">
        <v>1233</v>
      </c>
      <c r="H1154" s="7">
        <v>41057</v>
      </c>
      <c r="I1154" s="1">
        <f>Europe_Sales_Records[[#This Row],[Ship Date]]-Europe_Sales_Records[[#This Row],[Order Date]]</f>
        <v>26</v>
      </c>
      <c r="J1154" s="1">
        <v>461</v>
      </c>
      <c r="K1154" s="1">
        <v>47.45</v>
      </c>
      <c r="L1154" s="1">
        <v>31.79</v>
      </c>
      <c r="M1154" s="1">
        <f>Europe_Sales_Records[[#This Row],[Unit Price]]-Europe_Sales_Records[[#This Row],[Unit Cost]]</f>
        <v>15.660000000000004</v>
      </c>
      <c r="N1154" s="1">
        <v>21874.45</v>
      </c>
      <c r="O1154" s="6">
        <v>14655.19</v>
      </c>
      <c r="P1154" s="1">
        <v>7219.26</v>
      </c>
    </row>
    <row r="1155" spans="1:16" x14ac:dyDescent="0.3">
      <c r="A1155" s="1" t="s">
        <v>14</v>
      </c>
      <c r="B1155" s="1" t="s">
        <v>120</v>
      </c>
      <c r="C1155" s="1" t="s">
        <v>42</v>
      </c>
      <c r="D1155" s="1" t="s">
        <v>22</v>
      </c>
      <c r="E1155" s="1" t="s">
        <v>45</v>
      </c>
      <c r="F1155" s="7">
        <v>41278</v>
      </c>
      <c r="G1155" s="1" t="s">
        <v>1234</v>
      </c>
      <c r="H1155" s="7">
        <v>41326</v>
      </c>
      <c r="I1155" s="1">
        <f>Europe_Sales_Records[[#This Row],[Ship Date]]-Europe_Sales_Records[[#This Row],[Order Date]]</f>
        <v>48</v>
      </c>
      <c r="J1155" s="1">
        <v>691</v>
      </c>
      <c r="K1155" s="1">
        <v>421.89</v>
      </c>
      <c r="L1155" s="1">
        <v>364.69</v>
      </c>
      <c r="M1155" s="1">
        <f>Europe_Sales_Records[[#This Row],[Unit Price]]-Europe_Sales_Records[[#This Row],[Unit Cost]]</f>
        <v>57.199999999999989</v>
      </c>
      <c r="N1155" s="1">
        <v>291525.99</v>
      </c>
      <c r="O1155" s="6">
        <v>252000.79</v>
      </c>
      <c r="P1155" s="1">
        <v>39525.199999999997</v>
      </c>
    </row>
    <row r="1156" spans="1:16" x14ac:dyDescent="0.3">
      <c r="A1156" s="1" t="s">
        <v>14</v>
      </c>
      <c r="B1156" s="1" t="s">
        <v>59</v>
      </c>
      <c r="C1156" s="1" t="s">
        <v>29</v>
      </c>
      <c r="D1156" s="1" t="s">
        <v>17</v>
      </c>
      <c r="E1156" s="1" t="s">
        <v>18</v>
      </c>
      <c r="F1156" s="7">
        <v>42629</v>
      </c>
      <c r="G1156" s="1" t="s">
        <v>1235</v>
      </c>
      <c r="H1156" s="7">
        <v>42670</v>
      </c>
      <c r="I1156" s="1">
        <f>Europe_Sales_Records[[#This Row],[Ship Date]]-Europe_Sales_Records[[#This Row],[Order Date]]</f>
        <v>41</v>
      </c>
      <c r="J1156" s="1">
        <v>7577</v>
      </c>
      <c r="K1156" s="1">
        <v>651.21</v>
      </c>
      <c r="L1156" s="1">
        <v>524.96</v>
      </c>
      <c r="M1156" s="1">
        <f>Europe_Sales_Records[[#This Row],[Unit Price]]-Europe_Sales_Records[[#This Row],[Unit Cost]]</f>
        <v>126.25</v>
      </c>
      <c r="N1156" s="1">
        <v>4934218.17</v>
      </c>
      <c r="O1156" s="6">
        <v>3977621.92</v>
      </c>
      <c r="P1156" s="1">
        <v>956596.25</v>
      </c>
    </row>
    <row r="1157" spans="1:16" x14ac:dyDescent="0.3">
      <c r="A1157" s="1" t="s">
        <v>14</v>
      </c>
      <c r="B1157" s="1" t="s">
        <v>172</v>
      </c>
      <c r="C1157" s="1" t="s">
        <v>33</v>
      </c>
      <c r="D1157" s="1" t="s">
        <v>17</v>
      </c>
      <c r="E1157" s="1" t="s">
        <v>23</v>
      </c>
      <c r="F1157" s="7">
        <v>42576</v>
      </c>
      <c r="G1157" s="1" t="s">
        <v>1236</v>
      </c>
      <c r="H1157" s="7">
        <v>42614</v>
      </c>
      <c r="I1157" s="1">
        <f>Europe_Sales_Records[[#This Row],[Ship Date]]-Europe_Sales_Records[[#This Row],[Order Date]]</f>
        <v>38</v>
      </c>
      <c r="J1157" s="1">
        <v>8431</v>
      </c>
      <c r="K1157" s="1">
        <v>9.33</v>
      </c>
      <c r="L1157" s="1">
        <v>6.92</v>
      </c>
      <c r="M1157" s="1">
        <f>Europe_Sales_Records[[#This Row],[Unit Price]]-Europe_Sales_Records[[#This Row],[Unit Cost]]</f>
        <v>2.41</v>
      </c>
      <c r="N1157" s="1">
        <v>78661.23</v>
      </c>
      <c r="O1157" s="6">
        <v>58342.52</v>
      </c>
      <c r="P1157" s="1">
        <v>20318.71</v>
      </c>
    </row>
    <row r="1158" spans="1:16" x14ac:dyDescent="0.3">
      <c r="A1158" s="1" t="s">
        <v>14</v>
      </c>
      <c r="B1158" s="1" t="s">
        <v>116</v>
      </c>
      <c r="C1158" s="1" t="s">
        <v>42</v>
      </c>
      <c r="D1158" s="1" t="s">
        <v>17</v>
      </c>
      <c r="E1158" s="1" t="s">
        <v>30</v>
      </c>
      <c r="F1158" s="7">
        <v>40741</v>
      </c>
      <c r="G1158" s="1" t="s">
        <v>1237</v>
      </c>
      <c r="H1158" s="7">
        <v>40766</v>
      </c>
      <c r="I1158" s="1">
        <f>Europe_Sales_Records[[#This Row],[Ship Date]]-Europe_Sales_Records[[#This Row],[Order Date]]</f>
        <v>25</v>
      </c>
      <c r="J1158" s="1">
        <v>167</v>
      </c>
      <c r="K1158" s="1">
        <v>421.89</v>
      </c>
      <c r="L1158" s="1">
        <v>364.69</v>
      </c>
      <c r="M1158" s="1">
        <f>Europe_Sales_Records[[#This Row],[Unit Price]]-Europe_Sales_Records[[#This Row],[Unit Cost]]</f>
        <v>57.199999999999989</v>
      </c>
      <c r="N1158" s="1">
        <v>70455.63</v>
      </c>
      <c r="O1158" s="6">
        <v>60903.23</v>
      </c>
      <c r="P1158" s="1">
        <v>9552.4</v>
      </c>
    </row>
    <row r="1159" spans="1:16" x14ac:dyDescent="0.3">
      <c r="A1159" s="1" t="s">
        <v>14</v>
      </c>
      <c r="B1159" s="1" t="s">
        <v>87</v>
      </c>
      <c r="C1159" s="1" t="s">
        <v>29</v>
      </c>
      <c r="D1159" s="1" t="s">
        <v>17</v>
      </c>
      <c r="E1159" s="1" t="s">
        <v>18</v>
      </c>
      <c r="F1159" s="7">
        <v>41257</v>
      </c>
      <c r="G1159" s="1" t="s">
        <v>1238</v>
      </c>
      <c r="H1159" s="7">
        <v>41289</v>
      </c>
      <c r="I1159" s="1">
        <f>Europe_Sales_Records[[#This Row],[Ship Date]]-Europe_Sales_Records[[#This Row],[Order Date]]</f>
        <v>32</v>
      </c>
      <c r="J1159" s="1">
        <v>1164</v>
      </c>
      <c r="K1159" s="1">
        <v>651.21</v>
      </c>
      <c r="L1159" s="1">
        <v>524.96</v>
      </c>
      <c r="M1159" s="1">
        <f>Europe_Sales_Records[[#This Row],[Unit Price]]-Europe_Sales_Records[[#This Row],[Unit Cost]]</f>
        <v>126.25</v>
      </c>
      <c r="N1159" s="1">
        <v>758008.44</v>
      </c>
      <c r="O1159" s="6">
        <v>611053.43999999994</v>
      </c>
      <c r="P1159" s="1">
        <v>146955</v>
      </c>
    </row>
    <row r="1160" spans="1:16" x14ac:dyDescent="0.3">
      <c r="A1160" s="1" t="s">
        <v>14</v>
      </c>
      <c r="B1160" s="1" t="s">
        <v>152</v>
      </c>
      <c r="C1160" s="1" t="s">
        <v>42</v>
      </c>
      <c r="D1160" s="1" t="s">
        <v>22</v>
      </c>
      <c r="E1160" s="1" t="s">
        <v>23</v>
      </c>
      <c r="F1160" s="7">
        <v>42194</v>
      </c>
      <c r="G1160" s="1" t="s">
        <v>1239</v>
      </c>
      <c r="H1160" s="7">
        <v>42200</v>
      </c>
      <c r="I1160" s="1">
        <f>Europe_Sales_Records[[#This Row],[Ship Date]]-Europe_Sales_Records[[#This Row],[Order Date]]</f>
        <v>6</v>
      </c>
      <c r="J1160" s="1">
        <v>7309</v>
      </c>
      <c r="K1160" s="1">
        <v>421.89</v>
      </c>
      <c r="L1160" s="1">
        <v>364.69</v>
      </c>
      <c r="M1160" s="1">
        <f>Europe_Sales_Records[[#This Row],[Unit Price]]-Europe_Sales_Records[[#This Row],[Unit Cost]]</f>
        <v>57.199999999999989</v>
      </c>
      <c r="N1160" s="1">
        <v>3083594.01</v>
      </c>
      <c r="O1160" s="6">
        <v>2665519.21</v>
      </c>
      <c r="P1160" s="1">
        <v>418074.8</v>
      </c>
    </row>
    <row r="1161" spans="1:16" x14ac:dyDescent="0.3">
      <c r="A1161" s="1" t="s">
        <v>14</v>
      </c>
      <c r="B1161" s="1" t="s">
        <v>38</v>
      </c>
      <c r="C1161" s="1" t="s">
        <v>79</v>
      </c>
      <c r="D1161" s="1" t="s">
        <v>22</v>
      </c>
      <c r="E1161" s="1" t="s">
        <v>30</v>
      </c>
      <c r="F1161" s="7">
        <v>40680</v>
      </c>
      <c r="G1161" s="1" t="s">
        <v>1240</v>
      </c>
      <c r="H1161" s="7">
        <v>40685</v>
      </c>
      <c r="I1161" s="1">
        <f>Europe_Sales_Records[[#This Row],[Ship Date]]-Europe_Sales_Records[[#This Row],[Order Date]]</f>
        <v>5</v>
      </c>
      <c r="J1161" s="1">
        <v>1742</v>
      </c>
      <c r="K1161" s="1">
        <v>81.73</v>
      </c>
      <c r="L1161" s="1">
        <v>56.67</v>
      </c>
      <c r="M1161" s="1">
        <f>Europe_Sales_Records[[#This Row],[Unit Price]]-Europe_Sales_Records[[#This Row],[Unit Cost]]</f>
        <v>25.060000000000002</v>
      </c>
      <c r="N1161" s="1">
        <v>142373.66</v>
      </c>
      <c r="O1161" s="6">
        <v>98719.14</v>
      </c>
      <c r="P1161" s="1">
        <v>43654.52</v>
      </c>
    </row>
    <row r="1162" spans="1:16" x14ac:dyDescent="0.3">
      <c r="A1162" s="1" t="s">
        <v>14</v>
      </c>
      <c r="B1162" s="1" t="s">
        <v>127</v>
      </c>
      <c r="C1162" s="1" t="s">
        <v>26</v>
      </c>
      <c r="D1162" s="1" t="s">
        <v>17</v>
      </c>
      <c r="E1162" s="1" t="s">
        <v>30</v>
      </c>
      <c r="F1162" s="7">
        <v>40510</v>
      </c>
      <c r="G1162" s="1" t="s">
        <v>1241</v>
      </c>
      <c r="H1162" s="7">
        <v>40554</v>
      </c>
      <c r="I1162" s="1">
        <f>Europe_Sales_Records[[#This Row],[Ship Date]]-Europe_Sales_Records[[#This Row],[Order Date]]</f>
        <v>44</v>
      </c>
      <c r="J1162" s="1">
        <v>1713</v>
      </c>
      <c r="K1162" s="1">
        <v>205.7</v>
      </c>
      <c r="L1162" s="1">
        <v>117.11</v>
      </c>
      <c r="M1162" s="1">
        <f>Europe_Sales_Records[[#This Row],[Unit Price]]-Europe_Sales_Records[[#This Row],[Unit Cost]]</f>
        <v>88.589999999999989</v>
      </c>
      <c r="N1162" s="1">
        <v>352364.1</v>
      </c>
      <c r="O1162" s="6">
        <v>200609.43</v>
      </c>
      <c r="P1162" s="1">
        <v>151754.67000000001</v>
      </c>
    </row>
    <row r="1163" spans="1:16" x14ac:dyDescent="0.3">
      <c r="A1163" s="1" t="s">
        <v>14</v>
      </c>
      <c r="B1163" s="1" t="s">
        <v>56</v>
      </c>
      <c r="C1163" s="1" t="s">
        <v>26</v>
      </c>
      <c r="D1163" s="1" t="s">
        <v>22</v>
      </c>
      <c r="E1163" s="1" t="s">
        <v>30</v>
      </c>
      <c r="F1163" s="7">
        <v>41649</v>
      </c>
      <c r="G1163" s="1" t="s">
        <v>1242</v>
      </c>
      <c r="H1163" s="7">
        <v>41694</v>
      </c>
      <c r="I1163" s="1">
        <f>Europe_Sales_Records[[#This Row],[Ship Date]]-Europe_Sales_Records[[#This Row],[Order Date]]</f>
        <v>45</v>
      </c>
      <c r="J1163" s="1">
        <v>1293</v>
      </c>
      <c r="K1163" s="1">
        <v>205.7</v>
      </c>
      <c r="L1163" s="1">
        <v>117.11</v>
      </c>
      <c r="M1163" s="1">
        <f>Europe_Sales_Records[[#This Row],[Unit Price]]-Europe_Sales_Records[[#This Row],[Unit Cost]]</f>
        <v>88.589999999999989</v>
      </c>
      <c r="N1163" s="1">
        <v>265970.09999999998</v>
      </c>
      <c r="O1163" s="6">
        <v>151423.23000000001</v>
      </c>
      <c r="P1163" s="1">
        <v>114546.87</v>
      </c>
    </row>
    <row r="1164" spans="1:16" x14ac:dyDescent="0.3">
      <c r="A1164" s="1" t="s">
        <v>14</v>
      </c>
      <c r="B1164" s="1" t="s">
        <v>32</v>
      </c>
      <c r="C1164" s="1" t="s">
        <v>52</v>
      </c>
      <c r="D1164" s="1" t="s">
        <v>17</v>
      </c>
      <c r="E1164" s="1" t="s">
        <v>23</v>
      </c>
      <c r="F1164" s="7">
        <v>41641</v>
      </c>
      <c r="G1164" s="1" t="s">
        <v>1243</v>
      </c>
      <c r="H1164" s="7">
        <v>41690</v>
      </c>
      <c r="I1164" s="1">
        <f>Europe_Sales_Records[[#This Row],[Ship Date]]-Europe_Sales_Records[[#This Row],[Order Date]]</f>
        <v>49</v>
      </c>
      <c r="J1164" s="1">
        <v>2797</v>
      </c>
      <c r="K1164" s="1">
        <v>255.28</v>
      </c>
      <c r="L1164" s="1">
        <v>159.41999999999999</v>
      </c>
      <c r="M1164" s="1">
        <f>Europe_Sales_Records[[#This Row],[Unit Price]]-Europe_Sales_Records[[#This Row],[Unit Cost]]</f>
        <v>95.860000000000014</v>
      </c>
      <c r="N1164" s="1">
        <v>714018.16</v>
      </c>
      <c r="O1164" s="6">
        <v>445897.74</v>
      </c>
      <c r="P1164" s="1">
        <v>268120.42</v>
      </c>
    </row>
    <row r="1165" spans="1:16" x14ac:dyDescent="0.3">
      <c r="A1165" s="1" t="s">
        <v>14</v>
      </c>
      <c r="B1165" s="1" t="s">
        <v>38</v>
      </c>
      <c r="C1165" s="1" t="s">
        <v>42</v>
      </c>
      <c r="D1165" s="1" t="s">
        <v>22</v>
      </c>
      <c r="E1165" s="1" t="s">
        <v>23</v>
      </c>
      <c r="F1165" s="7">
        <v>42357</v>
      </c>
      <c r="G1165" s="1" t="s">
        <v>1244</v>
      </c>
      <c r="H1165" s="7">
        <v>42357</v>
      </c>
      <c r="I1165" s="1">
        <f>Europe_Sales_Records[[#This Row],[Ship Date]]-Europe_Sales_Records[[#This Row],[Order Date]]</f>
        <v>0</v>
      </c>
      <c r="J1165" s="1">
        <v>495</v>
      </c>
      <c r="K1165" s="1">
        <v>421.89</v>
      </c>
      <c r="L1165" s="1">
        <v>364.69</v>
      </c>
      <c r="M1165" s="1">
        <f>Europe_Sales_Records[[#This Row],[Unit Price]]-Europe_Sales_Records[[#This Row],[Unit Cost]]</f>
        <v>57.199999999999989</v>
      </c>
      <c r="N1165" s="1">
        <v>208835.55</v>
      </c>
      <c r="O1165" s="6">
        <v>180521.55</v>
      </c>
      <c r="P1165" s="1">
        <v>28314</v>
      </c>
    </row>
    <row r="1166" spans="1:16" x14ac:dyDescent="0.3">
      <c r="A1166" s="1" t="s">
        <v>14</v>
      </c>
      <c r="B1166" s="1" t="s">
        <v>219</v>
      </c>
      <c r="C1166" s="1" t="s">
        <v>52</v>
      </c>
      <c r="D1166" s="1" t="s">
        <v>17</v>
      </c>
      <c r="E1166" s="1" t="s">
        <v>45</v>
      </c>
      <c r="F1166" s="7">
        <v>42178</v>
      </c>
      <c r="G1166" s="1" t="s">
        <v>1245</v>
      </c>
      <c r="H1166" s="7">
        <v>42199</v>
      </c>
      <c r="I1166" s="1">
        <f>Europe_Sales_Records[[#This Row],[Ship Date]]-Europe_Sales_Records[[#This Row],[Order Date]]</f>
        <v>21</v>
      </c>
      <c r="J1166" s="1">
        <v>8895</v>
      </c>
      <c r="K1166" s="1">
        <v>255.28</v>
      </c>
      <c r="L1166" s="1">
        <v>159.41999999999999</v>
      </c>
      <c r="M1166" s="1">
        <f>Europe_Sales_Records[[#This Row],[Unit Price]]-Europe_Sales_Records[[#This Row],[Unit Cost]]</f>
        <v>95.860000000000014</v>
      </c>
      <c r="N1166" s="1">
        <v>2270715.6</v>
      </c>
      <c r="O1166" s="6">
        <v>1418040.9</v>
      </c>
      <c r="P1166" s="1">
        <v>852674.7</v>
      </c>
    </row>
    <row r="1167" spans="1:16" x14ac:dyDescent="0.3">
      <c r="A1167" s="1" t="s">
        <v>14</v>
      </c>
      <c r="B1167" s="1" t="s">
        <v>127</v>
      </c>
      <c r="C1167" s="1" t="s">
        <v>26</v>
      </c>
      <c r="D1167" s="1" t="s">
        <v>22</v>
      </c>
      <c r="E1167" s="1" t="s">
        <v>18</v>
      </c>
      <c r="F1167" s="7">
        <v>40422</v>
      </c>
      <c r="G1167" s="1" t="s">
        <v>1246</v>
      </c>
      <c r="H1167" s="7">
        <v>40439</v>
      </c>
      <c r="I1167" s="1">
        <f>Europe_Sales_Records[[#This Row],[Ship Date]]-Europe_Sales_Records[[#This Row],[Order Date]]</f>
        <v>17</v>
      </c>
      <c r="J1167" s="1">
        <v>6850</v>
      </c>
      <c r="K1167" s="1">
        <v>205.7</v>
      </c>
      <c r="L1167" s="1">
        <v>117.11</v>
      </c>
      <c r="M1167" s="1">
        <f>Europe_Sales_Records[[#This Row],[Unit Price]]-Europe_Sales_Records[[#This Row],[Unit Cost]]</f>
        <v>88.589999999999989</v>
      </c>
      <c r="N1167" s="1">
        <v>1409045</v>
      </c>
      <c r="O1167" s="6">
        <v>802203.5</v>
      </c>
      <c r="P1167" s="1">
        <v>606841.5</v>
      </c>
    </row>
    <row r="1168" spans="1:16" x14ac:dyDescent="0.3">
      <c r="A1168" s="1" t="s">
        <v>14</v>
      </c>
      <c r="B1168" s="1" t="s">
        <v>25</v>
      </c>
      <c r="C1168" s="1" t="s">
        <v>39</v>
      </c>
      <c r="D1168" s="1" t="s">
        <v>17</v>
      </c>
      <c r="E1168" s="1" t="s">
        <v>23</v>
      </c>
      <c r="F1168" s="7">
        <v>42686</v>
      </c>
      <c r="G1168" s="1" t="s">
        <v>1247</v>
      </c>
      <c r="H1168" s="7">
        <v>42725</v>
      </c>
      <c r="I1168" s="1">
        <f>Europe_Sales_Records[[#This Row],[Ship Date]]-Europe_Sales_Records[[#This Row],[Order Date]]</f>
        <v>39</v>
      </c>
      <c r="J1168" s="1">
        <v>5397</v>
      </c>
      <c r="K1168" s="1">
        <v>154.06</v>
      </c>
      <c r="L1168" s="1">
        <v>90.93</v>
      </c>
      <c r="M1168" s="1">
        <f>Europe_Sales_Records[[#This Row],[Unit Price]]-Europe_Sales_Records[[#This Row],[Unit Cost]]</f>
        <v>63.129999999999995</v>
      </c>
      <c r="N1168" s="1">
        <v>831461.82</v>
      </c>
      <c r="O1168" s="6">
        <v>490749.21</v>
      </c>
      <c r="P1168" s="1">
        <v>340712.61</v>
      </c>
    </row>
    <row r="1169" spans="1:16" x14ac:dyDescent="0.3">
      <c r="A1169" s="1" t="s">
        <v>14</v>
      </c>
      <c r="B1169" s="1" t="s">
        <v>152</v>
      </c>
      <c r="C1169" s="1" t="s">
        <v>26</v>
      </c>
      <c r="D1169" s="1" t="s">
        <v>22</v>
      </c>
      <c r="E1169" s="1" t="s">
        <v>23</v>
      </c>
      <c r="F1169" s="7">
        <v>40344</v>
      </c>
      <c r="G1169" s="1" t="s">
        <v>1248</v>
      </c>
      <c r="H1169" s="7">
        <v>40377</v>
      </c>
      <c r="I1169" s="1">
        <f>Europe_Sales_Records[[#This Row],[Ship Date]]-Europe_Sales_Records[[#This Row],[Order Date]]</f>
        <v>33</v>
      </c>
      <c r="J1169" s="1">
        <v>3931</v>
      </c>
      <c r="K1169" s="1">
        <v>205.7</v>
      </c>
      <c r="L1169" s="1">
        <v>117.11</v>
      </c>
      <c r="M1169" s="1">
        <f>Europe_Sales_Records[[#This Row],[Unit Price]]-Europe_Sales_Records[[#This Row],[Unit Cost]]</f>
        <v>88.589999999999989</v>
      </c>
      <c r="N1169" s="1">
        <v>808606.7</v>
      </c>
      <c r="O1169" s="6">
        <v>460359.41</v>
      </c>
      <c r="P1169" s="1">
        <v>348247.29</v>
      </c>
    </row>
    <row r="1170" spans="1:16" x14ac:dyDescent="0.3">
      <c r="A1170" s="1" t="s">
        <v>14</v>
      </c>
      <c r="B1170" s="1" t="s">
        <v>106</v>
      </c>
      <c r="C1170" s="1" t="s">
        <v>48</v>
      </c>
      <c r="D1170" s="1" t="s">
        <v>17</v>
      </c>
      <c r="E1170" s="1" t="s">
        <v>45</v>
      </c>
      <c r="F1170" s="7">
        <v>42380</v>
      </c>
      <c r="G1170" s="1" t="s">
        <v>1249</v>
      </c>
      <c r="H1170" s="7">
        <v>42405</v>
      </c>
      <c r="I1170" s="1">
        <f>Europe_Sales_Records[[#This Row],[Ship Date]]-Europe_Sales_Records[[#This Row],[Order Date]]</f>
        <v>25</v>
      </c>
      <c r="J1170" s="1">
        <v>5260</v>
      </c>
      <c r="K1170" s="1">
        <v>152.58000000000001</v>
      </c>
      <c r="L1170" s="1">
        <v>97.44</v>
      </c>
      <c r="M1170" s="1">
        <f>Europe_Sales_Records[[#This Row],[Unit Price]]-Europe_Sales_Records[[#This Row],[Unit Cost]]</f>
        <v>55.140000000000015</v>
      </c>
      <c r="N1170" s="1">
        <v>802570.8</v>
      </c>
      <c r="O1170" s="6">
        <v>512534.4</v>
      </c>
      <c r="P1170" s="1">
        <v>290036.40000000002</v>
      </c>
    </row>
    <row r="1171" spans="1:16" x14ac:dyDescent="0.3">
      <c r="A1171" s="1" t="s">
        <v>14</v>
      </c>
      <c r="B1171" s="1" t="s">
        <v>38</v>
      </c>
      <c r="C1171" s="1" t="s">
        <v>21</v>
      </c>
      <c r="D1171" s="1" t="s">
        <v>22</v>
      </c>
      <c r="E1171" s="1" t="s">
        <v>23</v>
      </c>
      <c r="F1171" s="7">
        <v>41304</v>
      </c>
      <c r="G1171" s="1" t="s">
        <v>1250</v>
      </c>
      <c r="H1171" s="7">
        <v>41340</v>
      </c>
      <c r="I1171" s="1">
        <f>Europe_Sales_Records[[#This Row],[Ship Date]]-Europe_Sales_Records[[#This Row],[Order Date]]</f>
        <v>36</v>
      </c>
      <c r="J1171" s="1">
        <v>407</v>
      </c>
      <c r="K1171" s="1">
        <v>109.28</v>
      </c>
      <c r="L1171" s="1">
        <v>35.840000000000003</v>
      </c>
      <c r="M1171" s="1">
        <f>Europe_Sales_Records[[#This Row],[Unit Price]]-Europe_Sales_Records[[#This Row],[Unit Cost]]</f>
        <v>73.44</v>
      </c>
      <c r="N1171" s="1">
        <v>44476.959999999999</v>
      </c>
      <c r="O1171" s="6">
        <v>14586.88</v>
      </c>
      <c r="P1171" s="1">
        <v>29890.080000000002</v>
      </c>
    </row>
    <row r="1172" spans="1:16" x14ac:dyDescent="0.3">
      <c r="A1172" s="1" t="s">
        <v>14</v>
      </c>
      <c r="B1172" s="1" t="s">
        <v>103</v>
      </c>
      <c r="C1172" s="1" t="s">
        <v>42</v>
      </c>
      <c r="D1172" s="1" t="s">
        <v>22</v>
      </c>
      <c r="E1172" s="1" t="s">
        <v>18</v>
      </c>
      <c r="F1172" s="7">
        <v>40494</v>
      </c>
      <c r="G1172" s="1" t="s">
        <v>1251</v>
      </c>
      <c r="H1172" s="7">
        <v>40533</v>
      </c>
      <c r="I1172" s="1">
        <f>Europe_Sales_Records[[#This Row],[Ship Date]]-Europe_Sales_Records[[#This Row],[Order Date]]</f>
        <v>39</v>
      </c>
      <c r="J1172" s="1">
        <v>865</v>
      </c>
      <c r="K1172" s="1">
        <v>421.89</v>
      </c>
      <c r="L1172" s="1">
        <v>364.69</v>
      </c>
      <c r="M1172" s="1">
        <f>Europe_Sales_Records[[#This Row],[Unit Price]]-Europe_Sales_Records[[#This Row],[Unit Cost]]</f>
        <v>57.199999999999989</v>
      </c>
      <c r="N1172" s="1">
        <v>364934.85</v>
      </c>
      <c r="O1172" s="6">
        <v>315456.84999999998</v>
      </c>
      <c r="P1172" s="1">
        <v>49478</v>
      </c>
    </row>
    <row r="1173" spans="1:16" x14ac:dyDescent="0.3">
      <c r="A1173" s="1" t="s">
        <v>14</v>
      </c>
      <c r="B1173" s="1" t="s">
        <v>65</v>
      </c>
      <c r="C1173" s="1" t="s">
        <v>57</v>
      </c>
      <c r="D1173" s="1" t="s">
        <v>22</v>
      </c>
      <c r="E1173" s="1" t="s">
        <v>23</v>
      </c>
      <c r="F1173" s="7">
        <v>41540</v>
      </c>
      <c r="G1173" s="1" t="s">
        <v>1252</v>
      </c>
      <c r="H1173" s="7">
        <v>41557</v>
      </c>
      <c r="I1173" s="1">
        <f>Europe_Sales_Records[[#This Row],[Ship Date]]-Europe_Sales_Records[[#This Row],[Order Date]]</f>
        <v>17</v>
      </c>
      <c r="J1173" s="1">
        <v>6115</v>
      </c>
      <c r="K1173" s="1">
        <v>668.27</v>
      </c>
      <c r="L1173" s="1">
        <v>502.54</v>
      </c>
      <c r="M1173" s="1">
        <f>Europe_Sales_Records[[#This Row],[Unit Price]]-Europe_Sales_Records[[#This Row],[Unit Cost]]</f>
        <v>165.72999999999996</v>
      </c>
      <c r="N1173" s="1">
        <v>4086471.05</v>
      </c>
      <c r="O1173" s="6">
        <v>3073032.1</v>
      </c>
      <c r="P1173" s="1">
        <v>1013438.95</v>
      </c>
    </row>
    <row r="1174" spans="1:16" x14ac:dyDescent="0.3">
      <c r="A1174" s="1" t="s">
        <v>14</v>
      </c>
      <c r="B1174" s="1" t="s">
        <v>150</v>
      </c>
      <c r="C1174" s="1" t="s">
        <v>57</v>
      </c>
      <c r="D1174" s="1" t="s">
        <v>17</v>
      </c>
      <c r="E1174" s="1" t="s">
        <v>30</v>
      </c>
      <c r="F1174" s="7">
        <v>42596</v>
      </c>
      <c r="G1174" s="1" t="s">
        <v>1253</v>
      </c>
      <c r="H1174" s="7">
        <v>42627</v>
      </c>
      <c r="I1174" s="1">
        <f>Europe_Sales_Records[[#This Row],[Ship Date]]-Europe_Sales_Records[[#This Row],[Order Date]]</f>
        <v>31</v>
      </c>
      <c r="J1174" s="1">
        <v>7518</v>
      </c>
      <c r="K1174" s="1">
        <v>668.27</v>
      </c>
      <c r="L1174" s="1">
        <v>502.54</v>
      </c>
      <c r="M1174" s="1">
        <f>Europe_Sales_Records[[#This Row],[Unit Price]]-Europe_Sales_Records[[#This Row],[Unit Cost]]</f>
        <v>165.72999999999996</v>
      </c>
      <c r="N1174" s="1">
        <v>5024053.8600000003</v>
      </c>
      <c r="O1174" s="6">
        <v>3778095.72</v>
      </c>
      <c r="P1174" s="1">
        <v>1245958.1399999999</v>
      </c>
    </row>
    <row r="1175" spans="1:16" x14ac:dyDescent="0.3">
      <c r="A1175" s="1" t="s">
        <v>14</v>
      </c>
      <c r="B1175" s="1" t="s">
        <v>101</v>
      </c>
      <c r="C1175" s="1" t="s">
        <v>33</v>
      </c>
      <c r="D1175" s="1" t="s">
        <v>17</v>
      </c>
      <c r="E1175" s="1" t="s">
        <v>23</v>
      </c>
      <c r="F1175" s="7">
        <v>40282</v>
      </c>
      <c r="G1175" s="1" t="s">
        <v>1254</v>
      </c>
      <c r="H1175" s="7">
        <v>40299</v>
      </c>
      <c r="I1175" s="1">
        <f>Europe_Sales_Records[[#This Row],[Ship Date]]-Europe_Sales_Records[[#This Row],[Order Date]]</f>
        <v>17</v>
      </c>
      <c r="J1175" s="1">
        <v>4567</v>
      </c>
      <c r="K1175" s="1">
        <v>9.33</v>
      </c>
      <c r="L1175" s="1">
        <v>6.92</v>
      </c>
      <c r="M1175" s="1">
        <f>Europe_Sales_Records[[#This Row],[Unit Price]]-Europe_Sales_Records[[#This Row],[Unit Cost]]</f>
        <v>2.41</v>
      </c>
      <c r="N1175" s="1">
        <v>42610.11</v>
      </c>
      <c r="O1175" s="6">
        <v>31603.64</v>
      </c>
      <c r="P1175" s="1">
        <v>11006.47</v>
      </c>
    </row>
    <row r="1176" spans="1:16" x14ac:dyDescent="0.3">
      <c r="A1176" s="1" t="s">
        <v>14</v>
      </c>
      <c r="B1176" s="1" t="s">
        <v>164</v>
      </c>
      <c r="C1176" s="1" t="s">
        <v>60</v>
      </c>
      <c r="D1176" s="1" t="s">
        <v>17</v>
      </c>
      <c r="E1176" s="1" t="s">
        <v>23</v>
      </c>
      <c r="F1176" s="7">
        <v>40874</v>
      </c>
      <c r="G1176" s="1" t="s">
        <v>1255</v>
      </c>
      <c r="H1176" s="7">
        <v>40915</v>
      </c>
      <c r="I1176" s="1">
        <f>Europe_Sales_Records[[#This Row],[Ship Date]]-Europe_Sales_Records[[#This Row],[Order Date]]</f>
        <v>41</v>
      </c>
      <c r="J1176" s="1">
        <v>5036</v>
      </c>
      <c r="K1176" s="1">
        <v>437.2</v>
      </c>
      <c r="L1176" s="1">
        <v>263.33</v>
      </c>
      <c r="M1176" s="1">
        <f>Europe_Sales_Records[[#This Row],[Unit Price]]-Europe_Sales_Records[[#This Row],[Unit Cost]]</f>
        <v>173.87</v>
      </c>
      <c r="N1176" s="1">
        <v>2201739.2000000002</v>
      </c>
      <c r="O1176" s="6">
        <v>1326129.8799999999</v>
      </c>
      <c r="P1176" s="1">
        <v>875609.32</v>
      </c>
    </row>
    <row r="1177" spans="1:16" x14ac:dyDescent="0.3">
      <c r="A1177" s="1" t="s">
        <v>14</v>
      </c>
      <c r="B1177" s="1" t="s">
        <v>219</v>
      </c>
      <c r="C1177" s="1" t="s">
        <v>52</v>
      </c>
      <c r="D1177" s="1" t="s">
        <v>17</v>
      </c>
      <c r="E1177" s="1" t="s">
        <v>18</v>
      </c>
      <c r="F1177" s="7">
        <v>41881</v>
      </c>
      <c r="G1177" s="1" t="s">
        <v>1256</v>
      </c>
      <c r="H1177" s="7">
        <v>41893</v>
      </c>
      <c r="I1177" s="1">
        <f>Europe_Sales_Records[[#This Row],[Ship Date]]-Europe_Sales_Records[[#This Row],[Order Date]]</f>
        <v>12</v>
      </c>
      <c r="J1177" s="1">
        <v>7042</v>
      </c>
      <c r="K1177" s="1">
        <v>255.28</v>
      </c>
      <c r="L1177" s="1">
        <v>159.41999999999999</v>
      </c>
      <c r="M1177" s="1">
        <f>Europe_Sales_Records[[#This Row],[Unit Price]]-Europe_Sales_Records[[#This Row],[Unit Cost]]</f>
        <v>95.860000000000014</v>
      </c>
      <c r="N1177" s="1">
        <v>1797681.76</v>
      </c>
      <c r="O1177" s="6">
        <v>1122635.6399999999</v>
      </c>
      <c r="P1177" s="1">
        <v>675046.12</v>
      </c>
    </row>
    <row r="1178" spans="1:16" x14ac:dyDescent="0.3">
      <c r="A1178" s="1" t="s">
        <v>14</v>
      </c>
      <c r="B1178" s="1" t="s">
        <v>77</v>
      </c>
      <c r="C1178" s="1" t="s">
        <v>52</v>
      </c>
      <c r="D1178" s="1" t="s">
        <v>17</v>
      </c>
      <c r="E1178" s="1" t="s">
        <v>30</v>
      </c>
      <c r="F1178" s="7">
        <v>40776</v>
      </c>
      <c r="G1178" s="1" t="s">
        <v>1257</v>
      </c>
      <c r="H1178" s="7">
        <v>40789</v>
      </c>
      <c r="I1178" s="1">
        <f>Europe_Sales_Records[[#This Row],[Ship Date]]-Europe_Sales_Records[[#This Row],[Order Date]]</f>
        <v>13</v>
      </c>
      <c r="J1178" s="1">
        <v>5097</v>
      </c>
      <c r="K1178" s="1">
        <v>255.28</v>
      </c>
      <c r="L1178" s="1">
        <v>159.41999999999999</v>
      </c>
      <c r="M1178" s="1">
        <f>Europe_Sales_Records[[#This Row],[Unit Price]]-Europe_Sales_Records[[#This Row],[Unit Cost]]</f>
        <v>95.860000000000014</v>
      </c>
      <c r="N1178" s="1">
        <v>1301162.1599999999</v>
      </c>
      <c r="O1178" s="6">
        <v>812563.74</v>
      </c>
      <c r="P1178" s="1">
        <v>488598.42</v>
      </c>
    </row>
    <row r="1179" spans="1:16" x14ac:dyDescent="0.3">
      <c r="A1179" s="1" t="s">
        <v>14</v>
      </c>
      <c r="B1179" s="1" t="s">
        <v>150</v>
      </c>
      <c r="C1179" s="1" t="s">
        <v>26</v>
      </c>
      <c r="D1179" s="1" t="s">
        <v>22</v>
      </c>
      <c r="E1179" s="1" t="s">
        <v>30</v>
      </c>
      <c r="F1179" s="7">
        <v>40638</v>
      </c>
      <c r="G1179" s="1" t="s">
        <v>1258</v>
      </c>
      <c r="H1179" s="7">
        <v>40680</v>
      </c>
      <c r="I1179" s="1">
        <f>Europe_Sales_Records[[#This Row],[Ship Date]]-Europe_Sales_Records[[#This Row],[Order Date]]</f>
        <v>42</v>
      </c>
      <c r="J1179" s="1">
        <v>2111</v>
      </c>
      <c r="K1179" s="1">
        <v>205.7</v>
      </c>
      <c r="L1179" s="1">
        <v>117.11</v>
      </c>
      <c r="M1179" s="1">
        <f>Europe_Sales_Records[[#This Row],[Unit Price]]-Europe_Sales_Records[[#This Row],[Unit Cost]]</f>
        <v>88.589999999999989</v>
      </c>
      <c r="N1179" s="1">
        <v>434232.7</v>
      </c>
      <c r="O1179" s="6">
        <v>247219.21</v>
      </c>
      <c r="P1179" s="1">
        <v>187013.49</v>
      </c>
    </row>
    <row r="1180" spans="1:16" x14ac:dyDescent="0.3">
      <c r="A1180" s="1" t="s">
        <v>14</v>
      </c>
      <c r="B1180" s="1" t="s">
        <v>73</v>
      </c>
      <c r="C1180" s="1" t="s">
        <v>57</v>
      </c>
      <c r="D1180" s="1" t="s">
        <v>22</v>
      </c>
      <c r="E1180" s="1" t="s">
        <v>18</v>
      </c>
      <c r="F1180" s="7">
        <v>40991</v>
      </c>
      <c r="G1180" s="1" t="s">
        <v>1259</v>
      </c>
      <c r="H1180" s="7">
        <v>41003</v>
      </c>
      <c r="I1180" s="1">
        <f>Europe_Sales_Records[[#This Row],[Ship Date]]-Europe_Sales_Records[[#This Row],[Order Date]]</f>
        <v>12</v>
      </c>
      <c r="J1180" s="1">
        <v>3493</v>
      </c>
      <c r="K1180" s="1">
        <v>668.27</v>
      </c>
      <c r="L1180" s="1">
        <v>502.54</v>
      </c>
      <c r="M1180" s="1">
        <f>Europe_Sales_Records[[#This Row],[Unit Price]]-Europe_Sales_Records[[#This Row],[Unit Cost]]</f>
        <v>165.72999999999996</v>
      </c>
      <c r="N1180" s="1">
        <v>2334267.11</v>
      </c>
      <c r="O1180" s="6">
        <v>1755372.22</v>
      </c>
      <c r="P1180" s="1">
        <v>578894.89</v>
      </c>
    </row>
    <row r="1181" spans="1:16" x14ac:dyDescent="0.3">
      <c r="A1181" s="1" t="s">
        <v>14</v>
      </c>
      <c r="B1181" s="1" t="s">
        <v>73</v>
      </c>
      <c r="C1181" s="1" t="s">
        <v>39</v>
      </c>
      <c r="D1181" s="1" t="s">
        <v>22</v>
      </c>
      <c r="E1181" s="1" t="s">
        <v>30</v>
      </c>
      <c r="F1181" s="7">
        <v>40428</v>
      </c>
      <c r="G1181" s="1" t="s">
        <v>1260</v>
      </c>
      <c r="H1181" s="7">
        <v>40447</v>
      </c>
      <c r="I1181" s="1">
        <f>Europe_Sales_Records[[#This Row],[Ship Date]]-Europe_Sales_Records[[#This Row],[Order Date]]</f>
        <v>19</v>
      </c>
      <c r="J1181" s="1">
        <v>4757</v>
      </c>
      <c r="K1181" s="1">
        <v>154.06</v>
      </c>
      <c r="L1181" s="1">
        <v>90.93</v>
      </c>
      <c r="M1181" s="1">
        <f>Europe_Sales_Records[[#This Row],[Unit Price]]-Europe_Sales_Records[[#This Row],[Unit Cost]]</f>
        <v>63.129999999999995</v>
      </c>
      <c r="N1181" s="1">
        <v>732863.42</v>
      </c>
      <c r="O1181" s="6">
        <v>432554.01</v>
      </c>
      <c r="P1181" s="1">
        <v>300309.40999999997</v>
      </c>
    </row>
    <row r="1182" spans="1:16" x14ac:dyDescent="0.3">
      <c r="A1182" s="1" t="s">
        <v>14</v>
      </c>
      <c r="B1182" s="1" t="s">
        <v>77</v>
      </c>
      <c r="C1182" s="1" t="s">
        <v>60</v>
      </c>
      <c r="D1182" s="1" t="s">
        <v>22</v>
      </c>
      <c r="E1182" s="1" t="s">
        <v>23</v>
      </c>
      <c r="F1182" s="7">
        <v>41727</v>
      </c>
      <c r="G1182" s="1" t="s">
        <v>1261</v>
      </c>
      <c r="H1182" s="7">
        <v>41732</v>
      </c>
      <c r="I1182" s="1">
        <f>Europe_Sales_Records[[#This Row],[Ship Date]]-Europe_Sales_Records[[#This Row],[Order Date]]</f>
        <v>5</v>
      </c>
      <c r="J1182" s="1">
        <v>2854</v>
      </c>
      <c r="K1182" s="1">
        <v>437.2</v>
      </c>
      <c r="L1182" s="1">
        <v>263.33</v>
      </c>
      <c r="M1182" s="1">
        <f>Europe_Sales_Records[[#This Row],[Unit Price]]-Europe_Sales_Records[[#This Row],[Unit Cost]]</f>
        <v>173.87</v>
      </c>
      <c r="N1182" s="1">
        <v>1247768.8</v>
      </c>
      <c r="O1182" s="6">
        <v>751543.82</v>
      </c>
      <c r="P1182" s="1">
        <v>496224.98</v>
      </c>
    </row>
    <row r="1183" spans="1:16" x14ac:dyDescent="0.3">
      <c r="A1183" s="1" t="s">
        <v>14</v>
      </c>
      <c r="B1183" s="1" t="s">
        <v>87</v>
      </c>
      <c r="C1183" s="1" t="s">
        <v>39</v>
      </c>
      <c r="D1183" s="1" t="s">
        <v>17</v>
      </c>
      <c r="E1183" s="1" t="s">
        <v>45</v>
      </c>
      <c r="F1183" s="7">
        <v>41095</v>
      </c>
      <c r="G1183" s="1" t="s">
        <v>1262</v>
      </c>
      <c r="H1183" s="7">
        <v>41135</v>
      </c>
      <c r="I1183" s="1">
        <f>Europe_Sales_Records[[#This Row],[Ship Date]]-Europe_Sales_Records[[#This Row],[Order Date]]</f>
        <v>40</v>
      </c>
      <c r="J1183" s="1">
        <v>4344</v>
      </c>
      <c r="K1183" s="1">
        <v>154.06</v>
      </c>
      <c r="L1183" s="1">
        <v>90.93</v>
      </c>
      <c r="M1183" s="1">
        <f>Europe_Sales_Records[[#This Row],[Unit Price]]-Europe_Sales_Records[[#This Row],[Unit Cost]]</f>
        <v>63.129999999999995</v>
      </c>
      <c r="N1183" s="1">
        <v>669236.64</v>
      </c>
      <c r="O1183" s="6">
        <v>394999.92</v>
      </c>
      <c r="P1183" s="1">
        <v>274236.71999999997</v>
      </c>
    </row>
    <row r="1184" spans="1:16" x14ac:dyDescent="0.3">
      <c r="A1184" s="1" t="s">
        <v>14</v>
      </c>
      <c r="B1184" s="1" t="s">
        <v>81</v>
      </c>
      <c r="C1184" s="1" t="s">
        <v>39</v>
      </c>
      <c r="D1184" s="1" t="s">
        <v>17</v>
      </c>
      <c r="E1184" s="1" t="s">
        <v>23</v>
      </c>
      <c r="F1184" s="7">
        <v>40520</v>
      </c>
      <c r="G1184" s="1" t="s">
        <v>1263</v>
      </c>
      <c r="H1184" s="7">
        <v>40523</v>
      </c>
      <c r="I1184" s="1">
        <f>Europe_Sales_Records[[#This Row],[Ship Date]]-Europe_Sales_Records[[#This Row],[Order Date]]</f>
        <v>3</v>
      </c>
      <c r="J1184" s="1">
        <v>5869</v>
      </c>
      <c r="K1184" s="1">
        <v>154.06</v>
      </c>
      <c r="L1184" s="1">
        <v>90.93</v>
      </c>
      <c r="M1184" s="1">
        <f>Europe_Sales_Records[[#This Row],[Unit Price]]-Europe_Sales_Records[[#This Row],[Unit Cost]]</f>
        <v>63.129999999999995</v>
      </c>
      <c r="N1184" s="1">
        <v>904178.14</v>
      </c>
      <c r="O1184" s="6">
        <v>533668.17000000004</v>
      </c>
      <c r="P1184" s="1">
        <v>370509.97</v>
      </c>
    </row>
    <row r="1185" spans="1:16" x14ac:dyDescent="0.3">
      <c r="A1185" s="1" t="s">
        <v>14</v>
      </c>
      <c r="B1185" s="1" t="s">
        <v>15</v>
      </c>
      <c r="C1185" s="1" t="s">
        <v>33</v>
      </c>
      <c r="D1185" s="1" t="s">
        <v>22</v>
      </c>
      <c r="E1185" s="1" t="s">
        <v>23</v>
      </c>
      <c r="F1185" s="7">
        <v>41214</v>
      </c>
      <c r="G1185" s="1" t="s">
        <v>1264</v>
      </c>
      <c r="H1185" s="7">
        <v>41259</v>
      </c>
      <c r="I1185" s="1">
        <f>Europe_Sales_Records[[#This Row],[Ship Date]]-Europe_Sales_Records[[#This Row],[Order Date]]</f>
        <v>45</v>
      </c>
      <c r="J1185" s="1">
        <v>314</v>
      </c>
      <c r="K1185" s="1">
        <v>9.33</v>
      </c>
      <c r="L1185" s="1">
        <v>6.92</v>
      </c>
      <c r="M1185" s="1">
        <f>Europe_Sales_Records[[#This Row],[Unit Price]]-Europe_Sales_Records[[#This Row],[Unit Cost]]</f>
        <v>2.41</v>
      </c>
      <c r="N1185" s="1">
        <v>2929.62</v>
      </c>
      <c r="O1185" s="6">
        <v>2172.88</v>
      </c>
      <c r="P1185" s="1">
        <v>756.74</v>
      </c>
    </row>
    <row r="1186" spans="1:16" x14ac:dyDescent="0.3">
      <c r="A1186" s="1" t="s">
        <v>14</v>
      </c>
      <c r="B1186" s="1" t="s">
        <v>176</v>
      </c>
      <c r="C1186" s="1" t="s">
        <v>57</v>
      </c>
      <c r="D1186" s="1" t="s">
        <v>17</v>
      </c>
      <c r="E1186" s="1" t="s">
        <v>23</v>
      </c>
      <c r="F1186" s="7">
        <v>42047</v>
      </c>
      <c r="G1186" s="1" t="s">
        <v>1265</v>
      </c>
      <c r="H1186" s="7">
        <v>42084</v>
      </c>
      <c r="I1186" s="1">
        <f>Europe_Sales_Records[[#This Row],[Ship Date]]-Europe_Sales_Records[[#This Row],[Order Date]]</f>
        <v>37</v>
      </c>
      <c r="J1186" s="1">
        <v>5754</v>
      </c>
      <c r="K1186" s="1">
        <v>668.27</v>
      </c>
      <c r="L1186" s="1">
        <v>502.54</v>
      </c>
      <c r="M1186" s="1">
        <f>Europe_Sales_Records[[#This Row],[Unit Price]]-Europe_Sales_Records[[#This Row],[Unit Cost]]</f>
        <v>165.72999999999996</v>
      </c>
      <c r="N1186" s="1">
        <v>3845225.58</v>
      </c>
      <c r="O1186" s="6">
        <v>2891615.16</v>
      </c>
      <c r="P1186" s="1">
        <v>953610.42</v>
      </c>
    </row>
    <row r="1187" spans="1:16" x14ac:dyDescent="0.3">
      <c r="A1187" s="1" t="s">
        <v>14</v>
      </c>
      <c r="B1187" s="1" t="s">
        <v>56</v>
      </c>
      <c r="C1187" s="1" t="s">
        <v>52</v>
      </c>
      <c r="D1187" s="1" t="s">
        <v>17</v>
      </c>
      <c r="E1187" s="1" t="s">
        <v>23</v>
      </c>
      <c r="F1187" s="7">
        <v>40901</v>
      </c>
      <c r="G1187" s="1" t="s">
        <v>1266</v>
      </c>
      <c r="H1187" s="7">
        <v>40910</v>
      </c>
      <c r="I1187" s="1">
        <f>Europe_Sales_Records[[#This Row],[Ship Date]]-Europe_Sales_Records[[#This Row],[Order Date]]</f>
        <v>9</v>
      </c>
      <c r="J1187" s="1">
        <v>6618</v>
      </c>
      <c r="K1187" s="1">
        <v>255.28</v>
      </c>
      <c r="L1187" s="1">
        <v>159.41999999999999</v>
      </c>
      <c r="M1187" s="1">
        <f>Europe_Sales_Records[[#This Row],[Unit Price]]-Europe_Sales_Records[[#This Row],[Unit Cost]]</f>
        <v>95.860000000000014</v>
      </c>
      <c r="N1187" s="1">
        <v>1689443.04</v>
      </c>
      <c r="O1187" s="6">
        <v>1055041.56</v>
      </c>
      <c r="P1187" s="1">
        <v>634401.48</v>
      </c>
    </row>
    <row r="1188" spans="1:16" x14ac:dyDescent="0.3">
      <c r="A1188" s="1" t="s">
        <v>14</v>
      </c>
      <c r="B1188" s="1" t="s">
        <v>28</v>
      </c>
      <c r="C1188" s="1" t="s">
        <v>39</v>
      </c>
      <c r="D1188" s="1" t="s">
        <v>17</v>
      </c>
      <c r="E1188" s="1" t="s">
        <v>18</v>
      </c>
      <c r="F1188" s="7">
        <v>40204</v>
      </c>
      <c r="G1188" s="1" t="s">
        <v>1267</v>
      </c>
      <c r="H1188" s="7">
        <v>40230</v>
      </c>
      <c r="I1188" s="1">
        <f>Europe_Sales_Records[[#This Row],[Ship Date]]-Europe_Sales_Records[[#This Row],[Order Date]]</f>
        <v>26</v>
      </c>
      <c r="J1188" s="1">
        <v>5427</v>
      </c>
      <c r="K1188" s="1">
        <v>154.06</v>
      </c>
      <c r="L1188" s="1">
        <v>90.93</v>
      </c>
      <c r="M1188" s="1">
        <f>Europe_Sales_Records[[#This Row],[Unit Price]]-Europe_Sales_Records[[#This Row],[Unit Cost]]</f>
        <v>63.129999999999995</v>
      </c>
      <c r="N1188" s="1">
        <v>836083.62</v>
      </c>
      <c r="O1188" s="6">
        <v>493477.11</v>
      </c>
      <c r="P1188" s="1">
        <v>342606.51</v>
      </c>
    </row>
    <row r="1189" spans="1:16" x14ac:dyDescent="0.3">
      <c r="A1189" s="1" t="s">
        <v>14</v>
      </c>
      <c r="B1189" s="1" t="s">
        <v>164</v>
      </c>
      <c r="C1189" s="1" t="s">
        <v>29</v>
      </c>
      <c r="D1189" s="1" t="s">
        <v>22</v>
      </c>
      <c r="E1189" s="1" t="s">
        <v>45</v>
      </c>
      <c r="F1189" s="7">
        <v>40959</v>
      </c>
      <c r="G1189" s="1" t="s">
        <v>1268</v>
      </c>
      <c r="H1189" s="7">
        <v>40978</v>
      </c>
      <c r="I1189" s="1">
        <f>Europe_Sales_Records[[#This Row],[Ship Date]]-Europe_Sales_Records[[#This Row],[Order Date]]</f>
        <v>19</v>
      </c>
      <c r="J1189" s="1">
        <v>8307</v>
      </c>
      <c r="K1189" s="1">
        <v>651.21</v>
      </c>
      <c r="L1189" s="1">
        <v>524.96</v>
      </c>
      <c r="M1189" s="1">
        <f>Europe_Sales_Records[[#This Row],[Unit Price]]-Europe_Sales_Records[[#This Row],[Unit Cost]]</f>
        <v>126.25</v>
      </c>
      <c r="N1189" s="1">
        <v>5409601.4699999997</v>
      </c>
      <c r="O1189" s="6">
        <v>4360842.72</v>
      </c>
      <c r="P1189" s="1">
        <v>1048758.75</v>
      </c>
    </row>
    <row r="1190" spans="1:16" x14ac:dyDescent="0.3">
      <c r="A1190" s="1" t="s">
        <v>14</v>
      </c>
      <c r="B1190" s="1" t="s">
        <v>157</v>
      </c>
      <c r="C1190" s="1" t="s">
        <v>21</v>
      </c>
      <c r="D1190" s="1" t="s">
        <v>22</v>
      </c>
      <c r="E1190" s="1" t="s">
        <v>18</v>
      </c>
      <c r="F1190" s="7">
        <v>42530</v>
      </c>
      <c r="G1190" s="1" t="s">
        <v>1269</v>
      </c>
      <c r="H1190" s="7">
        <v>42539</v>
      </c>
      <c r="I1190" s="1">
        <f>Europe_Sales_Records[[#This Row],[Ship Date]]-Europe_Sales_Records[[#This Row],[Order Date]]</f>
        <v>9</v>
      </c>
      <c r="J1190" s="1">
        <v>8841</v>
      </c>
      <c r="K1190" s="1">
        <v>109.28</v>
      </c>
      <c r="L1190" s="1">
        <v>35.840000000000003</v>
      </c>
      <c r="M1190" s="1">
        <f>Europe_Sales_Records[[#This Row],[Unit Price]]-Europe_Sales_Records[[#This Row],[Unit Cost]]</f>
        <v>73.44</v>
      </c>
      <c r="N1190" s="1">
        <v>966144.48</v>
      </c>
      <c r="O1190" s="6">
        <v>316861.44</v>
      </c>
      <c r="P1190" s="1">
        <v>649283.04</v>
      </c>
    </row>
    <row r="1191" spans="1:16" x14ac:dyDescent="0.3">
      <c r="A1191" s="1" t="s">
        <v>14</v>
      </c>
      <c r="B1191" s="1" t="s">
        <v>59</v>
      </c>
      <c r="C1191" s="1" t="s">
        <v>26</v>
      </c>
      <c r="D1191" s="1" t="s">
        <v>17</v>
      </c>
      <c r="E1191" s="1" t="s">
        <v>23</v>
      </c>
      <c r="F1191" s="7">
        <v>40623</v>
      </c>
      <c r="G1191" s="1" t="s">
        <v>1270</v>
      </c>
      <c r="H1191" s="7">
        <v>40644</v>
      </c>
      <c r="I1191" s="1">
        <f>Europe_Sales_Records[[#This Row],[Ship Date]]-Europe_Sales_Records[[#This Row],[Order Date]]</f>
        <v>21</v>
      </c>
      <c r="J1191" s="1">
        <v>7778</v>
      </c>
      <c r="K1191" s="1">
        <v>205.7</v>
      </c>
      <c r="L1191" s="1">
        <v>117.11</v>
      </c>
      <c r="M1191" s="1">
        <f>Europe_Sales_Records[[#This Row],[Unit Price]]-Europe_Sales_Records[[#This Row],[Unit Cost]]</f>
        <v>88.589999999999989</v>
      </c>
      <c r="N1191" s="1">
        <v>1599934.6</v>
      </c>
      <c r="O1191" s="6">
        <v>910881.58</v>
      </c>
      <c r="P1191" s="1">
        <v>689053.02</v>
      </c>
    </row>
    <row r="1192" spans="1:16" x14ac:dyDescent="0.3">
      <c r="A1192" s="1" t="s">
        <v>14</v>
      </c>
      <c r="B1192" s="1" t="s">
        <v>116</v>
      </c>
      <c r="C1192" s="1" t="s">
        <v>29</v>
      </c>
      <c r="D1192" s="1" t="s">
        <v>22</v>
      </c>
      <c r="E1192" s="1" t="s">
        <v>30</v>
      </c>
      <c r="F1192" s="7">
        <v>40927</v>
      </c>
      <c r="G1192" s="1" t="s">
        <v>1271</v>
      </c>
      <c r="H1192" s="7">
        <v>40952</v>
      </c>
      <c r="I1192" s="1">
        <f>Europe_Sales_Records[[#This Row],[Ship Date]]-Europe_Sales_Records[[#This Row],[Order Date]]</f>
        <v>25</v>
      </c>
      <c r="J1192" s="1">
        <v>3827</v>
      </c>
      <c r="K1192" s="1">
        <v>651.21</v>
      </c>
      <c r="L1192" s="1">
        <v>524.96</v>
      </c>
      <c r="M1192" s="1">
        <f>Europe_Sales_Records[[#This Row],[Unit Price]]-Europe_Sales_Records[[#This Row],[Unit Cost]]</f>
        <v>126.25</v>
      </c>
      <c r="N1192" s="1">
        <v>2492180.67</v>
      </c>
      <c r="O1192" s="6">
        <v>2009021.92</v>
      </c>
      <c r="P1192" s="1">
        <v>483158.75</v>
      </c>
    </row>
    <row r="1193" spans="1:16" x14ac:dyDescent="0.3">
      <c r="A1193" s="1" t="s">
        <v>14</v>
      </c>
      <c r="B1193" s="1" t="s">
        <v>50</v>
      </c>
      <c r="C1193" s="1" t="s">
        <v>39</v>
      </c>
      <c r="D1193" s="1" t="s">
        <v>17</v>
      </c>
      <c r="E1193" s="1" t="s">
        <v>23</v>
      </c>
      <c r="F1193" s="7">
        <v>41547</v>
      </c>
      <c r="G1193" s="1" t="s">
        <v>1272</v>
      </c>
      <c r="H1193" s="7">
        <v>41591</v>
      </c>
      <c r="I1193" s="1">
        <f>Europe_Sales_Records[[#This Row],[Ship Date]]-Europe_Sales_Records[[#This Row],[Order Date]]</f>
        <v>44</v>
      </c>
      <c r="J1193" s="1">
        <v>5102</v>
      </c>
      <c r="K1193" s="1">
        <v>154.06</v>
      </c>
      <c r="L1193" s="1">
        <v>90.93</v>
      </c>
      <c r="M1193" s="1">
        <f>Europe_Sales_Records[[#This Row],[Unit Price]]-Europe_Sales_Records[[#This Row],[Unit Cost]]</f>
        <v>63.129999999999995</v>
      </c>
      <c r="N1193" s="1">
        <v>786014.12</v>
      </c>
      <c r="O1193" s="6">
        <v>463924.86</v>
      </c>
      <c r="P1193" s="1">
        <v>322089.26</v>
      </c>
    </row>
    <row r="1194" spans="1:16" x14ac:dyDescent="0.3">
      <c r="A1194" s="1" t="s">
        <v>14</v>
      </c>
      <c r="B1194" s="1" t="s">
        <v>50</v>
      </c>
      <c r="C1194" s="1" t="s">
        <v>79</v>
      </c>
      <c r="D1194" s="1" t="s">
        <v>22</v>
      </c>
      <c r="E1194" s="1" t="s">
        <v>30</v>
      </c>
      <c r="F1194" s="7">
        <v>42568</v>
      </c>
      <c r="G1194" s="1" t="s">
        <v>1273</v>
      </c>
      <c r="H1194" s="7">
        <v>42577</v>
      </c>
      <c r="I1194" s="1">
        <f>Europe_Sales_Records[[#This Row],[Ship Date]]-Europe_Sales_Records[[#This Row],[Order Date]]</f>
        <v>9</v>
      </c>
      <c r="J1194" s="1">
        <v>8651</v>
      </c>
      <c r="K1194" s="1">
        <v>81.73</v>
      </c>
      <c r="L1194" s="1">
        <v>56.67</v>
      </c>
      <c r="M1194" s="1">
        <f>Europe_Sales_Records[[#This Row],[Unit Price]]-Europe_Sales_Records[[#This Row],[Unit Cost]]</f>
        <v>25.060000000000002</v>
      </c>
      <c r="N1194" s="1">
        <v>707046.23</v>
      </c>
      <c r="O1194" s="6">
        <v>490252.17</v>
      </c>
      <c r="P1194" s="1">
        <v>216794.06</v>
      </c>
    </row>
    <row r="1195" spans="1:16" x14ac:dyDescent="0.3">
      <c r="A1195" s="1" t="s">
        <v>14</v>
      </c>
      <c r="B1195" s="1" t="s">
        <v>172</v>
      </c>
      <c r="C1195" s="1" t="s">
        <v>60</v>
      </c>
      <c r="D1195" s="1" t="s">
        <v>17</v>
      </c>
      <c r="E1195" s="1" t="s">
        <v>18</v>
      </c>
      <c r="F1195" s="7">
        <v>41053</v>
      </c>
      <c r="G1195" s="1" t="s">
        <v>1274</v>
      </c>
      <c r="H1195" s="7">
        <v>41065</v>
      </c>
      <c r="I1195" s="1">
        <f>Europe_Sales_Records[[#This Row],[Ship Date]]-Europe_Sales_Records[[#This Row],[Order Date]]</f>
        <v>12</v>
      </c>
      <c r="J1195" s="1">
        <v>3784</v>
      </c>
      <c r="K1195" s="1">
        <v>437.2</v>
      </c>
      <c r="L1195" s="1">
        <v>263.33</v>
      </c>
      <c r="M1195" s="1">
        <f>Europe_Sales_Records[[#This Row],[Unit Price]]-Europe_Sales_Records[[#This Row],[Unit Cost]]</f>
        <v>173.87</v>
      </c>
      <c r="N1195" s="1">
        <v>1654364.8</v>
      </c>
      <c r="O1195" s="6">
        <v>996440.72</v>
      </c>
      <c r="P1195" s="1">
        <v>657924.07999999996</v>
      </c>
    </row>
    <row r="1196" spans="1:16" x14ac:dyDescent="0.3">
      <c r="A1196" s="1" t="s">
        <v>14</v>
      </c>
      <c r="B1196" s="1" t="s">
        <v>20</v>
      </c>
      <c r="C1196" s="1" t="s">
        <v>16</v>
      </c>
      <c r="D1196" s="1" t="s">
        <v>22</v>
      </c>
      <c r="E1196" s="1" t="s">
        <v>23</v>
      </c>
      <c r="F1196" s="7">
        <v>42244</v>
      </c>
      <c r="G1196" s="1" t="s">
        <v>1275</v>
      </c>
      <c r="H1196" s="7">
        <v>42284</v>
      </c>
      <c r="I1196" s="1">
        <f>Europe_Sales_Records[[#This Row],[Ship Date]]-Europe_Sales_Records[[#This Row],[Order Date]]</f>
        <v>40</v>
      </c>
      <c r="J1196" s="1">
        <v>7929</v>
      </c>
      <c r="K1196" s="1">
        <v>47.45</v>
      </c>
      <c r="L1196" s="1">
        <v>31.79</v>
      </c>
      <c r="M1196" s="1">
        <f>Europe_Sales_Records[[#This Row],[Unit Price]]-Europe_Sales_Records[[#This Row],[Unit Cost]]</f>
        <v>15.660000000000004</v>
      </c>
      <c r="N1196" s="1">
        <v>376231.05</v>
      </c>
      <c r="O1196" s="6">
        <v>252062.91</v>
      </c>
      <c r="P1196" s="1">
        <v>124168.14</v>
      </c>
    </row>
    <row r="1197" spans="1:16" x14ac:dyDescent="0.3">
      <c r="A1197" s="1" t="s">
        <v>14</v>
      </c>
      <c r="B1197" s="1" t="s">
        <v>67</v>
      </c>
      <c r="C1197" s="1" t="s">
        <v>29</v>
      </c>
      <c r="D1197" s="1" t="s">
        <v>22</v>
      </c>
      <c r="E1197" s="1" t="s">
        <v>23</v>
      </c>
      <c r="F1197" s="7">
        <v>41314</v>
      </c>
      <c r="G1197" s="1" t="s">
        <v>1276</v>
      </c>
      <c r="H1197" s="7">
        <v>41329</v>
      </c>
      <c r="I1197" s="1">
        <f>Europe_Sales_Records[[#This Row],[Ship Date]]-Europe_Sales_Records[[#This Row],[Order Date]]</f>
        <v>15</v>
      </c>
      <c r="J1197" s="1">
        <v>2130</v>
      </c>
      <c r="K1197" s="1">
        <v>651.21</v>
      </c>
      <c r="L1197" s="1">
        <v>524.96</v>
      </c>
      <c r="M1197" s="1">
        <f>Europe_Sales_Records[[#This Row],[Unit Price]]-Europe_Sales_Records[[#This Row],[Unit Cost]]</f>
        <v>126.25</v>
      </c>
      <c r="N1197" s="1">
        <v>1387077.3</v>
      </c>
      <c r="O1197" s="6">
        <v>1118164.8</v>
      </c>
      <c r="P1197" s="1">
        <v>268912.5</v>
      </c>
    </row>
    <row r="1198" spans="1:16" x14ac:dyDescent="0.3">
      <c r="A1198" s="1" t="s">
        <v>14</v>
      </c>
      <c r="B1198" s="1" t="s">
        <v>219</v>
      </c>
      <c r="C1198" s="1" t="s">
        <v>42</v>
      </c>
      <c r="D1198" s="1" t="s">
        <v>17</v>
      </c>
      <c r="E1198" s="1" t="s">
        <v>18</v>
      </c>
      <c r="F1198" s="7">
        <v>42385</v>
      </c>
      <c r="G1198" s="1" t="s">
        <v>1277</v>
      </c>
      <c r="H1198" s="7">
        <v>42426</v>
      </c>
      <c r="I1198" s="1">
        <f>Europe_Sales_Records[[#This Row],[Ship Date]]-Europe_Sales_Records[[#This Row],[Order Date]]</f>
        <v>41</v>
      </c>
      <c r="J1198" s="1">
        <v>5873</v>
      </c>
      <c r="K1198" s="1">
        <v>421.89</v>
      </c>
      <c r="L1198" s="1">
        <v>364.69</v>
      </c>
      <c r="M1198" s="1">
        <f>Europe_Sales_Records[[#This Row],[Unit Price]]-Europe_Sales_Records[[#This Row],[Unit Cost]]</f>
        <v>57.199999999999989</v>
      </c>
      <c r="N1198" s="1">
        <v>2477759.9700000002</v>
      </c>
      <c r="O1198" s="6">
        <v>2141824.37</v>
      </c>
      <c r="P1198" s="1">
        <v>335935.6</v>
      </c>
    </row>
    <row r="1199" spans="1:16" x14ac:dyDescent="0.3">
      <c r="A1199" s="1" t="s">
        <v>14</v>
      </c>
      <c r="B1199" s="1" t="s">
        <v>152</v>
      </c>
      <c r="C1199" s="1" t="s">
        <v>39</v>
      </c>
      <c r="D1199" s="1" t="s">
        <v>17</v>
      </c>
      <c r="E1199" s="1" t="s">
        <v>18</v>
      </c>
      <c r="F1199" s="7">
        <v>42048</v>
      </c>
      <c r="G1199" s="1" t="s">
        <v>1278</v>
      </c>
      <c r="H1199" s="7">
        <v>42061</v>
      </c>
      <c r="I1199" s="1">
        <f>Europe_Sales_Records[[#This Row],[Ship Date]]-Europe_Sales_Records[[#This Row],[Order Date]]</f>
        <v>13</v>
      </c>
      <c r="J1199" s="1">
        <v>2190</v>
      </c>
      <c r="K1199" s="1">
        <v>154.06</v>
      </c>
      <c r="L1199" s="1">
        <v>90.93</v>
      </c>
      <c r="M1199" s="1">
        <f>Europe_Sales_Records[[#This Row],[Unit Price]]-Europe_Sales_Records[[#This Row],[Unit Cost]]</f>
        <v>63.129999999999995</v>
      </c>
      <c r="N1199" s="1">
        <v>337391.4</v>
      </c>
      <c r="O1199" s="6">
        <v>199136.7</v>
      </c>
      <c r="P1199" s="1">
        <v>138254.70000000001</v>
      </c>
    </row>
    <row r="1200" spans="1:16" x14ac:dyDescent="0.3">
      <c r="A1200" s="1" t="s">
        <v>14</v>
      </c>
      <c r="B1200" s="1" t="s">
        <v>38</v>
      </c>
      <c r="C1200" s="1" t="s">
        <v>29</v>
      </c>
      <c r="D1200" s="1" t="s">
        <v>17</v>
      </c>
      <c r="E1200" s="1" t="s">
        <v>45</v>
      </c>
      <c r="F1200" s="7">
        <v>40803</v>
      </c>
      <c r="G1200" s="1" t="s">
        <v>1279</v>
      </c>
      <c r="H1200" s="7">
        <v>40841</v>
      </c>
      <c r="I1200" s="1">
        <f>Europe_Sales_Records[[#This Row],[Ship Date]]-Europe_Sales_Records[[#This Row],[Order Date]]</f>
        <v>38</v>
      </c>
      <c r="J1200" s="1">
        <v>9321</v>
      </c>
      <c r="K1200" s="1">
        <v>651.21</v>
      </c>
      <c r="L1200" s="1">
        <v>524.96</v>
      </c>
      <c r="M1200" s="1">
        <f>Europe_Sales_Records[[#This Row],[Unit Price]]-Europe_Sales_Records[[#This Row],[Unit Cost]]</f>
        <v>126.25</v>
      </c>
      <c r="N1200" s="1">
        <v>6069928.4100000001</v>
      </c>
      <c r="O1200" s="6">
        <v>4893152.16</v>
      </c>
      <c r="P1200" s="1">
        <v>1176776.25</v>
      </c>
    </row>
    <row r="1201" spans="1:16" x14ac:dyDescent="0.3">
      <c r="A1201" s="1" t="s">
        <v>14</v>
      </c>
      <c r="B1201" s="1" t="s">
        <v>77</v>
      </c>
      <c r="C1201" s="1" t="s">
        <v>79</v>
      </c>
      <c r="D1201" s="1" t="s">
        <v>17</v>
      </c>
      <c r="E1201" s="1" t="s">
        <v>18</v>
      </c>
      <c r="F1201" s="7">
        <v>42838</v>
      </c>
      <c r="G1201" s="1" t="s">
        <v>1280</v>
      </c>
      <c r="H1201" s="7">
        <v>42866</v>
      </c>
      <c r="I1201" s="1">
        <f>Europe_Sales_Records[[#This Row],[Ship Date]]-Europe_Sales_Records[[#This Row],[Order Date]]</f>
        <v>28</v>
      </c>
      <c r="J1201" s="1">
        <v>7069</v>
      </c>
      <c r="K1201" s="1">
        <v>81.73</v>
      </c>
      <c r="L1201" s="1">
        <v>56.67</v>
      </c>
      <c r="M1201" s="1">
        <f>Europe_Sales_Records[[#This Row],[Unit Price]]-Europe_Sales_Records[[#This Row],[Unit Cost]]</f>
        <v>25.060000000000002</v>
      </c>
      <c r="N1201" s="1">
        <v>577749.37</v>
      </c>
      <c r="O1201" s="6">
        <v>400600.23</v>
      </c>
      <c r="P1201" s="1">
        <v>177149.14</v>
      </c>
    </row>
    <row r="1202" spans="1:16" x14ac:dyDescent="0.3">
      <c r="A1202" s="1" t="s">
        <v>14</v>
      </c>
      <c r="B1202" s="1" t="s">
        <v>116</v>
      </c>
      <c r="C1202" s="1" t="s">
        <v>21</v>
      </c>
      <c r="D1202" s="1" t="s">
        <v>22</v>
      </c>
      <c r="E1202" s="1" t="s">
        <v>23</v>
      </c>
      <c r="F1202" s="7">
        <v>41744</v>
      </c>
      <c r="G1202" s="1" t="s">
        <v>1281</v>
      </c>
      <c r="H1202" s="7">
        <v>41755</v>
      </c>
      <c r="I1202" s="1">
        <f>Europe_Sales_Records[[#This Row],[Ship Date]]-Europe_Sales_Records[[#This Row],[Order Date]]</f>
        <v>11</v>
      </c>
      <c r="J1202" s="1">
        <v>6213</v>
      </c>
      <c r="K1202" s="1">
        <v>109.28</v>
      </c>
      <c r="L1202" s="1">
        <v>35.840000000000003</v>
      </c>
      <c r="M1202" s="1">
        <f>Europe_Sales_Records[[#This Row],[Unit Price]]-Europe_Sales_Records[[#This Row],[Unit Cost]]</f>
        <v>73.44</v>
      </c>
      <c r="N1202" s="1">
        <v>678956.64</v>
      </c>
      <c r="O1202" s="6">
        <v>222673.92000000001</v>
      </c>
      <c r="P1202" s="1">
        <v>456282.72</v>
      </c>
    </row>
    <row r="1203" spans="1:16" x14ac:dyDescent="0.3">
      <c r="A1203" s="1" t="s">
        <v>14</v>
      </c>
      <c r="B1203" s="1" t="s">
        <v>118</v>
      </c>
      <c r="C1203" s="1" t="s">
        <v>79</v>
      </c>
      <c r="D1203" s="1" t="s">
        <v>22</v>
      </c>
      <c r="E1203" s="1" t="s">
        <v>18</v>
      </c>
      <c r="F1203" s="7">
        <v>41616</v>
      </c>
      <c r="G1203" s="1" t="s">
        <v>1282</v>
      </c>
      <c r="H1203" s="7">
        <v>41666</v>
      </c>
      <c r="I1203" s="1">
        <f>Europe_Sales_Records[[#This Row],[Ship Date]]-Europe_Sales_Records[[#This Row],[Order Date]]</f>
        <v>50</v>
      </c>
      <c r="J1203" s="1">
        <v>2666</v>
      </c>
      <c r="K1203" s="1">
        <v>81.73</v>
      </c>
      <c r="L1203" s="1">
        <v>56.67</v>
      </c>
      <c r="M1203" s="1">
        <f>Europe_Sales_Records[[#This Row],[Unit Price]]-Europe_Sales_Records[[#This Row],[Unit Cost]]</f>
        <v>25.060000000000002</v>
      </c>
      <c r="N1203" s="1">
        <v>217892.18</v>
      </c>
      <c r="O1203" s="6">
        <v>151082.22</v>
      </c>
      <c r="P1203" s="1">
        <v>66809.960000000006</v>
      </c>
    </row>
    <row r="1204" spans="1:16" x14ac:dyDescent="0.3">
      <c r="A1204" s="1" t="s">
        <v>14</v>
      </c>
      <c r="B1204" s="1" t="s">
        <v>87</v>
      </c>
      <c r="C1204" s="1" t="s">
        <v>29</v>
      </c>
      <c r="D1204" s="1" t="s">
        <v>22</v>
      </c>
      <c r="E1204" s="1" t="s">
        <v>30</v>
      </c>
      <c r="F1204" s="7">
        <v>40938</v>
      </c>
      <c r="G1204" s="1" t="s">
        <v>1283</v>
      </c>
      <c r="H1204" s="7">
        <v>40982</v>
      </c>
      <c r="I1204" s="1">
        <f>Europe_Sales_Records[[#This Row],[Ship Date]]-Europe_Sales_Records[[#This Row],[Order Date]]</f>
        <v>44</v>
      </c>
      <c r="J1204" s="1">
        <v>7923</v>
      </c>
      <c r="K1204" s="1">
        <v>651.21</v>
      </c>
      <c r="L1204" s="1">
        <v>524.96</v>
      </c>
      <c r="M1204" s="1">
        <f>Europe_Sales_Records[[#This Row],[Unit Price]]-Europe_Sales_Records[[#This Row],[Unit Cost]]</f>
        <v>126.25</v>
      </c>
      <c r="N1204" s="1">
        <v>5159536.83</v>
      </c>
      <c r="O1204" s="6">
        <v>4159258.08</v>
      </c>
      <c r="P1204" s="1">
        <v>1000278.75</v>
      </c>
    </row>
    <row r="1205" spans="1:16" x14ac:dyDescent="0.3">
      <c r="A1205" s="1" t="s">
        <v>14</v>
      </c>
      <c r="B1205" s="1" t="s">
        <v>77</v>
      </c>
      <c r="C1205" s="1" t="s">
        <v>60</v>
      </c>
      <c r="D1205" s="1" t="s">
        <v>17</v>
      </c>
      <c r="E1205" s="1" t="s">
        <v>18</v>
      </c>
      <c r="F1205" s="7">
        <v>42334</v>
      </c>
      <c r="G1205" s="1" t="s">
        <v>1284</v>
      </c>
      <c r="H1205" s="7">
        <v>42363</v>
      </c>
      <c r="I1205" s="1">
        <f>Europe_Sales_Records[[#This Row],[Ship Date]]-Europe_Sales_Records[[#This Row],[Order Date]]</f>
        <v>29</v>
      </c>
      <c r="J1205" s="1">
        <v>2098</v>
      </c>
      <c r="K1205" s="1">
        <v>437.2</v>
      </c>
      <c r="L1205" s="1">
        <v>263.33</v>
      </c>
      <c r="M1205" s="1">
        <f>Europe_Sales_Records[[#This Row],[Unit Price]]-Europe_Sales_Records[[#This Row],[Unit Cost]]</f>
        <v>173.87</v>
      </c>
      <c r="N1205" s="1">
        <v>917245.6</v>
      </c>
      <c r="O1205" s="6">
        <v>552466.34</v>
      </c>
      <c r="P1205" s="1">
        <v>364779.26</v>
      </c>
    </row>
    <row r="1206" spans="1:16" x14ac:dyDescent="0.3">
      <c r="A1206" s="1" t="s">
        <v>14</v>
      </c>
      <c r="B1206" s="1" t="s">
        <v>97</v>
      </c>
      <c r="C1206" s="1" t="s">
        <v>48</v>
      </c>
      <c r="D1206" s="1" t="s">
        <v>17</v>
      </c>
      <c r="E1206" s="1" t="s">
        <v>18</v>
      </c>
      <c r="F1206" s="7">
        <v>40737</v>
      </c>
      <c r="G1206" s="1" t="s">
        <v>1285</v>
      </c>
      <c r="H1206" s="7">
        <v>40783</v>
      </c>
      <c r="I1206" s="1">
        <f>Europe_Sales_Records[[#This Row],[Ship Date]]-Europe_Sales_Records[[#This Row],[Order Date]]</f>
        <v>46</v>
      </c>
      <c r="J1206" s="1">
        <v>4061</v>
      </c>
      <c r="K1206" s="1">
        <v>152.58000000000001</v>
      </c>
      <c r="L1206" s="1">
        <v>97.44</v>
      </c>
      <c r="M1206" s="1">
        <f>Europe_Sales_Records[[#This Row],[Unit Price]]-Europe_Sales_Records[[#This Row],[Unit Cost]]</f>
        <v>55.140000000000015</v>
      </c>
      <c r="N1206" s="1">
        <v>619627.38</v>
      </c>
      <c r="O1206" s="6">
        <v>395703.84</v>
      </c>
      <c r="P1206" s="1">
        <v>223923.54</v>
      </c>
    </row>
    <row r="1207" spans="1:16" x14ac:dyDescent="0.3">
      <c r="A1207" s="1" t="s">
        <v>14</v>
      </c>
      <c r="B1207" s="1" t="s">
        <v>150</v>
      </c>
      <c r="C1207" s="1" t="s">
        <v>21</v>
      </c>
      <c r="D1207" s="1" t="s">
        <v>22</v>
      </c>
      <c r="E1207" s="1" t="s">
        <v>18</v>
      </c>
      <c r="F1207" s="7">
        <v>42906</v>
      </c>
      <c r="G1207" s="1" t="s">
        <v>1286</v>
      </c>
      <c r="H1207" s="7">
        <v>42952</v>
      </c>
      <c r="I1207" s="1">
        <f>Europe_Sales_Records[[#This Row],[Ship Date]]-Europe_Sales_Records[[#This Row],[Order Date]]</f>
        <v>46</v>
      </c>
      <c r="J1207" s="1">
        <v>4909</v>
      </c>
      <c r="K1207" s="1">
        <v>109.28</v>
      </c>
      <c r="L1207" s="1">
        <v>35.840000000000003</v>
      </c>
      <c r="M1207" s="1">
        <f>Europe_Sales_Records[[#This Row],[Unit Price]]-Europe_Sales_Records[[#This Row],[Unit Cost]]</f>
        <v>73.44</v>
      </c>
      <c r="N1207" s="1">
        <v>536455.52</v>
      </c>
      <c r="O1207" s="6">
        <v>175938.56</v>
      </c>
      <c r="P1207" s="1">
        <v>360516.96</v>
      </c>
    </row>
    <row r="1208" spans="1:16" x14ac:dyDescent="0.3">
      <c r="A1208" s="1" t="s">
        <v>14</v>
      </c>
      <c r="B1208" s="1" t="s">
        <v>127</v>
      </c>
      <c r="C1208" s="1" t="s">
        <v>16</v>
      </c>
      <c r="D1208" s="1" t="s">
        <v>17</v>
      </c>
      <c r="E1208" s="1" t="s">
        <v>23</v>
      </c>
      <c r="F1208" s="7">
        <v>42355</v>
      </c>
      <c r="G1208" s="1" t="s">
        <v>1287</v>
      </c>
      <c r="H1208" s="7">
        <v>42360</v>
      </c>
      <c r="I1208" s="1">
        <f>Europe_Sales_Records[[#This Row],[Ship Date]]-Europe_Sales_Records[[#This Row],[Order Date]]</f>
        <v>5</v>
      </c>
      <c r="J1208" s="1">
        <v>1194</v>
      </c>
      <c r="K1208" s="1">
        <v>47.45</v>
      </c>
      <c r="L1208" s="1">
        <v>31.79</v>
      </c>
      <c r="M1208" s="1">
        <f>Europe_Sales_Records[[#This Row],[Unit Price]]-Europe_Sales_Records[[#This Row],[Unit Cost]]</f>
        <v>15.660000000000004</v>
      </c>
      <c r="N1208" s="1">
        <v>56655.3</v>
      </c>
      <c r="O1208" s="6">
        <v>37957.26</v>
      </c>
      <c r="P1208" s="1">
        <v>18698.04</v>
      </c>
    </row>
    <row r="1209" spans="1:16" x14ac:dyDescent="0.3">
      <c r="A1209" s="1" t="s">
        <v>14</v>
      </c>
      <c r="B1209" s="1" t="s">
        <v>25</v>
      </c>
      <c r="C1209" s="1" t="s">
        <v>39</v>
      </c>
      <c r="D1209" s="1" t="s">
        <v>17</v>
      </c>
      <c r="E1209" s="1" t="s">
        <v>18</v>
      </c>
      <c r="F1209" s="7">
        <v>41768</v>
      </c>
      <c r="G1209" s="1" t="s">
        <v>1288</v>
      </c>
      <c r="H1209" s="7">
        <v>41799</v>
      </c>
      <c r="I1209" s="1">
        <f>Europe_Sales_Records[[#This Row],[Ship Date]]-Europe_Sales_Records[[#This Row],[Order Date]]</f>
        <v>31</v>
      </c>
      <c r="J1209" s="1">
        <v>2622</v>
      </c>
      <c r="K1209" s="1">
        <v>154.06</v>
      </c>
      <c r="L1209" s="1">
        <v>90.93</v>
      </c>
      <c r="M1209" s="1">
        <f>Europe_Sales_Records[[#This Row],[Unit Price]]-Europe_Sales_Records[[#This Row],[Unit Cost]]</f>
        <v>63.129999999999995</v>
      </c>
      <c r="N1209" s="1">
        <v>403945.32</v>
      </c>
      <c r="O1209" s="6">
        <v>238418.46</v>
      </c>
      <c r="P1209" s="1">
        <v>165526.85999999999</v>
      </c>
    </row>
    <row r="1210" spans="1:16" x14ac:dyDescent="0.3">
      <c r="A1210" s="1" t="s">
        <v>14</v>
      </c>
      <c r="B1210" s="1" t="s">
        <v>35</v>
      </c>
      <c r="C1210" s="1" t="s">
        <v>52</v>
      </c>
      <c r="D1210" s="1" t="s">
        <v>22</v>
      </c>
      <c r="E1210" s="1" t="s">
        <v>23</v>
      </c>
      <c r="F1210" s="7">
        <v>42374</v>
      </c>
      <c r="G1210" s="1" t="s">
        <v>1289</v>
      </c>
      <c r="H1210" s="7">
        <v>42394</v>
      </c>
      <c r="I1210" s="1">
        <f>Europe_Sales_Records[[#This Row],[Ship Date]]-Europe_Sales_Records[[#This Row],[Order Date]]</f>
        <v>20</v>
      </c>
      <c r="J1210" s="1">
        <v>4354</v>
      </c>
      <c r="K1210" s="1">
        <v>255.28</v>
      </c>
      <c r="L1210" s="1">
        <v>159.41999999999999</v>
      </c>
      <c r="M1210" s="1">
        <f>Europe_Sales_Records[[#This Row],[Unit Price]]-Europe_Sales_Records[[#This Row],[Unit Cost]]</f>
        <v>95.860000000000014</v>
      </c>
      <c r="N1210" s="1">
        <v>1111489.1200000001</v>
      </c>
      <c r="O1210" s="6">
        <v>694114.68</v>
      </c>
      <c r="P1210" s="1">
        <v>417374.44</v>
      </c>
    </row>
    <row r="1211" spans="1:16" x14ac:dyDescent="0.3">
      <c r="A1211" s="1" t="s">
        <v>14</v>
      </c>
      <c r="B1211" s="1" t="s">
        <v>20</v>
      </c>
      <c r="C1211" s="1" t="s">
        <v>79</v>
      </c>
      <c r="D1211" s="1" t="s">
        <v>17</v>
      </c>
      <c r="E1211" s="1" t="s">
        <v>30</v>
      </c>
      <c r="F1211" s="7">
        <v>40190</v>
      </c>
      <c r="G1211" s="1" t="s">
        <v>1290</v>
      </c>
      <c r="H1211" s="7">
        <v>40196</v>
      </c>
      <c r="I1211" s="1">
        <f>Europe_Sales_Records[[#This Row],[Ship Date]]-Europe_Sales_Records[[#This Row],[Order Date]]</f>
        <v>6</v>
      </c>
      <c r="J1211" s="1">
        <v>9528</v>
      </c>
      <c r="K1211" s="1">
        <v>81.73</v>
      </c>
      <c r="L1211" s="1">
        <v>56.67</v>
      </c>
      <c r="M1211" s="1">
        <f>Europe_Sales_Records[[#This Row],[Unit Price]]-Europe_Sales_Records[[#This Row],[Unit Cost]]</f>
        <v>25.060000000000002</v>
      </c>
      <c r="N1211" s="1">
        <v>778723.44</v>
      </c>
      <c r="O1211" s="6">
        <v>539951.76</v>
      </c>
      <c r="P1211" s="1">
        <v>238771.68</v>
      </c>
    </row>
    <row r="1212" spans="1:16" x14ac:dyDescent="0.3">
      <c r="A1212" s="1" t="s">
        <v>14</v>
      </c>
      <c r="B1212" s="1" t="s">
        <v>20</v>
      </c>
      <c r="C1212" s="1" t="s">
        <v>29</v>
      </c>
      <c r="D1212" s="1" t="s">
        <v>17</v>
      </c>
      <c r="E1212" s="1" t="s">
        <v>30</v>
      </c>
      <c r="F1212" s="7">
        <v>42338</v>
      </c>
      <c r="G1212" s="1" t="s">
        <v>1291</v>
      </c>
      <c r="H1212" s="7">
        <v>42368</v>
      </c>
      <c r="I1212" s="1">
        <f>Europe_Sales_Records[[#This Row],[Ship Date]]-Europe_Sales_Records[[#This Row],[Order Date]]</f>
        <v>30</v>
      </c>
      <c r="J1212" s="1">
        <v>8632</v>
      </c>
      <c r="K1212" s="1">
        <v>651.21</v>
      </c>
      <c r="L1212" s="1">
        <v>524.96</v>
      </c>
      <c r="M1212" s="1">
        <f>Europe_Sales_Records[[#This Row],[Unit Price]]-Europe_Sales_Records[[#This Row],[Unit Cost]]</f>
        <v>126.25</v>
      </c>
      <c r="N1212" s="1">
        <v>5621244.7199999997</v>
      </c>
      <c r="O1212" s="6">
        <v>4531454.72</v>
      </c>
      <c r="P1212" s="1">
        <v>1089790</v>
      </c>
    </row>
    <row r="1213" spans="1:16" x14ac:dyDescent="0.3">
      <c r="A1213" s="1" t="s">
        <v>14</v>
      </c>
      <c r="B1213" s="1" t="s">
        <v>56</v>
      </c>
      <c r="C1213" s="1" t="s">
        <v>60</v>
      </c>
      <c r="D1213" s="1" t="s">
        <v>17</v>
      </c>
      <c r="E1213" s="1" t="s">
        <v>18</v>
      </c>
      <c r="F1213" s="7">
        <v>42213</v>
      </c>
      <c r="G1213" s="1" t="s">
        <v>1292</v>
      </c>
      <c r="H1213" s="7">
        <v>42214</v>
      </c>
      <c r="I1213" s="1">
        <f>Europe_Sales_Records[[#This Row],[Ship Date]]-Europe_Sales_Records[[#This Row],[Order Date]]</f>
        <v>1</v>
      </c>
      <c r="J1213" s="1">
        <v>391</v>
      </c>
      <c r="K1213" s="1">
        <v>437.2</v>
      </c>
      <c r="L1213" s="1">
        <v>263.33</v>
      </c>
      <c r="M1213" s="1">
        <f>Europe_Sales_Records[[#This Row],[Unit Price]]-Europe_Sales_Records[[#This Row],[Unit Cost]]</f>
        <v>173.87</v>
      </c>
      <c r="N1213" s="1">
        <v>170945.2</v>
      </c>
      <c r="O1213" s="6">
        <v>102962.03</v>
      </c>
      <c r="P1213" s="1">
        <v>67983.17</v>
      </c>
    </row>
    <row r="1214" spans="1:16" x14ac:dyDescent="0.3">
      <c r="A1214" s="1" t="s">
        <v>14</v>
      </c>
      <c r="B1214" s="1" t="s">
        <v>54</v>
      </c>
      <c r="C1214" s="1" t="s">
        <v>21</v>
      </c>
      <c r="D1214" s="1" t="s">
        <v>17</v>
      </c>
      <c r="E1214" s="1" t="s">
        <v>45</v>
      </c>
      <c r="F1214" s="7">
        <v>42577</v>
      </c>
      <c r="G1214" s="1" t="s">
        <v>1293</v>
      </c>
      <c r="H1214" s="7">
        <v>42618</v>
      </c>
      <c r="I1214" s="1">
        <f>Europe_Sales_Records[[#This Row],[Ship Date]]-Europe_Sales_Records[[#This Row],[Order Date]]</f>
        <v>41</v>
      </c>
      <c r="J1214" s="1">
        <v>7797</v>
      </c>
      <c r="K1214" s="1">
        <v>109.28</v>
      </c>
      <c r="L1214" s="1">
        <v>35.840000000000003</v>
      </c>
      <c r="M1214" s="1">
        <f>Europe_Sales_Records[[#This Row],[Unit Price]]-Europe_Sales_Records[[#This Row],[Unit Cost]]</f>
        <v>73.44</v>
      </c>
      <c r="N1214" s="1">
        <v>852056.16</v>
      </c>
      <c r="O1214" s="6">
        <v>279444.47999999998</v>
      </c>
      <c r="P1214" s="1">
        <v>572611.68000000005</v>
      </c>
    </row>
    <row r="1215" spans="1:16" x14ac:dyDescent="0.3">
      <c r="A1215" s="1" t="s">
        <v>14</v>
      </c>
      <c r="B1215" s="1" t="s">
        <v>56</v>
      </c>
      <c r="C1215" s="1" t="s">
        <v>16</v>
      </c>
      <c r="D1215" s="1" t="s">
        <v>17</v>
      </c>
      <c r="E1215" s="1" t="s">
        <v>23</v>
      </c>
      <c r="F1215" s="7">
        <v>41750</v>
      </c>
      <c r="G1215" s="1" t="s">
        <v>1294</v>
      </c>
      <c r="H1215" s="7">
        <v>41791</v>
      </c>
      <c r="I1215" s="1">
        <f>Europe_Sales_Records[[#This Row],[Ship Date]]-Europe_Sales_Records[[#This Row],[Order Date]]</f>
        <v>41</v>
      </c>
      <c r="J1215" s="1">
        <v>114</v>
      </c>
      <c r="K1215" s="1">
        <v>47.45</v>
      </c>
      <c r="L1215" s="1">
        <v>31.79</v>
      </c>
      <c r="M1215" s="1">
        <f>Europe_Sales_Records[[#This Row],[Unit Price]]-Europe_Sales_Records[[#This Row],[Unit Cost]]</f>
        <v>15.660000000000004</v>
      </c>
      <c r="N1215" s="1">
        <v>5409.3</v>
      </c>
      <c r="O1215" s="6">
        <v>3624.06</v>
      </c>
      <c r="P1215" s="1">
        <v>1785.24</v>
      </c>
    </row>
    <row r="1216" spans="1:16" x14ac:dyDescent="0.3">
      <c r="A1216" s="1" t="s">
        <v>14</v>
      </c>
      <c r="B1216" s="1" t="s">
        <v>84</v>
      </c>
      <c r="C1216" s="1" t="s">
        <v>39</v>
      </c>
      <c r="D1216" s="1" t="s">
        <v>17</v>
      </c>
      <c r="E1216" s="1" t="s">
        <v>18</v>
      </c>
      <c r="F1216" s="7">
        <v>41219</v>
      </c>
      <c r="G1216" s="1" t="s">
        <v>1295</v>
      </c>
      <c r="H1216" s="7">
        <v>41253</v>
      </c>
      <c r="I1216" s="1">
        <f>Europe_Sales_Records[[#This Row],[Ship Date]]-Europe_Sales_Records[[#This Row],[Order Date]]</f>
        <v>34</v>
      </c>
      <c r="J1216" s="1">
        <v>5072</v>
      </c>
      <c r="K1216" s="1">
        <v>154.06</v>
      </c>
      <c r="L1216" s="1">
        <v>90.93</v>
      </c>
      <c r="M1216" s="1">
        <f>Europe_Sales_Records[[#This Row],[Unit Price]]-Europe_Sales_Records[[#This Row],[Unit Cost]]</f>
        <v>63.129999999999995</v>
      </c>
      <c r="N1216" s="1">
        <v>781392.32</v>
      </c>
      <c r="O1216" s="6">
        <v>461196.96</v>
      </c>
      <c r="P1216" s="1">
        <v>320195.36</v>
      </c>
    </row>
    <row r="1217" spans="1:16" x14ac:dyDescent="0.3">
      <c r="A1217" s="1" t="s">
        <v>14</v>
      </c>
      <c r="B1217" s="1" t="s">
        <v>127</v>
      </c>
      <c r="C1217" s="1" t="s">
        <v>16</v>
      </c>
      <c r="D1217" s="1" t="s">
        <v>17</v>
      </c>
      <c r="E1217" s="1" t="s">
        <v>30</v>
      </c>
      <c r="F1217" s="7">
        <v>42124</v>
      </c>
      <c r="G1217" s="1" t="s">
        <v>1296</v>
      </c>
      <c r="H1217" s="7">
        <v>42139</v>
      </c>
      <c r="I1217" s="1">
        <f>Europe_Sales_Records[[#This Row],[Ship Date]]-Europe_Sales_Records[[#This Row],[Order Date]]</f>
        <v>15</v>
      </c>
      <c r="J1217" s="1">
        <v>8957</v>
      </c>
      <c r="K1217" s="1">
        <v>47.45</v>
      </c>
      <c r="L1217" s="1">
        <v>31.79</v>
      </c>
      <c r="M1217" s="1">
        <f>Europe_Sales_Records[[#This Row],[Unit Price]]-Europe_Sales_Records[[#This Row],[Unit Cost]]</f>
        <v>15.660000000000004</v>
      </c>
      <c r="N1217" s="1">
        <v>425009.65</v>
      </c>
      <c r="O1217" s="6">
        <v>284743.03000000003</v>
      </c>
      <c r="P1217" s="1">
        <v>140266.62</v>
      </c>
    </row>
    <row r="1218" spans="1:16" x14ac:dyDescent="0.3">
      <c r="A1218" s="1" t="s">
        <v>14</v>
      </c>
      <c r="B1218" s="1" t="s">
        <v>84</v>
      </c>
      <c r="C1218" s="1" t="s">
        <v>57</v>
      </c>
      <c r="D1218" s="1" t="s">
        <v>22</v>
      </c>
      <c r="E1218" s="1" t="s">
        <v>30</v>
      </c>
      <c r="F1218" s="7">
        <v>41759</v>
      </c>
      <c r="G1218" s="1" t="s">
        <v>1297</v>
      </c>
      <c r="H1218" s="7">
        <v>41806</v>
      </c>
      <c r="I1218" s="1">
        <f>Europe_Sales_Records[[#This Row],[Ship Date]]-Europe_Sales_Records[[#This Row],[Order Date]]</f>
        <v>47</v>
      </c>
      <c r="J1218" s="1">
        <v>478</v>
      </c>
      <c r="K1218" s="1">
        <v>668.27</v>
      </c>
      <c r="L1218" s="1">
        <v>502.54</v>
      </c>
      <c r="M1218" s="1">
        <f>Europe_Sales_Records[[#This Row],[Unit Price]]-Europe_Sales_Records[[#This Row],[Unit Cost]]</f>
        <v>165.72999999999996</v>
      </c>
      <c r="N1218" s="1">
        <v>319433.06</v>
      </c>
      <c r="O1218" s="6">
        <v>240214.12</v>
      </c>
      <c r="P1218" s="1">
        <v>79218.94</v>
      </c>
    </row>
    <row r="1219" spans="1:16" x14ac:dyDescent="0.3">
      <c r="A1219" s="1" t="s">
        <v>14</v>
      </c>
      <c r="B1219" s="1" t="s">
        <v>131</v>
      </c>
      <c r="C1219" s="1" t="s">
        <v>33</v>
      </c>
      <c r="D1219" s="1" t="s">
        <v>17</v>
      </c>
      <c r="E1219" s="1" t="s">
        <v>30</v>
      </c>
      <c r="F1219" s="7">
        <v>42691</v>
      </c>
      <c r="G1219" s="1" t="s">
        <v>1298</v>
      </c>
      <c r="H1219" s="7">
        <v>42700</v>
      </c>
      <c r="I1219" s="1">
        <f>Europe_Sales_Records[[#This Row],[Ship Date]]-Europe_Sales_Records[[#This Row],[Order Date]]</f>
        <v>9</v>
      </c>
      <c r="J1219" s="1">
        <v>7152</v>
      </c>
      <c r="K1219" s="1">
        <v>9.33</v>
      </c>
      <c r="L1219" s="1">
        <v>6.92</v>
      </c>
      <c r="M1219" s="1">
        <f>Europe_Sales_Records[[#This Row],[Unit Price]]-Europe_Sales_Records[[#This Row],[Unit Cost]]</f>
        <v>2.41</v>
      </c>
      <c r="N1219" s="1">
        <v>66728.160000000003</v>
      </c>
      <c r="O1219" s="6">
        <v>49491.839999999997</v>
      </c>
      <c r="P1219" s="1">
        <v>17236.32</v>
      </c>
    </row>
    <row r="1220" spans="1:16" x14ac:dyDescent="0.3">
      <c r="A1220" s="1" t="s">
        <v>14</v>
      </c>
      <c r="B1220" s="1" t="s">
        <v>28</v>
      </c>
      <c r="C1220" s="1" t="s">
        <v>48</v>
      </c>
      <c r="D1220" s="1" t="s">
        <v>22</v>
      </c>
      <c r="E1220" s="1" t="s">
        <v>18</v>
      </c>
      <c r="F1220" s="7">
        <v>40329</v>
      </c>
      <c r="G1220" s="1" t="s">
        <v>1299</v>
      </c>
      <c r="H1220" s="7">
        <v>40351</v>
      </c>
      <c r="I1220" s="1">
        <f>Europe_Sales_Records[[#This Row],[Ship Date]]-Europe_Sales_Records[[#This Row],[Order Date]]</f>
        <v>22</v>
      </c>
      <c r="J1220" s="1">
        <v>5310</v>
      </c>
      <c r="K1220" s="1">
        <v>152.58000000000001</v>
      </c>
      <c r="L1220" s="1">
        <v>97.44</v>
      </c>
      <c r="M1220" s="1">
        <f>Europe_Sales_Records[[#This Row],[Unit Price]]-Europe_Sales_Records[[#This Row],[Unit Cost]]</f>
        <v>55.140000000000015</v>
      </c>
      <c r="N1220" s="1">
        <v>810199.8</v>
      </c>
      <c r="O1220" s="6">
        <v>517406.4</v>
      </c>
      <c r="P1220" s="1">
        <v>292793.40000000002</v>
      </c>
    </row>
    <row r="1221" spans="1:16" x14ac:dyDescent="0.3">
      <c r="A1221" s="1" t="s">
        <v>14</v>
      </c>
      <c r="B1221" s="1" t="s">
        <v>38</v>
      </c>
      <c r="C1221" s="1" t="s">
        <v>33</v>
      </c>
      <c r="D1221" s="1" t="s">
        <v>17</v>
      </c>
      <c r="E1221" s="1" t="s">
        <v>23</v>
      </c>
      <c r="F1221" s="7">
        <v>42735</v>
      </c>
      <c r="G1221" s="1" t="s">
        <v>1300</v>
      </c>
      <c r="H1221" s="7">
        <v>42761</v>
      </c>
      <c r="I1221" s="1">
        <f>Europe_Sales_Records[[#This Row],[Ship Date]]-Europe_Sales_Records[[#This Row],[Order Date]]</f>
        <v>26</v>
      </c>
      <c r="J1221" s="1">
        <v>1723</v>
      </c>
      <c r="K1221" s="1">
        <v>9.33</v>
      </c>
      <c r="L1221" s="1">
        <v>6.92</v>
      </c>
      <c r="M1221" s="1">
        <f>Europe_Sales_Records[[#This Row],[Unit Price]]-Europe_Sales_Records[[#This Row],[Unit Cost]]</f>
        <v>2.41</v>
      </c>
      <c r="N1221" s="1">
        <v>16075.59</v>
      </c>
      <c r="O1221" s="6">
        <v>11923.16</v>
      </c>
      <c r="P1221" s="1">
        <v>4152.43</v>
      </c>
    </row>
    <row r="1222" spans="1:16" x14ac:dyDescent="0.3">
      <c r="A1222" s="1" t="s">
        <v>14</v>
      </c>
      <c r="B1222" s="1" t="s">
        <v>99</v>
      </c>
      <c r="C1222" s="1" t="s">
        <v>33</v>
      </c>
      <c r="D1222" s="1" t="s">
        <v>17</v>
      </c>
      <c r="E1222" s="1" t="s">
        <v>23</v>
      </c>
      <c r="F1222" s="7">
        <v>40794</v>
      </c>
      <c r="G1222" s="1" t="s">
        <v>1301</v>
      </c>
      <c r="H1222" s="7">
        <v>40837</v>
      </c>
      <c r="I1222" s="1">
        <f>Europe_Sales_Records[[#This Row],[Ship Date]]-Europe_Sales_Records[[#This Row],[Order Date]]</f>
        <v>43</v>
      </c>
      <c r="J1222" s="1">
        <v>4100</v>
      </c>
      <c r="K1222" s="1">
        <v>9.33</v>
      </c>
      <c r="L1222" s="1">
        <v>6.92</v>
      </c>
      <c r="M1222" s="1">
        <f>Europe_Sales_Records[[#This Row],[Unit Price]]-Europe_Sales_Records[[#This Row],[Unit Cost]]</f>
        <v>2.41</v>
      </c>
      <c r="N1222" s="1">
        <v>38253</v>
      </c>
      <c r="O1222" s="6">
        <v>28372</v>
      </c>
      <c r="P1222" s="1">
        <v>9881</v>
      </c>
    </row>
    <row r="1223" spans="1:16" x14ac:dyDescent="0.3">
      <c r="A1223" s="1" t="s">
        <v>14</v>
      </c>
      <c r="B1223" s="1" t="s">
        <v>129</v>
      </c>
      <c r="C1223" s="1" t="s">
        <v>16</v>
      </c>
      <c r="D1223" s="1" t="s">
        <v>17</v>
      </c>
      <c r="E1223" s="1" t="s">
        <v>45</v>
      </c>
      <c r="F1223" s="7">
        <v>40229</v>
      </c>
      <c r="G1223" s="1" t="s">
        <v>1302</v>
      </c>
      <c r="H1223" s="7">
        <v>40233</v>
      </c>
      <c r="I1223" s="1">
        <f>Europe_Sales_Records[[#This Row],[Ship Date]]-Europe_Sales_Records[[#This Row],[Order Date]]</f>
        <v>4</v>
      </c>
      <c r="J1223" s="1">
        <v>8850</v>
      </c>
      <c r="K1223" s="1">
        <v>47.45</v>
      </c>
      <c r="L1223" s="1">
        <v>31.79</v>
      </c>
      <c r="M1223" s="1">
        <f>Europe_Sales_Records[[#This Row],[Unit Price]]-Europe_Sales_Records[[#This Row],[Unit Cost]]</f>
        <v>15.660000000000004</v>
      </c>
      <c r="N1223" s="1">
        <v>419932.5</v>
      </c>
      <c r="O1223" s="6">
        <v>281341.5</v>
      </c>
      <c r="P1223" s="1">
        <v>138591</v>
      </c>
    </row>
    <row r="1224" spans="1:16" x14ac:dyDescent="0.3">
      <c r="A1224" s="1" t="s">
        <v>14</v>
      </c>
      <c r="B1224" s="1" t="s">
        <v>47</v>
      </c>
      <c r="C1224" s="1" t="s">
        <v>42</v>
      </c>
      <c r="D1224" s="1" t="s">
        <v>17</v>
      </c>
      <c r="E1224" s="1" t="s">
        <v>23</v>
      </c>
      <c r="F1224" s="7">
        <v>42085</v>
      </c>
      <c r="G1224" s="1" t="s">
        <v>1303</v>
      </c>
      <c r="H1224" s="7">
        <v>42123</v>
      </c>
      <c r="I1224" s="1">
        <f>Europe_Sales_Records[[#This Row],[Ship Date]]-Europe_Sales_Records[[#This Row],[Order Date]]</f>
        <v>38</v>
      </c>
      <c r="J1224" s="1">
        <v>6924</v>
      </c>
      <c r="K1224" s="1">
        <v>421.89</v>
      </c>
      <c r="L1224" s="1">
        <v>364.69</v>
      </c>
      <c r="M1224" s="1">
        <f>Europe_Sales_Records[[#This Row],[Unit Price]]-Europe_Sales_Records[[#This Row],[Unit Cost]]</f>
        <v>57.199999999999989</v>
      </c>
      <c r="N1224" s="1">
        <v>2921166.36</v>
      </c>
      <c r="O1224" s="6">
        <v>2525113.56</v>
      </c>
      <c r="P1224" s="1">
        <v>396052.8</v>
      </c>
    </row>
    <row r="1225" spans="1:16" x14ac:dyDescent="0.3">
      <c r="A1225" s="1" t="s">
        <v>14</v>
      </c>
      <c r="B1225" s="1" t="s">
        <v>87</v>
      </c>
      <c r="C1225" s="1" t="s">
        <v>48</v>
      </c>
      <c r="D1225" s="1" t="s">
        <v>22</v>
      </c>
      <c r="E1225" s="1" t="s">
        <v>45</v>
      </c>
      <c r="F1225" s="7">
        <v>42689</v>
      </c>
      <c r="G1225" s="1" t="s">
        <v>1304</v>
      </c>
      <c r="H1225" s="7">
        <v>42733</v>
      </c>
      <c r="I1225" s="1">
        <f>Europe_Sales_Records[[#This Row],[Ship Date]]-Europe_Sales_Records[[#This Row],[Order Date]]</f>
        <v>44</v>
      </c>
      <c r="J1225" s="1">
        <v>562</v>
      </c>
      <c r="K1225" s="1">
        <v>152.58000000000001</v>
      </c>
      <c r="L1225" s="1">
        <v>97.44</v>
      </c>
      <c r="M1225" s="1">
        <f>Europe_Sales_Records[[#This Row],[Unit Price]]-Europe_Sales_Records[[#This Row],[Unit Cost]]</f>
        <v>55.140000000000015</v>
      </c>
      <c r="N1225" s="1">
        <v>85749.96</v>
      </c>
      <c r="O1225" s="6">
        <v>54761.279999999999</v>
      </c>
      <c r="P1225" s="1">
        <v>30988.68</v>
      </c>
    </row>
    <row r="1226" spans="1:16" x14ac:dyDescent="0.3">
      <c r="A1226" s="1" t="s">
        <v>14</v>
      </c>
      <c r="B1226" s="1" t="s">
        <v>91</v>
      </c>
      <c r="C1226" s="1" t="s">
        <v>33</v>
      </c>
      <c r="D1226" s="1" t="s">
        <v>17</v>
      </c>
      <c r="E1226" s="1" t="s">
        <v>18</v>
      </c>
      <c r="F1226" s="7">
        <v>41972</v>
      </c>
      <c r="G1226" s="1" t="s">
        <v>1305</v>
      </c>
      <c r="H1226" s="7">
        <v>41987</v>
      </c>
      <c r="I1226" s="1">
        <f>Europe_Sales_Records[[#This Row],[Ship Date]]-Europe_Sales_Records[[#This Row],[Order Date]]</f>
        <v>15</v>
      </c>
      <c r="J1226" s="1">
        <v>9214</v>
      </c>
      <c r="K1226" s="1">
        <v>9.33</v>
      </c>
      <c r="L1226" s="1">
        <v>6.92</v>
      </c>
      <c r="M1226" s="1">
        <f>Europe_Sales_Records[[#This Row],[Unit Price]]-Europe_Sales_Records[[#This Row],[Unit Cost]]</f>
        <v>2.41</v>
      </c>
      <c r="N1226" s="1">
        <v>85966.62</v>
      </c>
      <c r="O1226" s="6">
        <v>63760.88</v>
      </c>
      <c r="P1226" s="1">
        <v>22205.74</v>
      </c>
    </row>
    <row r="1227" spans="1:16" x14ac:dyDescent="0.3">
      <c r="A1227" s="1" t="s">
        <v>14</v>
      </c>
      <c r="B1227" s="1" t="s">
        <v>164</v>
      </c>
      <c r="C1227" s="1" t="s">
        <v>26</v>
      </c>
      <c r="D1227" s="1" t="s">
        <v>22</v>
      </c>
      <c r="E1227" s="1" t="s">
        <v>45</v>
      </c>
      <c r="F1227" s="7">
        <v>42018</v>
      </c>
      <c r="G1227" s="1" t="s">
        <v>1306</v>
      </c>
      <c r="H1227" s="7">
        <v>42026</v>
      </c>
      <c r="I1227" s="1">
        <f>Europe_Sales_Records[[#This Row],[Ship Date]]-Europe_Sales_Records[[#This Row],[Order Date]]</f>
        <v>8</v>
      </c>
      <c r="J1227" s="1">
        <v>2303</v>
      </c>
      <c r="K1227" s="1">
        <v>205.7</v>
      </c>
      <c r="L1227" s="1">
        <v>117.11</v>
      </c>
      <c r="M1227" s="1">
        <f>Europe_Sales_Records[[#This Row],[Unit Price]]-Europe_Sales_Records[[#This Row],[Unit Cost]]</f>
        <v>88.589999999999989</v>
      </c>
      <c r="N1227" s="1">
        <v>473727.1</v>
      </c>
      <c r="O1227" s="6">
        <v>269704.33</v>
      </c>
      <c r="P1227" s="1">
        <v>204022.77</v>
      </c>
    </row>
    <row r="1228" spans="1:16" x14ac:dyDescent="0.3">
      <c r="A1228" s="1" t="s">
        <v>14</v>
      </c>
      <c r="B1228" s="1" t="s">
        <v>67</v>
      </c>
      <c r="C1228" s="1" t="s">
        <v>60</v>
      </c>
      <c r="D1228" s="1" t="s">
        <v>17</v>
      </c>
      <c r="E1228" s="1" t="s">
        <v>30</v>
      </c>
      <c r="F1228" s="7">
        <v>41718</v>
      </c>
      <c r="G1228" s="1" t="s">
        <v>1307</v>
      </c>
      <c r="H1228" s="7">
        <v>41745</v>
      </c>
      <c r="I1228" s="1">
        <f>Europe_Sales_Records[[#This Row],[Ship Date]]-Europe_Sales_Records[[#This Row],[Order Date]]</f>
        <v>27</v>
      </c>
      <c r="J1228" s="1">
        <v>6000</v>
      </c>
      <c r="K1228" s="1">
        <v>437.2</v>
      </c>
      <c r="L1228" s="1">
        <v>263.33</v>
      </c>
      <c r="M1228" s="1">
        <f>Europe_Sales_Records[[#This Row],[Unit Price]]-Europe_Sales_Records[[#This Row],[Unit Cost]]</f>
        <v>173.87</v>
      </c>
      <c r="N1228" s="1">
        <v>2623200</v>
      </c>
      <c r="O1228" s="6">
        <v>1579980</v>
      </c>
      <c r="P1228" s="1">
        <v>1043220</v>
      </c>
    </row>
    <row r="1229" spans="1:16" x14ac:dyDescent="0.3">
      <c r="A1229" s="1" t="s">
        <v>14</v>
      </c>
      <c r="B1229" s="1" t="s">
        <v>164</v>
      </c>
      <c r="C1229" s="1" t="s">
        <v>29</v>
      </c>
      <c r="D1229" s="1" t="s">
        <v>22</v>
      </c>
      <c r="E1229" s="1" t="s">
        <v>45</v>
      </c>
      <c r="F1229" s="7">
        <v>42078</v>
      </c>
      <c r="G1229" s="1" t="s">
        <v>1308</v>
      </c>
      <c r="H1229" s="7">
        <v>42112</v>
      </c>
      <c r="I1229" s="1">
        <f>Europe_Sales_Records[[#This Row],[Ship Date]]-Europe_Sales_Records[[#This Row],[Order Date]]</f>
        <v>34</v>
      </c>
      <c r="J1229" s="1">
        <v>2220</v>
      </c>
      <c r="K1229" s="1">
        <v>651.21</v>
      </c>
      <c r="L1229" s="1">
        <v>524.96</v>
      </c>
      <c r="M1229" s="1">
        <f>Europe_Sales_Records[[#This Row],[Unit Price]]-Europe_Sales_Records[[#This Row],[Unit Cost]]</f>
        <v>126.25</v>
      </c>
      <c r="N1229" s="1">
        <v>1445686.2</v>
      </c>
      <c r="O1229" s="6">
        <v>1165411.2</v>
      </c>
      <c r="P1229" s="1">
        <v>280275</v>
      </c>
    </row>
    <row r="1230" spans="1:16" x14ac:dyDescent="0.3">
      <c r="A1230" s="1" t="s">
        <v>14</v>
      </c>
      <c r="B1230" s="1" t="s">
        <v>38</v>
      </c>
      <c r="C1230" s="1" t="s">
        <v>33</v>
      </c>
      <c r="D1230" s="1" t="s">
        <v>22</v>
      </c>
      <c r="E1230" s="1" t="s">
        <v>23</v>
      </c>
      <c r="F1230" s="7">
        <v>42638</v>
      </c>
      <c r="G1230" s="1" t="s">
        <v>1309</v>
      </c>
      <c r="H1230" s="7">
        <v>42662</v>
      </c>
      <c r="I1230" s="1">
        <f>Europe_Sales_Records[[#This Row],[Ship Date]]-Europe_Sales_Records[[#This Row],[Order Date]]</f>
        <v>24</v>
      </c>
      <c r="J1230" s="1">
        <v>1009</v>
      </c>
      <c r="K1230" s="1">
        <v>9.33</v>
      </c>
      <c r="L1230" s="1">
        <v>6.92</v>
      </c>
      <c r="M1230" s="1">
        <f>Europe_Sales_Records[[#This Row],[Unit Price]]-Europe_Sales_Records[[#This Row],[Unit Cost]]</f>
        <v>2.41</v>
      </c>
      <c r="N1230" s="1">
        <v>9413.9699999999993</v>
      </c>
      <c r="O1230" s="6">
        <v>6982.28</v>
      </c>
      <c r="P1230" s="1">
        <v>2431.69</v>
      </c>
    </row>
    <row r="1231" spans="1:16" x14ac:dyDescent="0.3">
      <c r="A1231" s="1" t="s">
        <v>14</v>
      </c>
      <c r="B1231" s="1" t="s">
        <v>94</v>
      </c>
      <c r="C1231" s="1" t="s">
        <v>39</v>
      </c>
      <c r="D1231" s="1" t="s">
        <v>22</v>
      </c>
      <c r="E1231" s="1" t="s">
        <v>30</v>
      </c>
      <c r="F1231" s="7">
        <v>42241</v>
      </c>
      <c r="G1231" s="1" t="s">
        <v>1310</v>
      </c>
      <c r="H1231" s="7">
        <v>42245</v>
      </c>
      <c r="I1231" s="1">
        <f>Europe_Sales_Records[[#This Row],[Ship Date]]-Europe_Sales_Records[[#This Row],[Order Date]]</f>
        <v>4</v>
      </c>
      <c r="J1231" s="1">
        <v>3911</v>
      </c>
      <c r="K1231" s="1">
        <v>154.06</v>
      </c>
      <c r="L1231" s="1">
        <v>90.93</v>
      </c>
      <c r="M1231" s="1">
        <f>Europe_Sales_Records[[#This Row],[Unit Price]]-Europe_Sales_Records[[#This Row],[Unit Cost]]</f>
        <v>63.129999999999995</v>
      </c>
      <c r="N1231" s="1">
        <v>602528.66</v>
      </c>
      <c r="O1231" s="6">
        <v>355627.23</v>
      </c>
      <c r="P1231" s="1">
        <v>246901.43</v>
      </c>
    </row>
    <row r="1232" spans="1:16" x14ac:dyDescent="0.3">
      <c r="A1232" s="1" t="s">
        <v>14</v>
      </c>
      <c r="B1232" s="1" t="s">
        <v>28</v>
      </c>
      <c r="C1232" s="1" t="s">
        <v>29</v>
      </c>
      <c r="D1232" s="1" t="s">
        <v>22</v>
      </c>
      <c r="E1232" s="1" t="s">
        <v>23</v>
      </c>
      <c r="F1232" s="7">
        <v>41051</v>
      </c>
      <c r="G1232" s="1" t="s">
        <v>1311</v>
      </c>
      <c r="H1232" s="7">
        <v>41065</v>
      </c>
      <c r="I1232" s="1">
        <f>Europe_Sales_Records[[#This Row],[Ship Date]]-Europe_Sales_Records[[#This Row],[Order Date]]</f>
        <v>14</v>
      </c>
      <c r="J1232" s="1">
        <v>4701</v>
      </c>
      <c r="K1232" s="1">
        <v>651.21</v>
      </c>
      <c r="L1232" s="1">
        <v>524.96</v>
      </c>
      <c r="M1232" s="1">
        <f>Europe_Sales_Records[[#This Row],[Unit Price]]-Europe_Sales_Records[[#This Row],[Unit Cost]]</f>
        <v>126.25</v>
      </c>
      <c r="N1232" s="1">
        <v>3061338.21</v>
      </c>
      <c r="O1232" s="6">
        <v>2467836.96</v>
      </c>
      <c r="P1232" s="1">
        <v>593501.25</v>
      </c>
    </row>
    <row r="1233" spans="1:16" x14ac:dyDescent="0.3">
      <c r="A1233" s="1" t="s">
        <v>14</v>
      </c>
      <c r="B1233" s="1" t="s">
        <v>77</v>
      </c>
      <c r="C1233" s="1" t="s">
        <v>52</v>
      </c>
      <c r="D1233" s="1" t="s">
        <v>17</v>
      </c>
      <c r="E1233" s="1" t="s">
        <v>30</v>
      </c>
      <c r="F1233" s="7">
        <v>40253</v>
      </c>
      <c r="G1233" s="1" t="s">
        <v>1312</v>
      </c>
      <c r="H1233" s="7">
        <v>40269</v>
      </c>
      <c r="I1233" s="1">
        <f>Europe_Sales_Records[[#This Row],[Ship Date]]-Europe_Sales_Records[[#This Row],[Order Date]]</f>
        <v>16</v>
      </c>
      <c r="J1233" s="1">
        <v>6833</v>
      </c>
      <c r="K1233" s="1">
        <v>255.28</v>
      </c>
      <c r="L1233" s="1">
        <v>159.41999999999999</v>
      </c>
      <c r="M1233" s="1">
        <f>Europe_Sales_Records[[#This Row],[Unit Price]]-Europe_Sales_Records[[#This Row],[Unit Cost]]</f>
        <v>95.860000000000014</v>
      </c>
      <c r="N1233" s="1">
        <v>1744328.24</v>
      </c>
      <c r="O1233" s="6">
        <v>1089316.8600000001</v>
      </c>
      <c r="P1233" s="1">
        <v>655011.38</v>
      </c>
    </row>
    <row r="1234" spans="1:16" x14ac:dyDescent="0.3">
      <c r="A1234" s="1" t="s">
        <v>14</v>
      </c>
      <c r="B1234" s="1" t="s">
        <v>20</v>
      </c>
      <c r="C1234" s="1" t="s">
        <v>57</v>
      </c>
      <c r="D1234" s="1" t="s">
        <v>17</v>
      </c>
      <c r="E1234" s="1" t="s">
        <v>23</v>
      </c>
      <c r="F1234" s="7">
        <v>40969</v>
      </c>
      <c r="G1234" s="1" t="s">
        <v>1313</v>
      </c>
      <c r="H1234" s="7">
        <v>40995</v>
      </c>
      <c r="I1234" s="1">
        <f>Europe_Sales_Records[[#This Row],[Ship Date]]-Europe_Sales_Records[[#This Row],[Order Date]]</f>
        <v>26</v>
      </c>
      <c r="J1234" s="1">
        <v>7245</v>
      </c>
      <c r="K1234" s="1">
        <v>668.27</v>
      </c>
      <c r="L1234" s="1">
        <v>502.54</v>
      </c>
      <c r="M1234" s="1">
        <f>Europe_Sales_Records[[#This Row],[Unit Price]]-Europe_Sales_Records[[#This Row],[Unit Cost]]</f>
        <v>165.72999999999996</v>
      </c>
      <c r="N1234" s="1">
        <v>4841616.1500000004</v>
      </c>
      <c r="O1234" s="6">
        <v>3640902.3</v>
      </c>
      <c r="P1234" s="1">
        <v>1200713.8500000001</v>
      </c>
    </row>
    <row r="1235" spans="1:16" x14ac:dyDescent="0.3">
      <c r="A1235" s="1" t="s">
        <v>14</v>
      </c>
      <c r="B1235" s="1" t="s">
        <v>97</v>
      </c>
      <c r="C1235" s="1" t="s">
        <v>16</v>
      </c>
      <c r="D1235" s="1" t="s">
        <v>17</v>
      </c>
      <c r="E1235" s="1" t="s">
        <v>23</v>
      </c>
      <c r="F1235" s="7">
        <v>41068</v>
      </c>
      <c r="G1235" s="1" t="s">
        <v>1314</v>
      </c>
      <c r="H1235" s="7">
        <v>41108</v>
      </c>
      <c r="I1235" s="1">
        <f>Europe_Sales_Records[[#This Row],[Ship Date]]-Europe_Sales_Records[[#This Row],[Order Date]]</f>
        <v>40</v>
      </c>
      <c r="J1235" s="1">
        <v>2839</v>
      </c>
      <c r="K1235" s="1">
        <v>47.45</v>
      </c>
      <c r="L1235" s="1">
        <v>31.79</v>
      </c>
      <c r="M1235" s="1">
        <f>Europe_Sales_Records[[#This Row],[Unit Price]]-Europe_Sales_Records[[#This Row],[Unit Cost]]</f>
        <v>15.660000000000004</v>
      </c>
      <c r="N1235" s="1">
        <v>134710.54999999999</v>
      </c>
      <c r="O1235" s="6">
        <v>90251.81</v>
      </c>
      <c r="P1235" s="1">
        <v>44458.74</v>
      </c>
    </row>
    <row r="1236" spans="1:16" x14ac:dyDescent="0.3">
      <c r="A1236" s="1" t="s">
        <v>14</v>
      </c>
      <c r="B1236" s="1" t="s">
        <v>116</v>
      </c>
      <c r="C1236" s="1" t="s">
        <v>26</v>
      </c>
      <c r="D1236" s="1" t="s">
        <v>22</v>
      </c>
      <c r="E1236" s="1" t="s">
        <v>18</v>
      </c>
      <c r="F1236" s="7">
        <v>41171</v>
      </c>
      <c r="G1236" s="1" t="s">
        <v>1315</v>
      </c>
      <c r="H1236" s="7">
        <v>41182</v>
      </c>
      <c r="I1236" s="1">
        <f>Europe_Sales_Records[[#This Row],[Ship Date]]-Europe_Sales_Records[[#This Row],[Order Date]]</f>
        <v>11</v>
      </c>
      <c r="J1236" s="1">
        <v>3532</v>
      </c>
      <c r="K1236" s="1">
        <v>205.7</v>
      </c>
      <c r="L1236" s="1">
        <v>117.11</v>
      </c>
      <c r="M1236" s="1">
        <f>Europe_Sales_Records[[#This Row],[Unit Price]]-Europe_Sales_Records[[#This Row],[Unit Cost]]</f>
        <v>88.589999999999989</v>
      </c>
      <c r="N1236" s="1">
        <v>726532.4</v>
      </c>
      <c r="O1236" s="6">
        <v>413632.52</v>
      </c>
      <c r="P1236" s="1">
        <v>312899.88</v>
      </c>
    </row>
    <row r="1237" spans="1:16" x14ac:dyDescent="0.3">
      <c r="A1237" s="1" t="s">
        <v>14</v>
      </c>
      <c r="B1237" s="1" t="s">
        <v>71</v>
      </c>
      <c r="C1237" s="1" t="s">
        <v>39</v>
      </c>
      <c r="D1237" s="1" t="s">
        <v>17</v>
      </c>
      <c r="E1237" s="1" t="s">
        <v>18</v>
      </c>
      <c r="F1237" s="7">
        <v>41564</v>
      </c>
      <c r="G1237" s="1" t="s">
        <v>1316</v>
      </c>
      <c r="H1237" s="7">
        <v>41573</v>
      </c>
      <c r="I1237" s="1">
        <f>Europe_Sales_Records[[#This Row],[Ship Date]]-Europe_Sales_Records[[#This Row],[Order Date]]</f>
        <v>9</v>
      </c>
      <c r="J1237" s="1">
        <v>6531</v>
      </c>
      <c r="K1237" s="1">
        <v>154.06</v>
      </c>
      <c r="L1237" s="1">
        <v>90.93</v>
      </c>
      <c r="M1237" s="1">
        <f>Europe_Sales_Records[[#This Row],[Unit Price]]-Europe_Sales_Records[[#This Row],[Unit Cost]]</f>
        <v>63.129999999999995</v>
      </c>
      <c r="N1237" s="1">
        <v>1006165.86</v>
      </c>
      <c r="O1237" s="6">
        <v>593863.82999999996</v>
      </c>
      <c r="P1237" s="1">
        <v>412302.03</v>
      </c>
    </row>
    <row r="1238" spans="1:16" x14ac:dyDescent="0.3">
      <c r="A1238" s="1" t="s">
        <v>14</v>
      </c>
      <c r="B1238" s="1" t="s">
        <v>50</v>
      </c>
      <c r="C1238" s="1" t="s">
        <v>29</v>
      </c>
      <c r="D1238" s="1" t="s">
        <v>17</v>
      </c>
      <c r="E1238" s="1" t="s">
        <v>18</v>
      </c>
      <c r="F1238" s="7">
        <v>41583</v>
      </c>
      <c r="G1238" s="1" t="s">
        <v>1317</v>
      </c>
      <c r="H1238" s="7">
        <v>41613</v>
      </c>
      <c r="I1238" s="1">
        <f>Europe_Sales_Records[[#This Row],[Ship Date]]-Europe_Sales_Records[[#This Row],[Order Date]]</f>
        <v>30</v>
      </c>
      <c r="J1238" s="1">
        <v>3969</v>
      </c>
      <c r="K1238" s="1">
        <v>651.21</v>
      </c>
      <c r="L1238" s="1">
        <v>524.96</v>
      </c>
      <c r="M1238" s="1">
        <f>Europe_Sales_Records[[#This Row],[Unit Price]]-Europe_Sales_Records[[#This Row],[Unit Cost]]</f>
        <v>126.25</v>
      </c>
      <c r="N1238" s="1">
        <v>2584652.4900000002</v>
      </c>
      <c r="O1238" s="6">
        <v>2083566.24</v>
      </c>
      <c r="P1238" s="1">
        <v>501086.25</v>
      </c>
    </row>
    <row r="1239" spans="1:16" x14ac:dyDescent="0.3">
      <c r="A1239" s="1" t="s">
        <v>14</v>
      </c>
      <c r="B1239" s="1" t="s">
        <v>25</v>
      </c>
      <c r="C1239" s="1" t="s">
        <v>39</v>
      </c>
      <c r="D1239" s="1" t="s">
        <v>17</v>
      </c>
      <c r="E1239" s="1" t="s">
        <v>18</v>
      </c>
      <c r="F1239" s="7">
        <v>40772</v>
      </c>
      <c r="G1239" s="1" t="s">
        <v>1318</v>
      </c>
      <c r="H1239" s="7">
        <v>40822</v>
      </c>
      <c r="I1239" s="1">
        <f>Europe_Sales_Records[[#This Row],[Ship Date]]-Europe_Sales_Records[[#This Row],[Order Date]]</f>
        <v>50</v>
      </c>
      <c r="J1239" s="1">
        <v>6637</v>
      </c>
      <c r="K1239" s="1">
        <v>154.06</v>
      </c>
      <c r="L1239" s="1">
        <v>90.93</v>
      </c>
      <c r="M1239" s="1">
        <f>Europe_Sales_Records[[#This Row],[Unit Price]]-Europe_Sales_Records[[#This Row],[Unit Cost]]</f>
        <v>63.129999999999995</v>
      </c>
      <c r="N1239" s="1">
        <v>1022496.22</v>
      </c>
      <c r="O1239" s="6">
        <v>603502.41</v>
      </c>
      <c r="P1239" s="1">
        <v>418993.81</v>
      </c>
    </row>
    <row r="1240" spans="1:16" x14ac:dyDescent="0.3">
      <c r="A1240" s="1" t="s">
        <v>14</v>
      </c>
      <c r="B1240" s="1" t="s">
        <v>41</v>
      </c>
      <c r="C1240" s="1" t="s">
        <v>33</v>
      </c>
      <c r="D1240" s="1" t="s">
        <v>22</v>
      </c>
      <c r="E1240" s="1" t="s">
        <v>45</v>
      </c>
      <c r="F1240" s="7">
        <v>41798</v>
      </c>
      <c r="G1240" s="1" t="s">
        <v>1319</v>
      </c>
      <c r="H1240" s="7">
        <v>41834</v>
      </c>
      <c r="I1240" s="1">
        <f>Europe_Sales_Records[[#This Row],[Ship Date]]-Europe_Sales_Records[[#This Row],[Order Date]]</f>
        <v>36</v>
      </c>
      <c r="J1240" s="1">
        <v>9293</v>
      </c>
      <c r="K1240" s="1">
        <v>9.33</v>
      </c>
      <c r="L1240" s="1">
        <v>6.92</v>
      </c>
      <c r="M1240" s="1">
        <f>Europe_Sales_Records[[#This Row],[Unit Price]]-Europe_Sales_Records[[#This Row],[Unit Cost]]</f>
        <v>2.41</v>
      </c>
      <c r="N1240" s="1">
        <v>86703.69</v>
      </c>
      <c r="O1240" s="6">
        <v>64307.56</v>
      </c>
      <c r="P1240" s="1">
        <v>22396.13</v>
      </c>
    </row>
    <row r="1241" spans="1:16" x14ac:dyDescent="0.3">
      <c r="A1241" s="1" t="s">
        <v>14</v>
      </c>
      <c r="B1241" s="1" t="s">
        <v>65</v>
      </c>
      <c r="C1241" s="1" t="s">
        <v>39</v>
      </c>
      <c r="D1241" s="1" t="s">
        <v>22</v>
      </c>
      <c r="E1241" s="1" t="s">
        <v>30</v>
      </c>
      <c r="F1241" s="7">
        <v>41578</v>
      </c>
      <c r="G1241" s="1" t="s">
        <v>1320</v>
      </c>
      <c r="H1241" s="7">
        <v>41622</v>
      </c>
      <c r="I1241" s="1">
        <f>Europe_Sales_Records[[#This Row],[Ship Date]]-Europe_Sales_Records[[#This Row],[Order Date]]</f>
        <v>44</v>
      </c>
      <c r="J1241" s="1">
        <v>8854</v>
      </c>
      <c r="K1241" s="1">
        <v>154.06</v>
      </c>
      <c r="L1241" s="1">
        <v>90.93</v>
      </c>
      <c r="M1241" s="1">
        <f>Europe_Sales_Records[[#This Row],[Unit Price]]-Europe_Sales_Records[[#This Row],[Unit Cost]]</f>
        <v>63.129999999999995</v>
      </c>
      <c r="N1241" s="1">
        <v>1364047.24</v>
      </c>
      <c r="O1241" s="6">
        <v>805094.22</v>
      </c>
      <c r="P1241" s="1">
        <v>558953.02</v>
      </c>
    </row>
    <row r="1242" spans="1:16" x14ac:dyDescent="0.3">
      <c r="A1242" s="1" t="s">
        <v>14</v>
      </c>
      <c r="B1242" s="1" t="s">
        <v>101</v>
      </c>
      <c r="C1242" s="1" t="s">
        <v>33</v>
      </c>
      <c r="D1242" s="1" t="s">
        <v>22</v>
      </c>
      <c r="E1242" s="1" t="s">
        <v>23</v>
      </c>
      <c r="F1242" s="7">
        <v>40611</v>
      </c>
      <c r="G1242" s="1" t="s">
        <v>1321</v>
      </c>
      <c r="H1242" s="7">
        <v>40621</v>
      </c>
      <c r="I1242" s="1">
        <f>Europe_Sales_Records[[#This Row],[Ship Date]]-Europe_Sales_Records[[#This Row],[Order Date]]</f>
        <v>10</v>
      </c>
      <c r="J1242" s="1">
        <v>9461</v>
      </c>
      <c r="K1242" s="1">
        <v>9.33</v>
      </c>
      <c r="L1242" s="1">
        <v>6.92</v>
      </c>
      <c r="M1242" s="1">
        <f>Europe_Sales_Records[[#This Row],[Unit Price]]-Europe_Sales_Records[[#This Row],[Unit Cost]]</f>
        <v>2.41</v>
      </c>
      <c r="N1242" s="1">
        <v>88271.13</v>
      </c>
      <c r="O1242" s="6">
        <v>65470.12</v>
      </c>
      <c r="P1242" s="1">
        <v>22801.01</v>
      </c>
    </row>
    <row r="1243" spans="1:16" x14ac:dyDescent="0.3">
      <c r="A1243" s="1" t="s">
        <v>14</v>
      </c>
      <c r="B1243" s="1" t="s">
        <v>20</v>
      </c>
      <c r="C1243" s="1" t="s">
        <v>52</v>
      </c>
      <c r="D1243" s="1" t="s">
        <v>22</v>
      </c>
      <c r="E1243" s="1" t="s">
        <v>30</v>
      </c>
      <c r="F1243" s="7">
        <v>42567</v>
      </c>
      <c r="G1243" s="1" t="s">
        <v>1322</v>
      </c>
      <c r="H1243" s="7">
        <v>42597</v>
      </c>
      <c r="I1243" s="1">
        <f>Europe_Sales_Records[[#This Row],[Ship Date]]-Europe_Sales_Records[[#This Row],[Order Date]]</f>
        <v>30</v>
      </c>
      <c r="J1243" s="1">
        <v>6997</v>
      </c>
      <c r="K1243" s="1">
        <v>255.28</v>
      </c>
      <c r="L1243" s="1">
        <v>159.41999999999999</v>
      </c>
      <c r="M1243" s="1">
        <f>Europe_Sales_Records[[#This Row],[Unit Price]]-Europe_Sales_Records[[#This Row],[Unit Cost]]</f>
        <v>95.860000000000014</v>
      </c>
      <c r="N1243" s="1">
        <v>1786194.16</v>
      </c>
      <c r="O1243" s="6">
        <v>1115461.74</v>
      </c>
      <c r="P1243" s="1">
        <v>670732.42000000004</v>
      </c>
    </row>
    <row r="1244" spans="1:16" x14ac:dyDescent="0.3">
      <c r="A1244" s="1" t="s">
        <v>14</v>
      </c>
      <c r="B1244" s="1" t="s">
        <v>103</v>
      </c>
      <c r="C1244" s="1" t="s">
        <v>29</v>
      </c>
      <c r="D1244" s="1" t="s">
        <v>22</v>
      </c>
      <c r="E1244" s="1" t="s">
        <v>23</v>
      </c>
      <c r="F1244" s="7">
        <v>42592</v>
      </c>
      <c r="G1244" s="1" t="s">
        <v>1323</v>
      </c>
      <c r="H1244" s="7">
        <v>42619</v>
      </c>
      <c r="I1244" s="1">
        <f>Europe_Sales_Records[[#This Row],[Ship Date]]-Europe_Sales_Records[[#This Row],[Order Date]]</f>
        <v>27</v>
      </c>
      <c r="J1244" s="1">
        <v>1342</v>
      </c>
      <c r="K1244" s="1">
        <v>651.21</v>
      </c>
      <c r="L1244" s="1">
        <v>524.96</v>
      </c>
      <c r="M1244" s="1">
        <f>Europe_Sales_Records[[#This Row],[Unit Price]]-Europe_Sales_Records[[#This Row],[Unit Cost]]</f>
        <v>126.25</v>
      </c>
      <c r="N1244" s="1">
        <v>873923.82</v>
      </c>
      <c r="O1244" s="6">
        <v>704496.32</v>
      </c>
      <c r="P1244" s="1">
        <v>169427.5</v>
      </c>
    </row>
    <row r="1245" spans="1:16" x14ac:dyDescent="0.3">
      <c r="A1245" s="1" t="s">
        <v>14</v>
      </c>
      <c r="B1245" s="1" t="s">
        <v>232</v>
      </c>
      <c r="C1245" s="1" t="s">
        <v>26</v>
      </c>
      <c r="D1245" s="1" t="s">
        <v>17</v>
      </c>
      <c r="E1245" s="1" t="s">
        <v>23</v>
      </c>
      <c r="F1245" s="7">
        <v>40526</v>
      </c>
      <c r="G1245" s="1" t="s">
        <v>1324</v>
      </c>
      <c r="H1245" s="7">
        <v>40551</v>
      </c>
      <c r="I1245" s="1">
        <f>Europe_Sales_Records[[#This Row],[Ship Date]]-Europe_Sales_Records[[#This Row],[Order Date]]</f>
        <v>25</v>
      </c>
      <c r="J1245" s="1">
        <v>1911</v>
      </c>
      <c r="K1245" s="1">
        <v>205.7</v>
      </c>
      <c r="L1245" s="1">
        <v>117.11</v>
      </c>
      <c r="M1245" s="1">
        <f>Europe_Sales_Records[[#This Row],[Unit Price]]-Europe_Sales_Records[[#This Row],[Unit Cost]]</f>
        <v>88.589999999999989</v>
      </c>
      <c r="N1245" s="1">
        <v>393092.7</v>
      </c>
      <c r="O1245" s="6">
        <v>223797.21</v>
      </c>
      <c r="P1245" s="1">
        <v>169295.49</v>
      </c>
    </row>
    <row r="1246" spans="1:16" x14ac:dyDescent="0.3">
      <c r="A1246" s="1" t="s">
        <v>14</v>
      </c>
      <c r="B1246" s="1" t="s">
        <v>71</v>
      </c>
      <c r="C1246" s="1" t="s">
        <v>39</v>
      </c>
      <c r="D1246" s="1" t="s">
        <v>17</v>
      </c>
      <c r="E1246" s="1" t="s">
        <v>45</v>
      </c>
      <c r="F1246" s="7">
        <v>40686</v>
      </c>
      <c r="G1246" s="1" t="s">
        <v>1325</v>
      </c>
      <c r="H1246" s="7">
        <v>40696</v>
      </c>
      <c r="I1246" s="1">
        <f>Europe_Sales_Records[[#This Row],[Ship Date]]-Europe_Sales_Records[[#This Row],[Order Date]]</f>
        <v>10</v>
      </c>
      <c r="J1246" s="1">
        <v>2647</v>
      </c>
      <c r="K1246" s="1">
        <v>154.06</v>
      </c>
      <c r="L1246" s="1">
        <v>90.93</v>
      </c>
      <c r="M1246" s="1">
        <f>Europe_Sales_Records[[#This Row],[Unit Price]]-Europe_Sales_Records[[#This Row],[Unit Cost]]</f>
        <v>63.129999999999995</v>
      </c>
      <c r="N1246" s="1">
        <v>407796.82</v>
      </c>
      <c r="O1246" s="6">
        <v>240691.71</v>
      </c>
      <c r="P1246" s="1">
        <v>167105.10999999999</v>
      </c>
    </row>
    <row r="1247" spans="1:16" x14ac:dyDescent="0.3">
      <c r="A1247" s="1" t="s">
        <v>14</v>
      </c>
      <c r="B1247" s="1" t="s">
        <v>38</v>
      </c>
      <c r="C1247" s="1" t="s">
        <v>57</v>
      </c>
      <c r="D1247" s="1" t="s">
        <v>22</v>
      </c>
      <c r="E1247" s="1" t="s">
        <v>45</v>
      </c>
      <c r="F1247" s="7">
        <v>40471</v>
      </c>
      <c r="G1247" s="1" t="s">
        <v>1326</v>
      </c>
      <c r="H1247" s="7">
        <v>40495</v>
      </c>
      <c r="I1247" s="1">
        <f>Europe_Sales_Records[[#This Row],[Ship Date]]-Europe_Sales_Records[[#This Row],[Order Date]]</f>
        <v>24</v>
      </c>
      <c r="J1247" s="1">
        <v>4752</v>
      </c>
      <c r="K1247" s="1">
        <v>668.27</v>
      </c>
      <c r="L1247" s="1">
        <v>502.54</v>
      </c>
      <c r="M1247" s="1">
        <f>Europe_Sales_Records[[#This Row],[Unit Price]]-Europe_Sales_Records[[#This Row],[Unit Cost]]</f>
        <v>165.72999999999996</v>
      </c>
      <c r="N1247" s="1">
        <v>3175619.04</v>
      </c>
      <c r="O1247" s="6">
        <v>2388070.08</v>
      </c>
      <c r="P1247" s="1">
        <v>787548.96</v>
      </c>
    </row>
    <row r="1248" spans="1:16" x14ac:dyDescent="0.3">
      <c r="A1248" s="1" t="s">
        <v>14</v>
      </c>
      <c r="B1248" s="1" t="s">
        <v>118</v>
      </c>
      <c r="C1248" s="1" t="s">
        <v>39</v>
      </c>
      <c r="D1248" s="1" t="s">
        <v>22</v>
      </c>
      <c r="E1248" s="1" t="s">
        <v>45</v>
      </c>
      <c r="F1248" s="7">
        <v>42825</v>
      </c>
      <c r="G1248" s="1" t="s">
        <v>1327</v>
      </c>
      <c r="H1248" s="7">
        <v>42831</v>
      </c>
      <c r="I1248" s="1">
        <f>Europe_Sales_Records[[#This Row],[Ship Date]]-Europe_Sales_Records[[#This Row],[Order Date]]</f>
        <v>6</v>
      </c>
      <c r="J1248" s="1">
        <v>3747</v>
      </c>
      <c r="K1248" s="1">
        <v>154.06</v>
      </c>
      <c r="L1248" s="1">
        <v>90.93</v>
      </c>
      <c r="M1248" s="1">
        <f>Europe_Sales_Records[[#This Row],[Unit Price]]-Europe_Sales_Records[[#This Row],[Unit Cost]]</f>
        <v>63.129999999999995</v>
      </c>
      <c r="N1248" s="1">
        <v>577262.81999999995</v>
      </c>
      <c r="O1248" s="6">
        <v>340714.71</v>
      </c>
      <c r="P1248" s="1">
        <v>236548.11</v>
      </c>
    </row>
    <row r="1249" spans="1:16" x14ac:dyDescent="0.3">
      <c r="A1249" s="1" t="s">
        <v>14</v>
      </c>
      <c r="B1249" s="1" t="s">
        <v>67</v>
      </c>
      <c r="C1249" s="1" t="s">
        <v>42</v>
      </c>
      <c r="D1249" s="1" t="s">
        <v>22</v>
      </c>
      <c r="E1249" s="1" t="s">
        <v>45</v>
      </c>
      <c r="F1249" s="7">
        <v>40868</v>
      </c>
      <c r="G1249" s="1" t="s">
        <v>1328</v>
      </c>
      <c r="H1249" s="7">
        <v>40887</v>
      </c>
      <c r="I1249" s="1">
        <f>Europe_Sales_Records[[#This Row],[Ship Date]]-Europe_Sales_Records[[#This Row],[Order Date]]</f>
        <v>19</v>
      </c>
      <c r="J1249" s="1">
        <v>8994</v>
      </c>
      <c r="K1249" s="1">
        <v>421.89</v>
      </c>
      <c r="L1249" s="1">
        <v>364.69</v>
      </c>
      <c r="M1249" s="1">
        <f>Europe_Sales_Records[[#This Row],[Unit Price]]-Europe_Sales_Records[[#This Row],[Unit Cost]]</f>
        <v>57.199999999999989</v>
      </c>
      <c r="N1249" s="1">
        <v>3794478.66</v>
      </c>
      <c r="O1249" s="6">
        <v>3280021.86</v>
      </c>
      <c r="P1249" s="1">
        <v>514456.8</v>
      </c>
    </row>
    <row r="1250" spans="1:16" x14ac:dyDescent="0.3">
      <c r="A1250" s="1" t="s">
        <v>14</v>
      </c>
      <c r="B1250" s="1" t="s">
        <v>69</v>
      </c>
      <c r="C1250" s="1" t="s">
        <v>26</v>
      </c>
      <c r="D1250" s="1" t="s">
        <v>22</v>
      </c>
      <c r="E1250" s="1" t="s">
        <v>30</v>
      </c>
      <c r="F1250" s="7">
        <v>40823</v>
      </c>
      <c r="G1250" s="1" t="s">
        <v>1329</v>
      </c>
      <c r="H1250" s="7">
        <v>40849</v>
      </c>
      <c r="I1250" s="1">
        <f>Europe_Sales_Records[[#This Row],[Ship Date]]-Europe_Sales_Records[[#This Row],[Order Date]]</f>
        <v>26</v>
      </c>
      <c r="J1250" s="1">
        <v>8124</v>
      </c>
      <c r="K1250" s="1">
        <v>205.7</v>
      </c>
      <c r="L1250" s="1">
        <v>117.11</v>
      </c>
      <c r="M1250" s="1">
        <f>Europe_Sales_Records[[#This Row],[Unit Price]]-Europe_Sales_Records[[#This Row],[Unit Cost]]</f>
        <v>88.589999999999989</v>
      </c>
      <c r="N1250" s="1">
        <v>1671106.8</v>
      </c>
      <c r="O1250" s="6">
        <v>951401.64</v>
      </c>
      <c r="P1250" s="1">
        <v>719705.16</v>
      </c>
    </row>
    <row r="1251" spans="1:16" x14ac:dyDescent="0.3">
      <c r="A1251" s="1" t="s">
        <v>14</v>
      </c>
      <c r="B1251" s="1" t="s">
        <v>219</v>
      </c>
      <c r="C1251" s="1" t="s">
        <v>57</v>
      </c>
      <c r="D1251" s="1" t="s">
        <v>17</v>
      </c>
      <c r="E1251" s="1" t="s">
        <v>45</v>
      </c>
      <c r="F1251" s="7">
        <v>41809</v>
      </c>
      <c r="G1251" s="1" t="s">
        <v>1330</v>
      </c>
      <c r="H1251" s="7">
        <v>41841</v>
      </c>
      <c r="I1251" s="1">
        <f>Europe_Sales_Records[[#This Row],[Ship Date]]-Europe_Sales_Records[[#This Row],[Order Date]]</f>
        <v>32</v>
      </c>
      <c r="J1251" s="1">
        <v>3530</v>
      </c>
      <c r="K1251" s="1">
        <v>668.27</v>
      </c>
      <c r="L1251" s="1">
        <v>502.54</v>
      </c>
      <c r="M1251" s="1">
        <f>Europe_Sales_Records[[#This Row],[Unit Price]]-Europe_Sales_Records[[#This Row],[Unit Cost]]</f>
        <v>165.72999999999996</v>
      </c>
      <c r="N1251" s="1">
        <v>2358993.1</v>
      </c>
      <c r="O1251" s="6">
        <v>1773966.2</v>
      </c>
      <c r="P1251" s="1">
        <v>585026.9</v>
      </c>
    </row>
    <row r="1252" spans="1:16" x14ac:dyDescent="0.3">
      <c r="A1252" s="1" t="s">
        <v>14</v>
      </c>
      <c r="B1252" s="1" t="s">
        <v>25</v>
      </c>
      <c r="C1252" s="1" t="s">
        <v>26</v>
      </c>
      <c r="D1252" s="1" t="s">
        <v>22</v>
      </c>
      <c r="E1252" s="1" t="s">
        <v>23</v>
      </c>
      <c r="F1252" s="7">
        <v>40311</v>
      </c>
      <c r="G1252" s="1" t="s">
        <v>1331</v>
      </c>
      <c r="H1252" s="7">
        <v>40351</v>
      </c>
      <c r="I1252" s="1">
        <f>Europe_Sales_Records[[#This Row],[Ship Date]]-Europe_Sales_Records[[#This Row],[Order Date]]</f>
        <v>40</v>
      </c>
      <c r="J1252" s="1">
        <v>8302</v>
      </c>
      <c r="K1252" s="1">
        <v>205.7</v>
      </c>
      <c r="L1252" s="1">
        <v>117.11</v>
      </c>
      <c r="M1252" s="1">
        <f>Europe_Sales_Records[[#This Row],[Unit Price]]-Europe_Sales_Records[[#This Row],[Unit Cost]]</f>
        <v>88.589999999999989</v>
      </c>
      <c r="N1252" s="1">
        <v>1707721.4</v>
      </c>
      <c r="O1252" s="6">
        <v>972247.22</v>
      </c>
      <c r="P1252" s="1">
        <v>735474.18</v>
      </c>
    </row>
    <row r="1253" spans="1:16" x14ac:dyDescent="0.3">
      <c r="A1253" s="1" t="s">
        <v>14</v>
      </c>
      <c r="B1253" s="1" t="s">
        <v>63</v>
      </c>
      <c r="C1253" s="1" t="s">
        <v>48</v>
      </c>
      <c r="D1253" s="1" t="s">
        <v>17</v>
      </c>
      <c r="E1253" s="1" t="s">
        <v>23</v>
      </c>
      <c r="F1253" s="7">
        <v>42832</v>
      </c>
      <c r="G1253" s="1" t="s">
        <v>1332</v>
      </c>
      <c r="H1253" s="7">
        <v>42838</v>
      </c>
      <c r="I1253" s="1">
        <f>Europe_Sales_Records[[#This Row],[Ship Date]]-Europe_Sales_Records[[#This Row],[Order Date]]</f>
        <v>6</v>
      </c>
      <c r="J1253" s="1">
        <v>9085</v>
      </c>
      <c r="K1253" s="1">
        <v>152.58000000000001</v>
      </c>
      <c r="L1253" s="1">
        <v>97.44</v>
      </c>
      <c r="M1253" s="1">
        <f>Europe_Sales_Records[[#This Row],[Unit Price]]-Europe_Sales_Records[[#This Row],[Unit Cost]]</f>
        <v>55.140000000000015</v>
      </c>
      <c r="N1253" s="1">
        <v>1386189.3</v>
      </c>
      <c r="O1253" s="6">
        <v>885242.4</v>
      </c>
      <c r="P1253" s="1">
        <v>500946.9</v>
      </c>
    </row>
    <row r="1254" spans="1:16" x14ac:dyDescent="0.3">
      <c r="A1254" s="1" t="s">
        <v>14</v>
      </c>
      <c r="B1254" s="1" t="s">
        <v>50</v>
      </c>
      <c r="C1254" s="1" t="s">
        <v>79</v>
      </c>
      <c r="D1254" s="1" t="s">
        <v>22</v>
      </c>
      <c r="E1254" s="1" t="s">
        <v>30</v>
      </c>
      <c r="F1254" s="7">
        <v>40914</v>
      </c>
      <c r="G1254" s="1" t="s">
        <v>1333</v>
      </c>
      <c r="H1254" s="7">
        <v>40935</v>
      </c>
      <c r="I1254" s="1">
        <f>Europe_Sales_Records[[#This Row],[Ship Date]]-Europe_Sales_Records[[#This Row],[Order Date]]</f>
        <v>21</v>
      </c>
      <c r="J1254" s="1">
        <v>4796</v>
      </c>
      <c r="K1254" s="1">
        <v>81.73</v>
      </c>
      <c r="L1254" s="1">
        <v>56.67</v>
      </c>
      <c r="M1254" s="1">
        <f>Europe_Sales_Records[[#This Row],[Unit Price]]-Europe_Sales_Records[[#This Row],[Unit Cost]]</f>
        <v>25.060000000000002</v>
      </c>
      <c r="N1254" s="1">
        <v>391977.08</v>
      </c>
      <c r="O1254" s="6">
        <v>271789.32</v>
      </c>
      <c r="P1254" s="1">
        <v>120187.76</v>
      </c>
    </row>
    <row r="1255" spans="1:16" x14ac:dyDescent="0.3">
      <c r="A1255" s="1" t="s">
        <v>14</v>
      </c>
      <c r="B1255" s="1" t="s">
        <v>69</v>
      </c>
      <c r="C1255" s="1" t="s">
        <v>39</v>
      </c>
      <c r="D1255" s="1" t="s">
        <v>22</v>
      </c>
      <c r="E1255" s="1" t="s">
        <v>45</v>
      </c>
      <c r="F1255" s="7">
        <v>42204</v>
      </c>
      <c r="G1255" s="1" t="s">
        <v>1334</v>
      </c>
      <c r="H1255" s="7">
        <v>42249</v>
      </c>
      <c r="I1255" s="1">
        <f>Europe_Sales_Records[[#This Row],[Ship Date]]-Europe_Sales_Records[[#This Row],[Order Date]]</f>
        <v>45</v>
      </c>
      <c r="J1255" s="1">
        <v>1176</v>
      </c>
      <c r="K1255" s="1">
        <v>154.06</v>
      </c>
      <c r="L1255" s="1">
        <v>90.93</v>
      </c>
      <c r="M1255" s="1">
        <f>Europe_Sales_Records[[#This Row],[Unit Price]]-Europe_Sales_Records[[#This Row],[Unit Cost]]</f>
        <v>63.129999999999995</v>
      </c>
      <c r="N1255" s="1">
        <v>181174.56</v>
      </c>
      <c r="O1255" s="6">
        <v>106933.68</v>
      </c>
      <c r="P1255" s="1">
        <v>74240.88</v>
      </c>
    </row>
    <row r="1256" spans="1:16" x14ac:dyDescent="0.3">
      <c r="A1256" s="1" t="s">
        <v>14</v>
      </c>
      <c r="B1256" s="1" t="s">
        <v>54</v>
      </c>
      <c r="C1256" s="1" t="s">
        <v>29</v>
      </c>
      <c r="D1256" s="1" t="s">
        <v>22</v>
      </c>
      <c r="E1256" s="1" t="s">
        <v>18</v>
      </c>
      <c r="F1256" s="7">
        <v>41860</v>
      </c>
      <c r="G1256" s="1" t="s">
        <v>1335</v>
      </c>
      <c r="H1256" s="7">
        <v>41867</v>
      </c>
      <c r="I1256" s="1">
        <f>Europe_Sales_Records[[#This Row],[Ship Date]]-Europe_Sales_Records[[#This Row],[Order Date]]</f>
        <v>7</v>
      </c>
      <c r="J1256" s="1">
        <v>10</v>
      </c>
      <c r="K1256" s="1">
        <v>651.21</v>
      </c>
      <c r="L1256" s="1">
        <v>524.96</v>
      </c>
      <c r="M1256" s="1">
        <f>Europe_Sales_Records[[#This Row],[Unit Price]]-Europe_Sales_Records[[#This Row],[Unit Cost]]</f>
        <v>126.25</v>
      </c>
      <c r="N1256" s="1">
        <v>6512.1</v>
      </c>
      <c r="O1256" s="6">
        <v>5249.6</v>
      </c>
      <c r="P1256" s="1">
        <v>1262.5</v>
      </c>
    </row>
    <row r="1257" spans="1:16" x14ac:dyDescent="0.3">
      <c r="A1257" s="1" t="s">
        <v>14</v>
      </c>
      <c r="B1257" s="1" t="s">
        <v>28</v>
      </c>
      <c r="C1257" s="1" t="s">
        <v>42</v>
      </c>
      <c r="D1257" s="1" t="s">
        <v>17</v>
      </c>
      <c r="E1257" s="1" t="s">
        <v>45</v>
      </c>
      <c r="F1257" s="7">
        <v>41527</v>
      </c>
      <c r="G1257" s="1" t="s">
        <v>1336</v>
      </c>
      <c r="H1257" s="7">
        <v>41550</v>
      </c>
      <c r="I1257" s="1">
        <f>Europe_Sales_Records[[#This Row],[Ship Date]]-Europe_Sales_Records[[#This Row],[Order Date]]</f>
        <v>23</v>
      </c>
      <c r="J1257" s="1">
        <v>2796</v>
      </c>
      <c r="K1257" s="1">
        <v>421.89</v>
      </c>
      <c r="L1257" s="1">
        <v>364.69</v>
      </c>
      <c r="M1257" s="1">
        <f>Europe_Sales_Records[[#This Row],[Unit Price]]-Europe_Sales_Records[[#This Row],[Unit Cost]]</f>
        <v>57.199999999999989</v>
      </c>
      <c r="N1257" s="1">
        <v>1179604.44</v>
      </c>
      <c r="O1257" s="6">
        <v>1019673.24</v>
      </c>
      <c r="P1257" s="1">
        <v>159931.20000000001</v>
      </c>
    </row>
    <row r="1258" spans="1:16" x14ac:dyDescent="0.3">
      <c r="A1258" s="1" t="s">
        <v>14</v>
      </c>
      <c r="B1258" s="1" t="s">
        <v>129</v>
      </c>
      <c r="C1258" s="1" t="s">
        <v>33</v>
      </c>
      <c r="D1258" s="1" t="s">
        <v>22</v>
      </c>
      <c r="E1258" s="1" t="s">
        <v>30</v>
      </c>
      <c r="F1258" s="7">
        <v>42925</v>
      </c>
      <c r="G1258" s="1" t="s">
        <v>1337</v>
      </c>
      <c r="H1258" s="7">
        <v>42941</v>
      </c>
      <c r="I1258" s="1">
        <f>Europe_Sales_Records[[#This Row],[Ship Date]]-Europe_Sales_Records[[#This Row],[Order Date]]</f>
        <v>16</v>
      </c>
      <c r="J1258" s="1">
        <v>9560</v>
      </c>
      <c r="K1258" s="1">
        <v>9.33</v>
      </c>
      <c r="L1258" s="1">
        <v>6.92</v>
      </c>
      <c r="M1258" s="1">
        <f>Europe_Sales_Records[[#This Row],[Unit Price]]-Europe_Sales_Records[[#This Row],[Unit Cost]]</f>
        <v>2.41</v>
      </c>
      <c r="N1258" s="1">
        <v>89194.8</v>
      </c>
      <c r="O1258" s="6">
        <v>66155.199999999997</v>
      </c>
      <c r="P1258" s="1">
        <v>23039.599999999999</v>
      </c>
    </row>
    <row r="1259" spans="1:16" x14ac:dyDescent="0.3">
      <c r="A1259" s="1" t="s">
        <v>14</v>
      </c>
      <c r="B1259" s="1" t="s">
        <v>180</v>
      </c>
      <c r="C1259" s="1" t="s">
        <v>29</v>
      </c>
      <c r="D1259" s="1" t="s">
        <v>22</v>
      </c>
      <c r="E1259" s="1" t="s">
        <v>18</v>
      </c>
      <c r="F1259" s="7">
        <v>40549</v>
      </c>
      <c r="G1259" s="1" t="s">
        <v>1338</v>
      </c>
      <c r="H1259" s="7">
        <v>40593</v>
      </c>
      <c r="I1259" s="1">
        <f>Europe_Sales_Records[[#This Row],[Ship Date]]-Europe_Sales_Records[[#This Row],[Order Date]]</f>
        <v>44</v>
      </c>
      <c r="J1259" s="1">
        <v>1246</v>
      </c>
      <c r="K1259" s="1">
        <v>651.21</v>
      </c>
      <c r="L1259" s="1">
        <v>524.96</v>
      </c>
      <c r="M1259" s="1">
        <f>Europe_Sales_Records[[#This Row],[Unit Price]]-Europe_Sales_Records[[#This Row],[Unit Cost]]</f>
        <v>126.25</v>
      </c>
      <c r="N1259" s="1">
        <v>811407.66</v>
      </c>
      <c r="O1259" s="6">
        <v>654100.16</v>
      </c>
      <c r="P1259" s="1">
        <v>157307.5</v>
      </c>
    </row>
    <row r="1260" spans="1:16" x14ac:dyDescent="0.3">
      <c r="A1260" s="1" t="s">
        <v>14</v>
      </c>
      <c r="B1260" s="1" t="s">
        <v>67</v>
      </c>
      <c r="C1260" s="1" t="s">
        <v>57</v>
      </c>
      <c r="D1260" s="1" t="s">
        <v>22</v>
      </c>
      <c r="E1260" s="1" t="s">
        <v>23</v>
      </c>
      <c r="F1260" s="7">
        <v>41643</v>
      </c>
      <c r="G1260" s="1" t="s">
        <v>1339</v>
      </c>
      <c r="H1260" s="7">
        <v>41659</v>
      </c>
      <c r="I1260" s="1">
        <f>Europe_Sales_Records[[#This Row],[Ship Date]]-Europe_Sales_Records[[#This Row],[Order Date]]</f>
        <v>16</v>
      </c>
      <c r="J1260" s="1">
        <v>4744</v>
      </c>
      <c r="K1260" s="1">
        <v>668.27</v>
      </c>
      <c r="L1260" s="1">
        <v>502.54</v>
      </c>
      <c r="M1260" s="1">
        <f>Europe_Sales_Records[[#This Row],[Unit Price]]-Europe_Sales_Records[[#This Row],[Unit Cost]]</f>
        <v>165.72999999999996</v>
      </c>
      <c r="N1260" s="1">
        <v>3170272.88</v>
      </c>
      <c r="O1260" s="6">
        <v>2384049.7599999998</v>
      </c>
      <c r="P1260" s="1">
        <v>786223.12</v>
      </c>
    </row>
    <row r="1261" spans="1:16" x14ac:dyDescent="0.3">
      <c r="A1261" s="1" t="s">
        <v>14</v>
      </c>
      <c r="B1261" s="1" t="s">
        <v>71</v>
      </c>
      <c r="C1261" s="1" t="s">
        <v>42</v>
      </c>
      <c r="D1261" s="1" t="s">
        <v>22</v>
      </c>
      <c r="E1261" s="1" t="s">
        <v>18</v>
      </c>
      <c r="F1261" s="7">
        <v>42886</v>
      </c>
      <c r="G1261" s="1" t="s">
        <v>1340</v>
      </c>
      <c r="H1261" s="7">
        <v>42891</v>
      </c>
      <c r="I1261" s="1">
        <f>Europe_Sales_Records[[#This Row],[Ship Date]]-Europe_Sales_Records[[#This Row],[Order Date]]</f>
        <v>5</v>
      </c>
      <c r="J1261" s="1">
        <v>1957</v>
      </c>
      <c r="K1261" s="1">
        <v>421.89</v>
      </c>
      <c r="L1261" s="1">
        <v>364.69</v>
      </c>
      <c r="M1261" s="1">
        <f>Europe_Sales_Records[[#This Row],[Unit Price]]-Europe_Sales_Records[[#This Row],[Unit Cost]]</f>
        <v>57.199999999999989</v>
      </c>
      <c r="N1261" s="1">
        <v>825638.73</v>
      </c>
      <c r="O1261" s="6">
        <v>713698.33</v>
      </c>
      <c r="P1261" s="1">
        <v>111940.4</v>
      </c>
    </row>
    <row r="1262" spans="1:16" x14ac:dyDescent="0.3">
      <c r="A1262" s="1" t="s">
        <v>14</v>
      </c>
      <c r="B1262" s="1" t="s">
        <v>25</v>
      </c>
      <c r="C1262" s="1" t="s">
        <v>42</v>
      </c>
      <c r="D1262" s="1" t="s">
        <v>22</v>
      </c>
      <c r="E1262" s="1" t="s">
        <v>45</v>
      </c>
      <c r="F1262" s="7">
        <v>41584</v>
      </c>
      <c r="G1262" s="1" t="s">
        <v>1341</v>
      </c>
      <c r="H1262" s="7">
        <v>41594</v>
      </c>
      <c r="I1262" s="1">
        <f>Europe_Sales_Records[[#This Row],[Ship Date]]-Europe_Sales_Records[[#This Row],[Order Date]]</f>
        <v>10</v>
      </c>
      <c r="J1262" s="1">
        <v>4765</v>
      </c>
      <c r="K1262" s="1">
        <v>421.89</v>
      </c>
      <c r="L1262" s="1">
        <v>364.69</v>
      </c>
      <c r="M1262" s="1">
        <f>Europe_Sales_Records[[#This Row],[Unit Price]]-Europe_Sales_Records[[#This Row],[Unit Cost]]</f>
        <v>57.199999999999989</v>
      </c>
      <c r="N1262" s="1">
        <v>2010305.85</v>
      </c>
      <c r="O1262" s="6">
        <v>1737747.85</v>
      </c>
      <c r="P1262" s="1">
        <v>272558</v>
      </c>
    </row>
    <row r="1263" spans="1:16" x14ac:dyDescent="0.3">
      <c r="A1263" s="1" t="s">
        <v>14</v>
      </c>
      <c r="B1263" s="1" t="s">
        <v>180</v>
      </c>
      <c r="C1263" s="1" t="s">
        <v>26</v>
      </c>
      <c r="D1263" s="1" t="s">
        <v>22</v>
      </c>
      <c r="E1263" s="1" t="s">
        <v>45</v>
      </c>
      <c r="F1263" s="7">
        <v>42563</v>
      </c>
      <c r="G1263" s="1" t="s">
        <v>1342</v>
      </c>
      <c r="H1263" s="7">
        <v>42612</v>
      </c>
      <c r="I1263" s="1">
        <f>Europe_Sales_Records[[#This Row],[Ship Date]]-Europe_Sales_Records[[#This Row],[Order Date]]</f>
        <v>49</v>
      </c>
      <c r="J1263" s="1">
        <v>4966</v>
      </c>
      <c r="K1263" s="1">
        <v>205.7</v>
      </c>
      <c r="L1263" s="1">
        <v>117.11</v>
      </c>
      <c r="M1263" s="1">
        <f>Europe_Sales_Records[[#This Row],[Unit Price]]-Europe_Sales_Records[[#This Row],[Unit Cost]]</f>
        <v>88.589999999999989</v>
      </c>
      <c r="N1263" s="1">
        <v>1021506.2</v>
      </c>
      <c r="O1263" s="6">
        <v>581568.26</v>
      </c>
      <c r="P1263" s="1">
        <v>439937.94</v>
      </c>
    </row>
    <row r="1264" spans="1:16" x14ac:dyDescent="0.3">
      <c r="A1264" s="1" t="s">
        <v>14</v>
      </c>
      <c r="B1264" s="1" t="s">
        <v>50</v>
      </c>
      <c r="C1264" s="1" t="s">
        <v>60</v>
      </c>
      <c r="D1264" s="1" t="s">
        <v>22</v>
      </c>
      <c r="E1264" s="1" t="s">
        <v>45</v>
      </c>
      <c r="F1264" s="7">
        <v>41243</v>
      </c>
      <c r="G1264" s="1" t="s">
        <v>1343</v>
      </c>
      <c r="H1264" s="7">
        <v>41246</v>
      </c>
      <c r="I1264" s="1">
        <f>Europe_Sales_Records[[#This Row],[Ship Date]]-Europe_Sales_Records[[#This Row],[Order Date]]</f>
        <v>3</v>
      </c>
      <c r="J1264" s="1">
        <v>1620</v>
      </c>
      <c r="K1264" s="1">
        <v>437.2</v>
      </c>
      <c r="L1264" s="1">
        <v>263.33</v>
      </c>
      <c r="M1264" s="1">
        <f>Europe_Sales_Records[[#This Row],[Unit Price]]-Europe_Sales_Records[[#This Row],[Unit Cost]]</f>
        <v>173.87</v>
      </c>
      <c r="N1264" s="1">
        <v>708264</v>
      </c>
      <c r="O1264" s="6">
        <v>426594.6</v>
      </c>
      <c r="P1264" s="1">
        <v>281669.40000000002</v>
      </c>
    </row>
    <row r="1265" spans="1:16" x14ac:dyDescent="0.3">
      <c r="A1265" s="1" t="s">
        <v>14</v>
      </c>
      <c r="B1265" s="1" t="s">
        <v>172</v>
      </c>
      <c r="C1265" s="1" t="s">
        <v>26</v>
      </c>
      <c r="D1265" s="1" t="s">
        <v>22</v>
      </c>
      <c r="E1265" s="1" t="s">
        <v>23</v>
      </c>
      <c r="F1265" s="7">
        <v>40703</v>
      </c>
      <c r="G1265" s="1" t="s">
        <v>1344</v>
      </c>
      <c r="H1265" s="7">
        <v>40738</v>
      </c>
      <c r="I1265" s="1">
        <f>Europe_Sales_Records[[#This Row],[Ship Date]]-Europe_Sales_Records[[#This Row],[Order Date]]</f>
        <v>35</v>
      </c>
      <c r="J1265" s="1">
        <v>2073</v>
      </c>
      <c r="K1265" s="1">
        <v>205.7</v>
      </c>
      <c r="L1265" s="1">
        <v>117.11</v>
      </c>
      <c r="M1265" s="1">
        <f>Europe_Sales_Records[[#This Row],[Unit Price]]-Europe_Sales_Records[[#This Row],[Unit Cost]]</f>
        <v>88.589999999999989</v>
      </c>
      <c r="N1265" s="1">
        <v>426416.1</v>
      </c>
      <c r="O1265" s="6">
        <v>242769.03</v>
      </c>
      <c r="P1265" s="1">
        <v>183647.07</v>
      </c>
    </row>
    <row r="1266" spans="1:16" x14ac:dyDescent="0.3">
      <c r="A1266" s="1" t="s">
        <v>14</v>
      </c>
      <c r="B1266" s="1" t="s">
        <v>131</v>
      </c>
      <c r="C1266" s="1" t="s">
        <v>21</v>
      </c>
      <c r="D1266" s="1" t="s">
        <v>22</v>
      </c>
      <c r="E1266" s="1" t="s">
        <v>45</v>
      </c>
      <c r="F1266" s="7">
        <v>40188</v>
      </c>
      <c r="G1266" s="1" t="s">
        <v>1345</v>
      </c>
      <c r="H1266" s="7">
        <v>40209</v>
      </c>
      <c r="I1266" s="1">
        <f>Europe_Sales_Records[[#This Row],[Ship Date]]-Europe_Sales_Records[[#This Row],[Order Date]]</f>
        <v>21</v>
      </c>
      <c r="J1266" s="1">
        <v>4011</v>
      </c>
      <c r="K1266" s="1">
        <v>109.28</v>
      </c>
      <c r="L1266" s="1">
        <v>35.840000000000003</v>
      </c>
      <c r="M1266" s="1">
        <f>Europe_Sales_Records[[#This Row],[Unit Price]]-Europe_Sales_Records[[#This Row],[Unit Cost]]</f>
        <v>73.44</v>
      </c>
      <c r="N1266" s="1">
        <v>438322.08</v>
      </c>
      <c r="O1266" s="6">
        <v>143754.23999999999</v>
      </c>
      <c r="P1266" s="1">
        <v>294567.84000000003</v>
      </c>
    </row>
    <row r="1267" spans="1:16" x14ac:dyDescent="0.3">
      <c r="A1267" s="1" t="s">
        <v>14</v>
      </c>
      <c r="B1267" s="1" t="s">
        <v>157</v>
      </c>
      <c r="C1267" s="1" t="s">
        <v>42</v>
      </c>
      <c r="D1267" s="1" t="s">
        <v>22</v>
      </c>
      <c r="E1267" s="1" t="s">
        <v>23</v>
      </c>
      <c r="F1267" s="7">
        <v>40533</v>
      </c>
      <c r="G1267" s="1" t="s">
        <v>1346</v>
      </c>
      <c r="H1267" s="7">
        <v>40576</v>
      </c>
      <c r="I1267" s="1">
        <f>Europe_Sales_Records[[#This Row],[Ship Date]]-Europe_Sales_Records[[#This Row],[Order Date]]</f>
        <v>43</v>
      </c>
      <c r="J1267" s="1">
        <v>8753</v>
      </c>
      <c r="K1267" s="1">
        <v>421.89</v>
      </c>
      <c r="L1267" s="1">
        <v>364.69</v>
      </c>
      <c r="M1267" s="1">
        <f>Europe_Sales_Records[[#This Row],[Unit Price]]-Europe_Sales_Records[[#This Row],[Unit Cost]]</f>
        <v>57.199999999999989</v>
      </c>
      <c r="N1267" s="1">
        <v>3692803.17</v>
      </c>
      <c r="O1267" s="6">
        <v>3192131.57</v>
      </c>
      <c r="P1267" s="1">
        <v>500671.6</v>
      </c>
    </row>
    <row r="1268" spans="1:16" x14ac:dyDescent="0.3">
      <c r="A1268" s="1" t="s">
        <v>14</v>
      </c>
      <c r="B1268" s="1" t="s">
        <v>164</v>
      </c>
      <c r="C1268" s="1" t="s">
        <v>48</v>
      </c>
      <c r="D1268" s="1" t="s">
        <v>17</v>
      </c>
      <c r="E1268" s="1" t="s">
        <v>23</v>
      </c>
      <c r="F1268" s="7">
        <v>40704</v>
      </c>
      <c r="G1268" s="1" t="s">
        <v>1347</v>
      </c>
      <c r="H1268" s="7">
        <v>40741</v>
      </c>
      <c r="I1268" s="1">
        <f>Europe_Sales_Records[[#This Row],[Ship Date]]-Europe_Sales_Records[[#This Row],[Order Date]]</f>
        <v>37</v>
      </c>
      <c r="J1268" s="1">
        <v>2727</v>
      </c>
      <c r="K1268" s="1">
        <v>152.58000000000001</v>
      </c>
      <c r="L1268" s="1">
        <v>97.44</v>
      </c>
      <c r="M1268" s="1">
        <f>Europe_Sales_Records[[#This Row],[Unit Price]]-Europe_Sales_Records[[#This Row],[Unit Cost]]</f>
        <v>55.140000000000015</v>
      </c>
      <c r="N1268" s="1">
        <v>416085.66</v>
      </c>
      <c r="O1268" s="6">
        <v>265718.88</v>
      </c>
      <c r="P1268" s="1">
        <v>150366.78</v>
      </c>
    </row>
    <row r="1269" spans="1:16" x14ac:dyDescent="0.3">
      <c r="A1269" s="1" t="s">
        <v>14</v>
      </c>
      <c r="B1269" s="1" t="s">
        <v>120</v>
      </c>
      <c r="C1269" s="1" t="s">
        <v>52</v>
      </c>
      <c r="D1269" s="1" t="s">
        <v>17</v>
      </c>
      <c r="E1269" s="1" t="s">
        <v>23</v>
      </c>
      <c r="F1269" s="7">
        <v>40324</v>
      </c>
      <c r="G1269" s="1" t="s">
        <v>1348</v>
      </c>
      <c r="H1269" s="7">
        <v>40346</v>
      </c>
      <c r="I1269" s="1">
        <f>Europe_Sales_Records[[#This Row],[Ship Date]]-Europe_Sales_Records[[#This Row],[Order Date]]</f>
        <v>22</v>
      </c>
      <c r="J1269" s="1">
        <v>4840</v>
      </c>
      <c r="K1269" s="1">
        <v>255.28</v>
      </c>
      <c r="L1269" s="1">
        <v>159.41999999999999</v>
      </c>
      <c r="M1269" s="1">
        <f>Europe_Sales_Records[[#This Row],[Unit Price]]-Europe_Sales_Records[[#This Row],[Unit Cost]]</f>
        <v>95.860000000000014</v>
      </c>
      <c r="N1269" s="1">
        <v>1235555.2</v>
      </c>
      <c r="O1269" s="6">
        <v>771592.8</v>
      </c>
      <c r="P1269" s="1">
        <v>463962.4</v>
      </c>
    </row>
    <row r="1270" spans="1:16" x14ac:dyDescent="0.3">
      <c r="A1270" s="1" t="s">
        <v>14</v>
      </c>
      <c r="B1270" s="1" t="s">
        <v>75</v>
      </c>
      <c r="C1270" s="1" t="s">
        <v>79</v>
      </c>
      <c r="D1270" s="1" t="s">
        <v>17</v>
      </c>
      <c r="E1270" s="1" t="s">
        <v>23</v>
      </c>
      <c r="F1270" s="7">
        <v>41966</v>
      </c>
      <c r="G1270" s="1" t="s">
        <v>1349</v>
      </c>
      <c r="H1270" s="7">
        <v>41994</v>
      </c>
      <c r="I1270" s="1">
        <f>Europe_Sales_Records[[#This Row],[Ship Date]]-Europe_Sales_Records[[#This Row],[Order Date]]</f>
        <v>28</v>
      </c>
      <c r="J1270" s="1">
        <v>4376</v>
      </c>
      <c r="K1270" s="1">
        <v>81.73</v>
      </c>
      <c r="L1270" s="1">
        <v>56.67</v>
      </c>
      <c r="M1270" s="1">
        <f>Europe_Sales_Records[[#This Row],[Unit Price]]-Europe_Sales_Records[[#This Row],[Unit Cost]]</f>
        <v>25.060000000000002</v>
      </c>
      <c r="N1270" s="1">
        <v>357650.48</v>
      </c>
      <c r="O1270" s="6">
        <v>247987.92</v>
      </c>
      <c r="P1270" s="1">
        <v>109662.56</v>
      </c>
    </row>
    <row r="1271" spans="1:16" x14ac:dyDescent="0.3">
      <c r="A1271" s="1" t="s">
        <v>14</v>
      </c>
      <c r="B1271" s="1" t="s">
        <v>87</v>
      </c>
      <c r="C1271" s="1" t="s">
        <v>21</v>
      </c>
      <c r="D1271" s="1" t="s">
        <v>22</v>
      </c>
      <c r="E1271" s="1" t="s">
        <v>45</v>
      </c>
      <c r="F1271" s="7">
        <v>41743</v>
      </c>
      <c r="G1271" s="1" t="s">
        <v>1350</v>
      </c>
      <c r="H1271" s="7">
        <v>41746</v>
      </c>
      <c r="I1271" s="1">
        <f>Europe_Sales_Records[[#This Row],[Ship Date]]-Europe_Sales_Records[[#This Row],[Order Date]]</f>
        <v>3</v>
      </c>
      <c r="J1271" s="1">
        <v>8631</v>
      </c>
      <c r="K1271" s="1">
        <v>109.28</v>
      </c>
      <c r="L1271" s="1">
        <v>35.840000000000003</v>
      </c>
      <c r="M1271" s="1">
        <f>Europe_Sales_Records[[#This Row],[Unit Price]]-Europe_Sales_Records[[#This Row],[Unit Cost]]</f>
        <v>73.44</v>
      </c>
      <c r="N1271" s="1">
        <v>943195.68</v>
      </c>
      <c r="O1271" s="6">
        <v>309335.03999999998</v>
      </c>
      <c r="P1271" s="1">
        <v>633860.64</v>
      </c>
    </row>
    <row r="1272" spans="1:16" x14ac:dyDescent="0.3">
      <c r="A1272" s="1" t="s">
        <v>14</v>
      </c>
      <c r="B1272" s="1" t="s">
        <v>91</v>
      </c>
      <c r="C1272" s="1" t="s">
        <v>52</v>
      </c>
      <c r="D1272" s="1" t="s">
        <v>17</v>
      </c>
      <c r="E1272" s="1" t="s">
        <v>23</v>
      </c>
      <c r="F1272" s="7">
        <v>40219</v>
      </c>
      <c r="G1272" s="1" t="s">
        <v>1351</v>
      </c>
      <c r="H1272" s="7">
        <v>40235</v>
      </c>
      <c r="I1272" s="1">
        <f>Europe_Sales_Records[[#This Row],[Ship Date]]-Europe_Sales_Records[[#This Row],[Order Date]]</f>
        <v>16</v>
      </c>
      <c r="J1272" s="1">
        <v>4983</v>
      </c>
      <c r="K1272" s="1">
        <v>255.28</v>
      </c>
      <c r="L1272" s="1">
        <v>159.41999999999999</v>
      </c>
      <c r="M1272" s="1">
        <f>Europe_Sales_Records[[#This Row],[Unit Price]]-Europe_Sales_Records[[#This Row],[Unit Cost]]</f>
        <v>95.860000000000014</v>
      </c>
      <c r="N1272" s="1">
        <v>1272060.24</v>
      </c>
      <c r="O1272" s="6">
        <v>794389.86</v>
      </c>
      <c r="P1272" s="1">
        <v>477670.38</v>
      </c>
    </row>
    <row r="1273" spans="1:16" x14ac:dyDescent="0.3">
      <c r="A1273" s="1" t="s">
        <v>14</v>
      </c>
      <c r="B1273" s="1" t="s">
        <v>28</v>
      </c>
      <c r="C1273" s="1" t="s">
        <v>29</v>
      </c>
      <c r="D1273" s="1" t="s">
        <v>17</v>
      </c>
      <c r="E1273" s="1" t="s">
        <v>18</v>
      </c>
      <c r="F1273" s="7">
        <v>41679</v>
      </c>
      <c r="G1273" s="1" t="s">
        <v>1352</v>
      </c>
      <c r="H1273" s="7">
        <v>41695</v>
      </c>
      <c r="I1273" s="1">
        <f>Europe_Sales_Records[[#This Row],[Ship Date]]-Europe_Sales_Records[[#This Row],[Order Date]]</f>
        <v>16</v>
      </c>
      <c r="J1273" s="1">
        <v>3391</v>
      </c>
      <c r="K1273" s="1">
        <v>651.21</v>
      </c>
      <c r="L1273" s="1">
        <v>524.96</v>
      </c>
      <c r="M1273" s="1">
        <f>Europe_Sales_Records[[#This Row],[Unit Price]]-Europe_Sales_Records[[#This Row],[Unit Cost]]</f>
        <v>126.25</v>
      </c>
      <c r="N1273" s="1">
        <v>2208253.11</v>
      </c>
      <c r="O1273" s="6">
        <v>1780139.36</v>
      </c>
      <c r="P1273" s="1">
        <v>428113.75</v>
      </c>
    </row>
    <row r="1274" spans="1:16" x14ac:dyDescent="0.3">
      <c r="A1274" s="1" t="s">
        <v>14</v>
      </c>
      <c r="B1274" s="1" t="s">
        <v>150</v>
      </c>
      <c r="C1274" s="1" t="s">
        <v>42</v>
      </c>
      <c r="D1274" s="1" t="s">
        <v>22</v>
      </c>
      <c r="E1274" s="1" t="s">
        <v>23</v>
      </c>
      <c r="F1274" s="7">
        <v>40819</v>
      </c>
      <c r="G1274" s="1" t="s">
        <v>1353</v>
      </c>
      <c r="H1274" s="7">
        <v>40849</v>
      </c>
      <c r="I1274" s="1">
        <f>Europe_Sales_Records[[#This Row],[Ship Date]]-Europe_Sales_Records[[#This Row],[Order Date]]</f>
        <v>30</v>
      </c>
      <c r="J1274" s="1">
        <v>1875</v>
      </c>
      <c r="K1274" s="1">
        <v>421.89</v>
      </c>
      <c r="L1274" s="1">
        <v>364.69</v>
      </c>
      <c r="M1274" s="1">
        <f>Europe_Sales_Records[[#This Row],[Unit Price]]-Europe_Sales_Records[[#This Row],[Unit Cost]]</f>
        <v>57.199999999999989</v>
      </c>
      <c r="N1274" s="1">
        <v>791043.75</v>
      </c>
      <c r="O1274" s="6">
        <v>683793.75</v>
      </c>
      <c r="P1274" s="1">
        <v>107250</v>
      </c>
    </row>
    <row r="1275" spans="1:16" x14ac:dyDescent="0.3">
      <c r="A1275" s="1" t="s">
        <v>14</v>
      </c>
      <c r="B1275" s="1" t="s">
        <v>91</v>
      </c>
      <c r="C1275" s="1" t="s">
        <v>26</v>
      </c>
      <c r="D1275" s="1" t="s">
        <v>17</v>
      </c>
      <c r="E1275" s="1" t="s">
        <v>45</v>
      </c>
      <c r="F1275" s="7">
        <v>40198</v>
      </c>
      <c r="G1275" s="1" t="s">
        <v>1354</v>
      </c>
      <c r="H1275" s="7">
        <v>40213</v>
      </c>
      <c r="I1275" s="1">
        <f>Europe_Sales_Records[[#This Row],[Ship Date]]-Europe_Sales_Records[[#This Row],[Order Date]]</f>
        <v>15</v>
      </c>
      <c r="J1275" s="1">
        <v>7455</v>
      </c>
      <c r="K1275" s="1">
        <v>205.7</v>
      </c>
      <c r="L1275" s="1">
        <v>117.11</v>
      </c>
      <c r="M1275" s="1">
        <f>Europe_Sales_Records[[#This Row],[Unit Price]]-Europe_Sales_Records[[#This Row],[Unit Cost]]</f>
        <v>88.589999999999989</v>
      </c>
      <c r="N1275" s="1">
        <v>1533493.5</v>
      </c>
      <c r="O1275" s="6">
        <v>873055.05</v>
      </c>
      <c r="P1275" s="1">
        <v>660438.44999999995</v>
      </c>
    </row>
    <row r="1276" spans="1:16" x14ac:dyDescent="0.3">
      <c r="A1276" s="1" t="s">
        <v>14</v>
      </c>
      <c r="B1276" s="1" t="s">
        <v>164</v>
      </c>
      <c r="C1276" s="1" t="s">
        <v>60</v>
      </c>
      <c r="D1276" s="1" t="s">
        <v>22</v>
      </c>
      <c r="E1276" s="1" t="s">
        <v>30</v>
      </c>
      <c r="F1276" s="7">
        <v>40238</v>
      </c>
      <c r="G1276" s="1" t="s">
        <v>1355</v>
      </c>
      <c r="H1276" s="7">
        <v>40252</v>
      </c>
      <c r="I1276" s="1">
        <f>Europe_Sales_Records[[#This Row],[Ship Date]]-Europe_Sales_Records[[#This Row],[Order Date]]</f>
        <v>14</v>
      </c>
      <c r="J1276" s="1">
        <v>496</v>
      </c>
      <c r="K1276" s="1">
        <v>437.2</v>
      </c>
      <c r="L1276" s="1">
        <v>263.33</v>
      </c>
      <c r="M1276" s="1">
        <f>Europe_Sales_Records[[#This Row],[Unit Price]]-Europe_Sales_Records[[#This Row],[Unit Cost]]</f>
        <v>173.87</v>
      </c>
      <c r="N1276" s="1">
        <v>216851.20000000001</v>
      </c>
      <c r="O1276" s="6">
        <v>130611.68</v>
      </c>
      <c r="P1276" s="1">
        <v>86239.52</v>
      </c>
    </row>
    <row r="1277" spans="1:16" x14ac:dyDescent="0.3">
      <c r="A1277" s="1" t="s">
        <v>14</v>
      </c>
      <c r="B1277" s="1" t="s">
        <v>99</v>
      </c>
      <c r="C1277" s="1" t="s">
        <v>29</v>
      </c>
      <c r="D1277" s="1" t="s">
        <v>22</v>
      </c>
      <c r="E1277" s="1" t="s">
        <v>45</v>
      </c>
      <c r="F1277" s="7">
        <v>40775</v>
      </c>
      <c r="G1277" s="1" t="s">
        <v>1356</v>
      </c>
      <c r="H1277" s="7">
        <v>40812</v>
      </c>
      <c r="I1277" s="1">
        <f>Europe_Sales_Records[[#This Row],[Ship Date]]-Europe_Sales_Records[[#This Row],[Order Date]]</f>
        <v>37</v>
      </c>
      <c r="J1277" s="1">
        <v>3086</v>
      </c>
      <c r="K1277" s="1">
        <v>651.21</v>
      </c>
      <c r="L1277" s="1">
        <v>524.96</v>
      </c>
      <c r="M1277" s="1">
        <f>Europe_Sales_Records[[#This Row],[Unit Price]]-Europe_Sales_Records[[#This Row],[Unit Cost]]</f>
        <v>126.25</v>
      </c>
      <c r="N1277" s="1">
        <v>2009634.06</v>
      </c>
      <c r="O1277" s="6">
        <v>1620026.56</v>
      </c>
      <c r="P1277" s="1">
        <v>389607.5</v>
      </c>
    </row>
    <row r="1278" spans="1:16" x14ac:dyDescent="0.3">
      <c r="A1278" s="1" t="s">
        <v>14</v>
      </c>
      <c r="B1278" s="1" t="s">
        <v>63</v>
      </c>
      <c r="C1278" s="1" t="s">
        <v>26</v>
      </c>
      <c r="D1278" s="1" t="s">
        <v>17</v>
      </c>
      <c r="E1278" s="1" t="s">
        <v>23</v>
      </c>
      <c r="F1278" s="7">
        <v>40357</v>
      </c>
      <c r="G1278" s="1" t="s">
        <v>1357</v>
      </c>
      <c r="H1278" s="7">
        <v>40371</v>
      </c>
      <c r="I1278" s="1">
        <f>Europe_Sales_Records[[#This Row],[Ship Date]]-Europe_Sales_Records[[#This Row],[Order Date]]</f>
        <v>14</v>
      </c>
      <c r="J1278" s="1">
        <v>5462</v>
      </c>
      <c r="K1278" s="1">
        <v>205.7</v>
      </c>
      <c r="L1278" s="1">
        <v>117.11</v>
      </c>
      <c r="M1278" s="1">
        <f>Europe_Sales_Records[[#This Row],[Unit Price]]-Europe_Sales_Records[[#This Row],[Unit Cost]]</f>
        <v>88.589999999999989</v>
      </c>
      <c r="N1278" s="1">
        <v>1123533.3999999999</v>
      </c>
      <c r="O1278" s="6">
        <v>639654.81999999995</v>
      </c>
      <c r="P1278" s="1">
        <v>483878.58</v>
      </c>
    </row>
    <row r="1279" spans="1:16" x14ac:dyDescent="0.3">
      <c r="A1279" s="1" t="s">
        <v>14</v>
      </c>
      <c r="B1279" s="1" t="s">
        <v>47</v>
      </c>
      <c r="C1279" s="1" t="s">
        <v>16</v>
      </c>
      <c r="D1279" s="1" t="s">
        <v>17</v>
      </c>
      <c r="E1279" s="1" t="s">
        <v>30</v>
      </c>
      <c r="F1279" s="7">
        <v>42725</v>
      </c>
      <c r="G1279" s="1" t="s">
        <v>1358</v>
      </c>
      <c r="H1279" s="7">
        <v>42757</v>
      </c>
      <c r="I1279" s="1">
        <f>Europe_Sales_Records[[#This Row],[Ship Date]]-Europe_Sales_Records[[#This Row],[Order Date]]</f>
        <v>32</v>
      </c>
      <c r="J1279" s="1">
        <v>789</v>
      </c>
      <c r="K1279" s="1">
        <v>47.45</v>
      </c>
      <c r="L1279" s="1">
        <v>31.79</v>
      </c>
      <c r="M1279" s="1">
        <f>Europe_Sales_Records[[#This Row],[Unit Price]]-Europe_Sales_Records[[#This Row],[Unit Cost]]</f>
        <v>15.660000000000004</v>
      </c>
      <c r="N1279" s="1">
        <v>37438.050000000003</v>
      </c>
      <c r="O1279" s="6">
        <v>25082.31</v>
      </c>
      <c r="P1279" s="1">
        <v>12355.74</v>
      </c>
    </row>
    <row r="1280" spans="1:16" x14ac:dyDescent="0.3">
      <c r="A1280" s="1" t="s">
        <v>14</v>
      </c>
      <c r="B1280" s="1" t="s">
        <v>106</v>
      </c>
      <c r="C1280" s="1" t="s">
        <v>60</v>
      </c>
      <c r="D1280" s="1" t="s">
        <v>22</v>
      </c>
      <c r="E1280" s="1" t="s">
        <v>45</v>
      </c>
      <c r="F1280" s="7">
        <v>41438</v>
      </c>
      <c r="G1280" s="1" t="s">
        <v>1359</v>
      </c>
      <c r="H1280" s="7">
        <v>41484</v>
      </c>
      <c r="I1280" s="1">
        <f>Europe_Sales_Records[[#This Row],[Ship Date]]-Europe_Sales_Records[[#This Row],[Order Date]]</f>
        <v>46</v>
      </c>
      <c r="J1280" s="1">
        <v>5283</v>
      </c>
      <c r="K1280" s="1">
        <v>437.2</v>
      </c>
      <c r="L1280" s="1">
        <v>263.33</v>
      </c>
      <c r="M1280" s="1">
        <f>Europe_Sales_Records[[#This Row],[Unit Price]]-Europe_Sales_Records[[#This Row],[Unit Cost]]</f>
        <v>173.87</v>
      </c>
      <c r="N1280" s="1">
        <v>2309727.6</v>
      </c>
      <c r="O1280" s="6">
        <v>1391172.39</v>
      </c>
      <c r="P1280" s="1">
        <v>918555.21</v>
      </c>
    </row>
    <row r="1281" spans="1:16" x14ac:dyDescent="0.3">
      <c r="A1281" s="1" t="s">
        <v>14</v>
      </c>
      <c r="B1281" s="1" t="s">
        <v>106</v>
      </c>
      <c r="C1281" s="1" t="s">
        <v>42</v>
      </c>
      <c r="D1281" s="1" t="s">
        <v>17</v>
      </c>
      <c r="E1281" s="1" t="s">
        <v>30</v>
      </c>
      <c r="F1281" s="7">
        <v>42503</v>
      </c>
      <c r="G1281" s="1" t="s">
        <v>1360</v>
      </c>
      <c r="H1281" s="7">
        <v>42530</v>
      </c>
      <c r="I1281" s="1">
        <f>Europe_Sales_Records[[#This Row],[Ship Date]]-Europe_Sales_Records[[#This Row],[Order Date]]</f>
        <v>27</v>
      </c>
      <c r="J1281" s="1">
        <v>8978</v>
      </c>
      <c r="K1281" s="1">
        <v>421.89</v>
      </c>
      <c r="L1281" s="1">
        <v>364.69</v>
      </c>
      <c r="M1281" s="1">
        <f>Europe_Sales_Records[[#This Row],[Unit Price]]-Europe_Sales_Records[[#This Row],[Unit Cost]]</f>
        <v>57.199999999999989</v>
      </c>
      <c r="N1281" s="1">
        <v>3787728.42</v>
      </c>
      <c r="O1281" s="6">
        <v>3274186.82</v>
      </c>
      <c r="P1281" s="1">
        <v>513541.6</v>
      </c>
    </row>
    <row r="1282" spans="1:16" x14ac:dyDescent="0.3">
      <c r="A1282" s="1" t="s">
        <v>14</v>
      </c>
      <c r="B1282" s="1" t="s">
        <v>25</v>
      </c>
      <c r="C1282" s="1" t="s">
        <v>21</v>
      </c>
      <c r="D1282" s="1" t="s">
        <v>22</v>
      </c>
      <c r="E1282" s="1" t="s">
        <v>23</v>
      </c>
      <c r="F1282" s="7">
        <v>42361</v>
      </c>
      <c r="G1282" s="1" t="s">
        <v>1361</v>
      </c>
      <c r="H1282" s="7">
        <v>42368</v>
      </c>
      <c r="I1282" s="1">
        <f>Europe_Sales_Records[[#This Row],[Ship Date]]-Europe_Sales_Records[[#This Row],[Order Date]]</f>
        <v>7</v>
      </c>
      <c r="J1282" s="1">
        <v>2457</v>
      </c>
      <c r="K1282" s="1">
        <v>109.28</v>
      </c>
      <c r="L1282" s="1">
        <v>35.840000000000003</v>
      </c>
      <c r="M1282" s="1">
        <f>Europe_Sales_Records[[#This Row],[Unit Price]]-Europe_Sales_Records[[#This Row],[Unit Cost]]</f>
        <v>73.44</v>
      </c>
      <c r="N1282" s="1">
        <v>268500.96000000002</v>
      </c>
      <c r="O1282" s="6">
        <v>88058.880000000005</v>
      </c>
      <c r="P1282" s="1">
        <v>180442.08</v>
      </c>
    </row>
    <row r="1283" spans="1:16" x14ac:dyDescent="0.3">
      <c r="A1283" s="1" t="s">
        <v>14</v>
      </c>
      <c r="B1283" s="1" t="s">
        <v>129</v>
      </c>
      <c r="C1283" s="1" t="s">
        <v>52</v>
      </c>
      <c r="D1283" s="1" t="s">
        <v>22</v>
      </c>
      <c r="E1283" s="1" t="s">
        <v>23</v>
      </c>
      <c r="F1283" s="7">
        <v>41505</v>
      </c>
      <c r="G1283" s="1" t="s">
        <v>1362</v>
      </c>
      <c r="H1283" s="7">
        <v>41544</v>
      </c>
      <c r="I1283" s="1">
        <f>Europe_Sales_Records[[#This Row],[Ship Date]]-Europe_Sales_Records[[#This Row],[Order Date]]</f>
        <v>39</v>
      </c>
      <c r="J1283" s="1">
        <v>7617</v>
      </c>
      <c r="K1283" s="1">
        <v>255.28</v>
      </c>
      <c r="L1283" s="1">
        <v>159.41999999999999</v>
      </c>
      <c r="M1283" s="1">
        <f>Europe_Sales_Records[[#This Row],[Unit Price]]-Europe_Sales_Records[[#This Row],[Unit Cost]]</f>
        <v>95.860000000000014</v>
      </c>
      <c r="N1283" s="1">
        <v>1944467.76</v>
      </c>
      <c r="O1283" s="6">
        <v>1214302.1399999999</v>
      </c>
      <c r="P1283" s="1">
        <v>730165.62</v>
      </c>
    </row>
    <row r="1284" spans="1:16" x14ac:dyDescent="0.3">
      <c r="A1284" s="1" t="s">
        <v>14</v>
      </c>
      <c r="B1284" s="1" t="s">
        <v>71</v>
      </c>
      <c r="C1284" s="1" t="s">
        <v>21</v>
      </c>
      <c r="D1284" s="1" t="s">
        <v>17</v>
      </c>
      <c r="E1284" s="1" t="s">
        <v>45</v>
      </c>
      <c r="F1284" s="7">
        <v>42586</v>
      </c>
      <c r="G1284" s="1" t="s">
        <v>1363</v>
      </c>
      <c r="H1284" s="7">
        <v>42590</v>
      </c>
      <c r="I1284" s="1">
        <f>Europe_Sales_Records[[#This Row],[Ship Date]]-Europe_Sales_Records[[#This Row],[Order Date]]</f>
        <v>4</v>
      </c>
      <c r="J1284" s="1">
        <v>3940</v>
      </c>
      <c r="K1284" s="1">
        <v>109.28</v>
      </c>
      <c r="L1284" s="1">
        <v>35.840000000000003</v>
      </c>
      <c r="M1284" s="1">
        <f>Europe_Sales_Records[[#This Row],[Unit Price]]-Europe_Sales_Records[[#This Row],[Unit Cost]]</f>
        <v>73.44</v>
      </c>
      <c r="N1284" s="1">
        <v>430563.2</v>
      </c>
      <c r="O1284" s="6">
        <v>141209.60000000001</v>
      </c>
      <c r="P1284" s="1">
        <v>289353.59999999998</v>
      </c>
    </row>
    <row r="1285" spans="1:16" x14ac:dyDescent="0.3">
      <c r="A1285" s="1" t="s">
        <v>14</v>
      </c>
      <c r="B1285" s="1" t="s">
        <v>73</v>
      </c>
      <c r="C1285" s="1" t="s">
        <v>52</v>
      </c>
      <c r="D1285" s="1" t="s">
        <v>17</v>
      </c>
      <c r="E1285" s="1" t="s">
        <v>23</v>
      </c>
      <c r="F1285" s="7">
        <v>42284</v>
      </c>
      <c r="G1285" s="1" t="s">
        <v>1364</v>
      </c>
      <c r="H1285" s="7">
        <v>42317</v>
      </c>
      <c r="I1285" s="1">
        <f>Europe_Sales_Records[[#This Row],[Ship Date]]-Europe_Sales_Records[[#This Row],[Order Date]]</f>
        <v>33</v>
      </c>
      <c r="J1285" s="1">
        <v>5541</v>
      </c>
      <c r="K1285" s="1">
        <v>255.28</v>
      </c>
      <c r="L1285" s="1">
        <v>159.41999999999999</v>
      </c>
      <c r="M1285" s="1">
        <f>Europe_Sales_Records[[#This Row],[Unit Price]]-Europe_Sales_Records[[#This Row],[Unit Cost]]</f>
        <v>95.860000000000014</v>
      </c>
      <c r="N1285" s="1">
        <v>1414506.48</v>
      </c>
      <c r="O1285" s="6">
        <v>883346.22</v>
      </c>
      <c r="P1285" s="1">
        <v>531160.26</v>
      </c>
    </row>
    <row r="1286" spans="1:16" x14ac:dyDescent="0.3">
      <c r="A1286" s="1" t="s">
        <v>14</v>
      </c>
      <c r="B1286" s="1" t="s">
        <v>152</v>
      </c>
      <c r="C1286" s="1" t="s">
        <v>79</v>
      </c>
      <c r="D1286" s="1" t="s">
        <v>17</v>
      </c>
      <c r="E1286" s="1" t="s">
        <v>30</v>
      </c>
      <c r="F1286" s="7">
        <v>41585</v>
      </c>
      <c r="G1286" s="1" t="s">
        <v>1365</v>
      </c>
      <c r="H1286" s="7">
        <v>41627</v>
      </c>
      <c r="I1286" s="1">
        <f>Europe_Sales_Records[[#This Row],[Ship Date]]-Europe_Sales_Records[[#This Row],[Order Date]]</f>
        <v>42</v>
      </c>
      <c r="J1286" s="1">
        <v>3843</v>
      </c>
      <c r="K1286" s="1">
        <v>81.73</v>
      </c>
      <c r="L1286" s="1">
        <v>56.67</v>
      </c>
      <c r="M1286" s="1">
        <f>Europe_Sales_Records[[#This Row],[Unit Price]]-Europe_Sales_Records[[#This Row],[Unit Cost]]</f>
        <v>25.060000000000002</v>
      </c>
      <c r="N1286" s="1">
        <v>314088.39</v>
      </c>
      <c r="O1286" s="6">
        <v>217782.81</v>
      </c>
      <c r="P1286" s="1">
        <v>96305.58</v>
      </c>
    </row>
    <row r="1287" spans="1:16" x14ac:dyDescent="0.3">
      <c r="A1287" s="1" t="s">
        <v>14</v>
      </c>
      <c r="B1287" s="1" t="s">
        <v>176</v>
      </c>
      <c r="C1287" s="1" t="s">
        <v>39</v>
      </c>
      <c r="D1287" s="1" t="s">
        <v>17</v>
      </c>
      <c r="E1287" s="1" t="s">
        <v>23</v>
      </c>
      <c r="F1287" s="7">
        <v>42893</v>
      </c>
      <c r="G1287" s="1" t="s">
        <v>1366</v>
      </c>
      <c r="H1287" s="7">
        <v>42907</v>
      </c>
      <c r="I1287" s="1">
        <f>Europe_Sales_Records[[#This Row],[Ship Date]]-Europe_Sales_Records[[#This Row],[Order Date]]</f>
        <v>14</v>
      </c>
      <c r="J1287" s="1">
        <v>5016</v>
      </c>
      <c r="K1287" s="1">
        <v>154.06</v>
      </c>
      <c r="L1287" s="1">
        <v>90.93</v>
      </c>
      <c r="M1287" s="1">
        <f>Europe_Sales_Records[[#This Row],[Unit Price]]-Europe_Sales_Records[[#This Row],[Unit Cost]]</f>
        <v>63.129999999999995</v>
      </c>
      <c r="N1287" s="1">
        <v>772764.96</v>
      </c>
      <c r="O1287" s="6">
        <v>456104.88</v>
      </c>
      <c r="P1287" s="1">
        <v>316660.08</v>
      </c>
    </row>
    <row r="1288" spans="1:16" x14ac:dyDescent="0.3">
      <c r="A1288" s="1" t="s">
        <v>14</v>
      </c>
      <c r="B1288" s="1" t="s">
        <v>120</v>
      </c>
      <c r="C1288" s="1" t="s">
        <v>26</v>
      </c>
      <c r="D1288" s="1" t="s">
        <v>22</v>
      </c>
      <c r="E1288" s="1" t="s">
        <v>30</v>
      </c>
      <c r="F1288" s="7">
        <v>42519</v>
      </c>
      <c r="G1288" s="1" t="s">
        <v>1367</v>
      </c>
      <c r="H1288" s="7">
        <v>42555</v>
      </c>
      <c r="I1288" s="1">
        <f>Europe_Sales_Records[[#This Row],[Ship Date]]-Europe_Sales_Records[[#This Row],[Order Date]]</f>
        <v>36</v>
      </c>
      <c r="J1288" s="1">
        <v>4463</v>
      </c>
      <c r="K1288" s="1">
        <v>205.7</v>
      </c>
      <c r="L1288" s="1">
        <v>117.11</v>
      </c>
      <c r="M1288" s="1">
        <f>Europe_Sales_Records[[#This Row],[Unit Price]]-Europe_Sales_Records[[#This Row],[Unit Cost]]</f>
        <v>88.589999999999989</v>
      </c>
      <c r="N1288" s="1">
        <v>918039.1</v>
      </c>
      <c r="O1288" s="6">
        <v>522661.93</v>
      </c>
      <c r="P1288" s="1">
        <v>395377.17</v>
      </c>
    </row>
    <row r="1289" spans="1:16" x14ac:dyDescent="0.3">
      <c r="A1289" s="1" t="s">
        <v>14</v>
      </c>
      <c r="B1289" s="1" t="s">
        <v>180</v>
      </c>
      <c r="C1289" s="1" t="s">
        <v>39</v>
      </c>
      <c r="D1289" s="1" t="s">
        <v>22</v>
      </c>
      <c r="E1289" s="1" t="s">
        <v>30</v>
      </c>
      <c r="F1289" s="7">
        <v>42484</v>
      </c>
      <c r="G1289" s="1" t="s">
        <v>1368</v>
      </c>
      <c r="H1289" s="7">
        <v>42517</v>
      </c>
      <c r="I1289" s="1">
        <f>Europe_Sales_Records[[#This Row],[Ship Date]]-Europe_Sales_Records[[#This Row],[Order Date]]</f>
        <v>33</v>
      </c>
      <c r="J1289" s="1">
        <v>7533</v>
      </c>
      <c r="K1289" s="1">
        <v>154.06</v>
      </c>
      <c r="L1289" s="1">
        <v>90.93</v>
      </c>
      <c r="M1289" s="1">
        <f>Europe_Sales_Records[[#This Row],[Unit Price]]-Europe_Sales_Records[[#This Row],[Unit Cost]]</f>
        <v>63.129999999999995</v>
      </c>
      <c r="N1289" s="1">
        <v>1160533.98</v>
      </c>
      <c r="O1289" s="6">
        <v>684975.69</v>
      </c>
      <c r="P1289" s="1">
        <v>475558.29</v>
      </c>
    </row>
    <row r="1290" spans="1:16" x14ac:dyDescent="0.3">
      <c r="A1290" s="1" t="s">
        <v>14</v>
      </c>
      <c r="B1290" s="1" t="s">
        <v>75</v>
      </c>
      <c r="C1290" s="1" t="s">
        <v>33</v>
      </c>
      <c r="D1290" s="1" t="s">
        <v>22</v>
      </c>
      <c r="E1290" s="1" t="s">
        <v>30</v>
      </c>
      <c r="F1290" s="7">
        <v>41984</v>
      </c>
      <c r="G1290" s="1" t="s">
        <v>1369</v>
      </c>
      <c r="H1290" s="7">
        <v>42009</v>
      </c>
      <c r="I1290" s="1">
        <f>Europe_Sales_Records[[#This Row],[Ship Date]]-Europe_Sales_Records[[#This Row],[Order Date]]</f>
        <v>25</v>
      </c>
      <c r="J1290" s="1">
        <v>7670</v>
      </c>
      <c r="K1290" s="1">
        <v>9.33</v>
      </c>
      <c r="L1290" s="1">
        <v>6.92</v>
      </c>
      <c r="M1290" s="1">
        <f>Europe_Sales_Records[[#This Row],[Unit Price]]-Europe_Sales_Records[[#This Row],[Unit Cost]]</f>
        <v>2.41</v>
      </c>
      <c r="N1290" s="1">
        <v>71561.100000000006</v>
      </c>
      <c r="O1290" s="6">
        <v>53076.4</v>
      </c>
      <c r="P1290" s="1">
        <v>18484.7</v>
      </c>
    </row>
    <row r="1291" spans="1:16" x14ac:dyDescent="0.3">
      <c r="A1291" s="1" t="s">
        <v>14</v>
      </c>
      <c r="B1291" s="1" t="s">
        <v>157</v>
      </c>
      <c r="C1291" s="1" t="s">
        <v>48</v>
      </c>
      <c r="D1291" s="1" t="s">
        <v>17</v>
      </c>
      <c r="E1291" s="1" t="s">
        <v>23</v>
      </c>
      <c r="F1291" s="7">
        <v>40605</v>
      </c>
      <c r="G1291" s="1" t="s">
        <v>1370</v>
      </c>
      <c r="H1291" s="7">
        <v>40650</v>
      </c>
      <c r="I1291" s="1">
        <f>Europe_Sales_Records[[#This Row],[Ship Date]]-Europe_Sales_Records[[#This Row],[Order Date]]</f>
        <v>45</v>
      </c>
      <c r="J1291" s="1">
        <v>347</v>
      </c>
      <c r="K1291" s="1">
        <v>152.58000000000001</v>
      </c>
      <c r="L1291" s="1">
        <v>97.44</v>
      </c>
      <c r="M1291" s="1">
        <f>Europe_Sales_Records[[#This Row],[Unit Price]]-Europe_Sales_Records[[#This Row],[Unit Cost]]</f>
        <v>55.140000000000015</v>
      </c>
      <c r="N1291" s="1">
        <v>52945.26</v>
      </c>
      <c r="O1291" s="6">
        <v>33811.68</v>
      </c>
      <c r="P1291" s="1">
        <v>19133.580000000002</v>
      </c>
    </row>
    <row r="1292" spans="1:16" x14ac:dyDescent="0.3">
      <c r="A1292" s="1" t="s">
        <v>14</v>
      </c>
      <c r="B1292" s="1" t="s">
        <v>101</v>
      </c>
      <c r="C1292" s="1" t="s">
        <v>21</v>
      </c>
      <c r="D1292" s="1" t="s">
        <v>17</v>
      </c>
      <c r="E1292" s="1" t="s">
        <v>18</v>
      </c>
      <c r="F1292" s="7">
        <v>41028</v>
      </c>
      <c r="G1292" s="1" t="s">
        <v>1371</v>
      </c>
      <c r="H1292" s="7">
        <v>41040</v>
      </c>
      <c r="I1292" s="1">
        <f>Europe_Sales_Records[[#This Row],[Ship Date]]-Europe_Sales_Records[[#This Row],[Order Date]]</f>
        <v>12</v>
      </c>
      <c r="J1292" s="1">
        <v>5370</v>
      </c>
      <c r="K1292" s="1">
        <v>109.28</v>
      </c>
      <c r="L1292" s="1">
        <v>35.840000000000003</v>
      </c>
      <c r="M1292" s="1">
        <f>Europe_Sales_Records[[#This Row],[Unit Price]]-Europe_Sales_Records[[#This Row],[Unit Cost]]</f>
        <v>73.44</v>
      </c>
      <c r="N1292" s="1">
        <v>586833.6</v>
      </c>
      <c r="O1292" s="6">
        <v>192460.79999999999</v>
      </c>
      <c r="P1292" s="1">
        <v>394372.8</v>
      </c>
    </row>
    <row r="1293" spans="1:16" x14ac:dyDescent="0.3">
      <c r="A1293" s="1" t="s">
        <v>14</v>
      </c>
      <c r="B1293" s="1" t="s">
        <v>41</v>
      </c>
      <c r="C1293" s="1" t="s">
        <v>60</v>
      </c>
      <c r="D1293" s="1" t="s">
        <v>22</v>
      </c>
      <c r="E1293" s="1" t="s">
        <v>30</v>
      </c>
      <c r="F1293" s="7">
        <v>42426</v>
      </c>
      <c r="G1293" s="1" t="s">
        <v>1372</v>
      </c>
      <c r="H1293" s="7">
        <v>42457</v>
      </c>
      <c r="I1293" s="1">
        <f>Europe_Sales_Records[[#This Row],[Ship Date]]-Europe_Sales_Records[[#This Row],[Order Date]]</f>
        <v>31</v>
      </c>
      <c r="J1293" s="1">
        <v>2204</v>
      </c>
      <c r="K1293" s="1">
        <v>437.2</v>
      </c>
      <c r="L1293" s="1">
        <v>263.33</v>
      </c>
      <c r="M1293" s="1">
        <f>Europe_Sales_Records[[#This Row],[Unit Price]]-Europe_Sales_Records[[#This Row],[Unit Cost]]</f>
        <v>173.87</v>
      </c>
      <c r="N1293" s="1">
        <v>963588.8</v>
      </c>
      <c r="O1293" s="6">
        <v>580379.31999999995</v>
      </c>
      <c r="P1293" s="1">
        <v>383209.48</v>
      </c>
    </row>
    <row r="1294" spans="1:16" x14ac:dyDescent="0.3">
      <c r="A1294" s="1" t="s">
        <v>14</v>
      </c>
      <c r="B1294" s="1" t="s">
        <v>152</v>
      </c>
      <c r="C1294" s="1" t="s">
        <v>60</v>
      </c>
      <c r="D1294" s="1" t="s">
        <v>22</v>
      </c>
      <c r="E1294" s="1" t="s">
        <v>23</v>
      </c>
      <c r="F1294" s="7">
        <v>40570</v>
      </c>
      <c r="G1294" s="1" t="s">
        <v>1373</v>
      </c>
      <c r="H1294" s="7">
        <v>40591</v>
      </c>
      <c r="I1294" s="1">
        <f>Europe_Sales_Records[[#This Row],[Ship Date]]-Europe_Sales_Records[[#This Row],[Order Date]]</f>
        <v>21</v>
      </c>
      <c r="J1294" s="1">
        <v>342</v>
      </c>
      <c r="K1294" s="1">
        <v>437.2</v>
      </c>
      <c r="L1294" s="1">
        <v>263.33</v>
      </c>
      <c r="M1294" s="1">
        <f>Europe_Sales_Records[[#This Row],[Unit Price]]-Europe_Sales_Records[[#This Row],[Unit Cost]]</f>
        <v>173.87</v>
      </c>
      <c r="N1294" s="1">
        <v>149522.4</v>
      </c>
      <c r="O1294" s="6">
        <v>90058.86</v>
      </c>
      <c r="P1294" s="1">
        <v>59463.54</v>
      </c>
    </row>
    <row r="1295" spans="1:16" x14ac:dyDescent="0.3">
      <c r="A1295" s="1" t="s">
        <v>14</v>
      </c>
      <c r="B1295" s="1" t="s">
        <v>94</v>
      </c>
      <c r="C1295" s="1" t="s">
        <v>39</v>
      </c>
      <c r="D1295" s="1" t="s">
        <v>17</v>
      </c>
      <c r="E1295" s="1" t="s">
        <v>45</v>
      </c>
      <c r="F1295" s="7">
        <v>41782</v>
      </c>
      <c r="G1295" s="1" t="s">
        <v>1374</v>
      </c>
      <c r="H1295" s="7">
        <v>41831</v>
      </c>
      <c r="I1295" s="1">
        <f>Europe_Sales_Records[[#This Row],[Ship Date]]-Europe_Sales_Records[[#This Row],[Order Date]]</f>
        <v>49</v>
      </c>
      <c r="J1295" s="1">
        <v>9809</v>
      </c>
      <c r="K1295" s="1">
        <v>154.06</v>
      </c>
      <c r="L1295" s="1">
        <v>90.93</v>
      </c>
      <c r="M1295" s="1">
        <f>Europe_Sales_Records[[#This Row],[Unit Price]]-Europe_Sales_Records[[#This Row],[Unit Cost]]</f>
        <v>63.129999999999995</v>
      </c>
      <c r="N1295" s="1">
        <v>1511174.54</v>
      </c>
      <c r="O1295" s="6">
        <v>891932.37</v>
      </c>
      <c r="P1295" s="1">
        <v>619242.17000000004</v>
      </c>
    </row>
    <row r="1296" spans="1:16" x14ac:dyDescent="0.3">
      <c r="A1296" s="1" t="s">
        <v>14</v>
      </c>
      <c r="B1296" s="1" t="s">
        <v>106</v>
      </c>
      <c r="C1296" s="1" t="s">
        <v>16</v>
      </c>
      <c r="D1296" s="1" t="s">
        <v>22</v>
      </c>
      <c r="E1296" s="1" t="s">
        <v>45</v>
      </c>
      <c r="F1296" s="7">
        <v>40433</v>
      </c>
      <c r="G1296" s="1" t="s">
        <v>1375</v>
      </c>
      <c r="H1296" s="7">
        <v>40441</v>
      </c>
      <c r="I1296" s="1">
        <f>Europe_Sales_Records[[#This Row],[Ship Date]]-Europe_Sales_Records[[#This Row],[Order Date]]</f>
        <v>8</v>
      </c>
      <c r="J1296" s="1">
        <v>7296</v>
      </c>
      <c r="K1296" s="1">
        <v>47.45</v>
      </c>
      <c r="L1296" s="1">
        <v>31.79</v>
      </c>
      <c r="M1296" s="1">
        <f>Europe_Sales_Records[[#This Row],[Unit Price]]-Europe_Sales_Records[[#This Row],[Unit Cost]]</f>
        <v>15.660000000000004</v>
      </c>
      <c r="N1296" s="1">
        <v>346195.20000000001</v>
      </c>
      <c r="O1296" s="6">
        <v>231939.84</v>
      </c>
      <c r="P1296" s="1">
        <v>114255.36</v>
      </c>
    </row>
    <row r="1297" spans="1:16" x14ac:dyDescent="0.3">
      <c r="A1297" s="1" t="s">
        <v>14</v>
      </c>
      <c r="B1297" s="1" t="s">
        <v>81</v>
      </c>
      <c r="C1297" s="1" t="s">
        <v>79</v>
      </c>
      <c r="D1297" s="1" t="s">
        <v>22</v>
      </c>
      <c r="E1297" s="1" t="s">
        <v>30</v>
      </c>
      <c r="F1297" s="7">
        <v>41641</v>
      </c>
      <c r="G1297" s="1" t="s">
        <v>1376</v>
      </c>
      <c r="H1297" s="7">
        <v>41668</v>
      </c>
      <c r="I1297" s="1">
        <f>Europe_Sales_Records[[#This Row],[Ship Date]]-Europe_Sales_Records[[#This Row],[Order Date]]</f>
        <v>27</v>
      </c>
      <c r="J1297" s="1">
        <v>9445</v>
      </c>
      <c r="K1297" s="1">
        <v>81.73</v>
      </c>
      <c r="L1297" s="1">
        <v>56.67</v>
      </c>
      <c r="M1297" s="1">
        <f>Europe_Sales_Records[[#This Row],[Unit Price]]-Europe_Sales_Records[[#This Row],[Unit Cost]]</f>
        <v>25.060000000000002</v>
      </c>
      <c r="N1297" s="1">
        <v>771939.85</v>
      </c>
      <c r="O1297" s="6">
        <v>535248.15</v>
      </c>
      <c r="P1297" s="1">
        <v>236691.7</v>
      </c>
    </row>
    <row r="1298" spans="1:16" x14ac:dyDescent="0.3">
      <c r="A1298" s="1" t="s">
        <v>14</v>
      </c>
      <c r="B1298" s="1" t="s">
        <v>99</v>
      </c>
      <c r="C1298" s="1" t="s">
        <v>39</v>
      </c>
      <c r="D1298" s="1" t="s">
        <v>17</v>
      </c>
      <c r="E1298" s="1" t="s">
        <v>30</v>
      </c>
      <c r="F1298" s="7">
        <v>41645</v>
      </c>
      <c r="G1298" s="1" t="s">
        <v>1377</v>
      </c>
      <c r="H1298" s="7">
        <v>41678</v>
      </c>
      <c r="I1298" s="1">
        <f>Europe_Sales_Records[[#This Row],[Ship Date]]-Europe_Sales_Records[[#This Row],[Order Date]]</f>
        <v>33</v>
      </c>
      <c r="J1298" s="1">
        <v>7259</v>
      </c>
      <c r="K1298" s="1">
        <v>154.06</v>
      </c>
      <c r="L1298" s="1">
        <v>90.93</v>
      </c>
      <c r="M1298" s="1">
        <f>Europe_Sales_Records[[#This Row],[Unit Price]]-Europe_Sales_Records[[#This Row],[Unit Cost]]</f>
        <v>63.129999999999995</v>
      </c>
      <c r="N1298" s="1">
        <v>1118321.54</v>
      </c>
      <c r="O1298" s="6">
        <v>660060.87</v>
      </c>
      <c r="P1298" s="1">
        <v>458260.67</v>
      </c>
    </row>
    <row r="1299" spans="1:16" x14ac:dyDescent="0.3">
      <c r="A1299" s="1" t="s">
        <v>14</v>
      </c>
      <c r="B1299" s="1" t="s">
        <v>87</v>
      </c>
      <c r="C1299" s="1" t="s">
        <v>60</v>
      </c>
      <c r="D1299" s="1" t="s">
        <v>17</v>
      </c>
      <c r="E1299" s="1" t="s">
        <v>30</v>
      </c>
      <c r="F1299" s="7">
        <v>40886</v>
      </c>
      <c r="G1299" s="1" t="s">
        <v>1378</v>
      </c>
      <c r="H1299" s="7">
        <v>40936</v>
      </c>
      <c r="I1299" s="1">
        <f>Europe_Sales_Records[[#This Row],[Ship Date]]-Europe_Sales_Records[[#This Row],[Order Date]]</f>
        <v>50</v>
      </c>
      <c r="J1299" s="1">
        <v>9634</v>
      </c>
      <c r="K1299" s="1">
        <v>437.2</v>
      </c>
      <c r="L1299" s="1">
        <v>263.33</v>
      </c>
      <c r="M1299" s="1">
        <f>Europe_Sales_Records[[#This Row],[Unit Price]]-Europe_Sales_Records[[#This Row],[Unit Cost]]</f>
        <v>173.87</v>
      </c>
      <c r="N1299" s="1">
        <v>4211984.8</v>
      </c>
      <c r="O1299" s="6">
        <v>2536921.2200000002</v>
      </c>
      <c r="P1299" s="1">
        <v>1675063.58</v>
      </c>
    </row>
    <row r="1300" spans="1:16" x14ac:dyDescent="0.3">
      <c r="A1300" s="1" t="s">
        <v>14</v>
      </c>
      <c r="B1300" s="1" t="s">
        <v>87</v>
      </c>
      <c r="C1300" s="1" t="s">
        <v>42</v>
      </c>
      <c r="D1300" s="1" t="s">
        <v>17</v>
      </c>
      <c r="E1300" s="1" t="s">
        <v>23</v>
      </c>
      <c r="F1300" s="7">
        <v>41164</v>
      </c>
      <c r="G1300" s="1" t="s">
        <v>1379</v>
      </c>
      <c r="H1300" s="7">
        <v>41175</v>
      </c>
      <c r="I1300" s="1">
        <f>Europe_Sales_Records[[#This Row],[Ship Date]]-Europe_Sales_Records[[#This Row],[Order Date]]</f>
        <v>11</v>
      </c>
      <c r="J1300" s="1">
        <v>8194</v>
      </c>
      <c r="K1300" s="1">
        <v>421.89</v>
      </c>
      <c r="L1300" s="1">
        <v>364.69</v>
      </c>
      <c r="M1300" s="1">
        <f>Europe_Sales_Records[[#This Row],[Unit Price]]-Europe_Sales_Records[[#This Row],[Unit Cost]]</f>
        <v>57.199999999999989</v>
      </c>
      <c r="N1300" s="1">
        <v>3456966.66</v>
      </c>
      <c r="O1300" s="6">
        <v>2988269.86</v>
      </c>
      <c r="P1300" s="1">
        <v>468696.8</v>
      </c>
    </row>
    <row r="1301" spans="1:16" x14ac:dyDescent="0.3">
      <c r="A1301" s="1" t="s">
        <v>14</v>
      </c>
      <c r="B1301" s="1" t="s">
        <v>69</v>
      </c>
      <c r="C1301" s="1" t="s">
        <v>26</v>
      </c>
      <c r="D1301" s="1" t="s">
        <v>22</v>
      </c>
      <c r="E1301" s="1" t="s">
        <v>18</v>
      </c>
      <c r="F1301" s="7">
        <v>41525</v>
      </c>
      <c r="G1301" s="1" t="s">
        <v>1380</v>
      </c>
      <c r="H1301" s="7">
        <v>41575</v>
      </c>
      <c r="I1301" s="1">
        <f>Europe_Sales_Records[[#This Row],[Ship Date]]-Europe_Sales_Records[[#This Row],[Order Date]]</f>
        <v>50</v>
      </c>
      <c r="J1301" s="1">
        <v>6140</v>
      </c>
      <c r="K1301" s="1">
        <v>205.7</v>
      </c>
      <c r="L1301" s="1">
        <v>117.11</v>
      </c>
      <c r="M1301" s="1">
        <f>Europe_Sales_Records[[#This Row],[Unit Price]]-Europe_Sales_Records[[#This Row],[Unit Cost]]</f>
        <v>88.589999999999989</v>
      </c>
      <c r="N1301" s="1">
        <v>1262998</v>
      </c>
      <c r="O1301" s="6">
        <v>719055.4</v>
      </c>
      <c r="P1301" s="1">
        <v>543942.6</v>
      </c>
    </row>
    <row r="1302" spans="1:16" x14ac:dyDescent="0.3">
      <c r="A1302" s="1" t="s">
        <v>14</v>
      </c>
      <c r="B1302" s="1" t="s">
        <v>101</v>
      </c>
      <c r="C1302" s="1" t="s">
        <v>42</v>
      </c>
      <c r="D1302" s="1" t="s">
        <v>17</v>
      </c>
      <c r="E1302" s="1" t="s">
        <v>18</v>
      </c>
      <c r="F1302" s="7">
        <v>40229</v>
      </c>
      <c r="G1302" s="1" t="s">
        <v>1381</v>
      </c>
      <c r="H1302" s="7">
        <v>40263</v>
      </c>
      <c r="I1302" s="1">
        <f>Europe_Sales_Records[[#This Row],[Ship Date]]-Europe_Sales_Records[[#This Row],[Order Date]]</f>
        <v>34</v>
      </c>
      <c r="J1302" s="1">
        <v>4348</v>
      </c>
      <c r="K1302" s="1">
        <v>421.89</v>
      </c>
      <c r="L1302" s="1">
        <v>364.69</v>
      </c>
      <c r="M1302" s="1">
        <f>Europe_Sales_Records[[#This Row],[Unit Price]]-Europe_Sales_Records[[#This Row],[Unit Cost]]</f>
        <v>57.199999999999989</v>
      </c>
      <c r="N1302" s="1">
        <v>1834377.72</v>
      </c>
      <c r="O1302" s="6">
        <v>1585672.12</v>
      </c>
      <c r="P1302" s="1">
        <v>248705.6</v>
      </c>
    </row>
    <row r="1303" spans="1:16" x14ac:dyDescent="0.3">
      <c r="A1303" s="1" t="s">
        <v>14</v>
      </c>
      <c r="B1303" s="1" t="s">
        <v>219</v>
      </c>
      <c r="C1303" s="1" t="s">
        <v>26</v>
      </c>
      <c r="D1303" s="1" t="s">
        <v>22</v>
      </c>
      <c r="E1303" s="1" t="s">
        <v>30</v>
      </c>
      <c r="F1303" s="7">
        <v>40800</v>
      </c>
      <c r="G1303" s="1" t="s">
        <v>1382</v>
      </c>
      <c r="H1303" s="7">
        <v>40835</v>
      </c>
      <c r="I1303" s="1">
        <f>Europe_Sales_Records[[#This Row],[Ship Date]]-Europe_Sales_Records[[#This Row],[Order Date]]</f>
        <v>35</v>
      </c>
      <c r="J1303" s="1">
        <v>3937</v>
      </c>
      <c r="K1303" s="1">
        <v>205.7</v>
      </c>
      <c r="L1303" s="1">
        <v>117.11</v>
      </c>
      <c r="M1303" s="1">
        <f>Europe_Sales_Records[[#This Row],[Unit Price]]-Europe_Sales_Records[[#This Row],[Unit Cost]]</f>
        <v>88.589999999999989</v>
      </c>
      <c r="N1303" s="1">
        <v>809840.9</v>
      </c>
      <c r="O1303" s="6">
        <v>461062.07</v>
      </c>
      <c r="P1303" s="1">
        <v>348778.83</v>
      </c>
    </row>
    <row r="1304" spans="1:16" x14ac:dyDescent="0.3">
      <c r="A1304" s="1" t="s">
        <v>14</v>
      </c>
      <c r="B1304" s="1" t="s">
        <v>129</v>
      </c>
      <c r="C1304" s="1" t="s">
        <v>33</v>
      </c>
      <c r="D1304" s="1" t="s">
        <v>17</v>
      </c>
      <c r="E1304" s="1" t="s">
        <v>18</v>
      </c>
      <c r="F1304" s="7">
        <v>41787</v>
      </c>
      <c r="G1304" s="1" t="s">
        <v>1383</v>
      </c>
      <c r="H1304" s="7">
        <v>41809</v>
      </c>
      <c r="I1304" s="1">
        <f>Europe_Sales_Records[[#This Row],[Ship Date]]-Europe_Sales_Records[[#This Row],[Order Date]]</f>
        <v>22</v>
      </c>
      <c r="J1304" s="1">
        <v>6201</v>
      </c>
      <c r="K1304" s="1">
        <v>9.33</v>
      </c>
      <c r="L1304" s="1">
        <v>6.92</v>
      </c>
      <c r="M1304" s="1">
        <f>Europe_Sales_Records[[#This Row],[Unit Price]]-Europe_Sales_Records[[#This Row],[Unit Cost]]</f>
        <v>2.41</v>
      </c>
      <c r="N1304" s="1">
        <v>57855.33</v>
      </c>
      <c r="O1304" s="6">
        <v>42910.92</v>
      </c>
      <c r="P1304" s="1">
        <v>14944.41</v>
      </c>
    </row>
    <row r="1305" spans="1:16" x14ac:dyDescent="0.3">
      <c r="A1305" s="1" t="s">
        <v>14</v>
      </c>
      <c r="B1305" s="1" t="s">
        <v>127</v>
      </c>
      <c r="C1305" s="1" t="s">
        <v>57</v>
      </c>
      <c r="D1305" s="1" t="s">
        <v>22</v>
      </c>
      <c r="E1305" s="1" t="s">
        <v>18</v>
      </c>
      <c r="F1305" s="7">
        <v>41848</v>
      </c>
      <c r="G1305" s="1" t="s">
        <v>1384</v>
      </c>
      <c r="H1305" s="7">
        <v>41882</v>
      </c>
      <c r="I1305" s="1">
        <f>Europe_Sales_Records[[#This Row],[Ship Date]]-Europe_Sales_Records[[#This Row],[Order Date]]</f>
        <v>34</v>
      </c>
      <c r="J1305" s="1">
        <v>6199</v>
      </c>
      <c r="K1305" s="1">
        <v>668.27</v>
      </c>
      <c r="L1305" s="1">
        <v>502.54</v>
      </c>
      <c r="M1305" s="1">
        <f>Europe_Sales_Records[[#This Row],[Unit Price]]-Europe_Sales_Records[[#This Row],[Unit Cost]]</f>
        <v>165.72999999999996</v>
      </c>
      <c r="N1305" s="1">
        <v>4142605.73</v>
      </c>
      <c r="O1305" s="6">
        <v>3115245.46</v>
      </c>
      <c r="P1305" s="1">
        <v>1027360.27</v>
      </c>
    </row>
    <row r="1306" spans="1:16" x14ac:dyDescent="0.3">
      <c r="A1306" s="1" t="s">
        <v>14</v>
      </c>
      <c r="B1306" s="1" t="s">
        <v>77</v>
      </c>
      <c r="C1306" s="1" t="s">
        <v>42</v>
      </c>
      <c r="D1306" s="1" t="s">
        <v>22</v>
      </c>
      <c r="E1306" s="1" t="s">
        <v>45</v>
      </c>
      <c r="F1306" s="7">
        <v>42505</v>
      </c>
      <c r="G1306" s="1" t="s">
        <v>1385</v>
      </c>
      <c r="H1306" s="7">
        <v>42538</v>
      </c>
      <c r="I1306" s="1">
        <f>Europe_Sales_Records[[#This Row],[Ship Date]]-Europe_Sales_Records[[#This Row],[Order Date]]</f>
        <v>33</v>
      </c>
      <c r="J1306" s="1">
        <v>6349</v>
      </c>
      <c r="K1306" s="1">
        <v>421.89</v>
      </c>
      <c r="L1306" s="1">
        <v>364.69</v>
      </c>
      <c r="M1306" s="1">
        <f>Europe_Sales_Records[[#This Row],[Unit Price]]-Europe_Sales_Records[[#This Row],[Unit Cost]]</f>
        <v>57.199999999999989</v>
      </c>
      <c r="N1306" s="1">
        <v>2678579.61</v>
      </c>
      <c r="O1306" s="6">
        <v>2315416.81</v>
      </c>
      <c r="P1306" s="1">
        <v>363162.8</v>
      </c>
    </row>
    <row r="1307" spans="1:16" x14ac:dyDescent="0.3">
      <c r="A1307" s="1" t="s">
        <v>14</v>
      </c>
      <c r="B1307" s="1" t="s">
        <v>94</v>
      </c>
      <c r="C1307" s="1" t="s">
        <v>39</v>
      </c>
      <c r="D1307" s="1" t="s">
        <v>22</v>
      </c>
      <c r="E1307" s="1" t="s">
        <v>30</v>
      </c>
      <c r="F1307" s="7">
        <v>41147</v>
      </c>
      <c r="G1307" s="1" t="s">
        <v>1386</v>
      </c>
      <c r="H1307" s="7">
        <v>41169</v>
      </c>
      <c r="I1307" s="1">
        <f>Europe_Sales_Records[[#This Row],[Ship Date]]-Europe_Sales_Records[[#This Row],[Order Date]]</f>
        <v>22</v>
      </c>
      <c r="J1307" s="1">
        <v>5269</v>
      </c>
      <c r="K1307" s="1">
        <v>154.06</v>
      </c>
      <c r="L1307" s="1">
        <v>90.93</v>
      </c>
      <c r="M1307" s="1">
        <f>Europe_Sales_Records[[#This Row],[Unit Price]]-Europe_Sales_Records[[#This Row],[Unit Cost]]</f>
        <v>63.129999999999995</v>
      </c>
      <c r="N1307" s="1">
        <v>811742.14</v>
      </c>
      <c r="O1307" s="6">
        <v>479110.17</v>
      </c>
      <c r="P1307" s="1">
        <v>332631.96999999997</v>
      </c>
    </row>
    <row r="1308" spans="1:16" x14ac:dyDescent="0.3">
      <c r="A1308" s="1" t="s">
        <v>14</v>
      </c>
      <c r="B1308" s="1" t="s">
        <v>54</v>
      </c>
      <c r="C1308" s="1" t="s">
        <v>29</v>
      </c>
      <c r="D1308" s="1" t="s">
        <v>22</v>
      </c>
      <c r="E1308" s="1" t="s">
        <v>18</v>
      </c>
      <c r="F1308" s="7">
        <v>40753</v>
      </c>
      <c r="G1308" s="1" t="s">
        <v>1387</v>
      </c>
      <c r="H1308" s="7">
        <v>40802</v>
      </c>
      <c r="I1308" s="1">
        <f>Europe_Sales_Records[[#This Row],[Ship Date]]-Europe_Sales_Records[[#This Row],[Order Date]]</f>
        <v>49</v>
      </c>
      <c r="J1308" s="1">
        <v>9691</v>
      </c>
      <c r="K1308" s="1">
        <v>651.21</v>
      </c>
      <c r="L1308" s="1">
        <v>524.96</v>
      </c>
      <c r="M1308" s="1">
        <f>Europe_Sales_Records[[#This Row],[Unit Price]]-Europe_Sales_Records[[#This Row],[Unit Cost]]</f>
        <v>126.25</v>
      </c>
      <c r="N1308" s="1">
        <v>6310876.1100000003</v>
      </c>
      <c r="O1308" s="6">
        <v>5087387.3600000003</v>
      </c>
      <c r="P1308" s="1">
        <v>1223488.75</v>
      </c>
    </row>
    <row r="1309" spans="1:16" x14ac:dyDescent="0.3">
      <c r="A1309" s="1" t="s">
        <v>14</v>
      </c>
      <c r="B1309" s="1" t="s">
        <v>99</v>
      </c>
      <c r="C1309" s="1" t="s">
        <v>39</v>
      </c>
      <c r="D1309" s="1" t="s">
        <v>22</v>
      </c>
      <c r="E1309" s="1" t="s">
        <v>23</v>
      </c>
      <c r="F1309" s="7">
        <v>41065</v>
      </c>
      <c r="G1309" s="1" t="s">
        <v>1388</v>
      </c>
      <c r="H1309" s="7">
        <v>41108</v>
      </c>
      <c r="I1309" s="1">
        <f>Europe_Sales_Records[[#This Row],[Ship Date]]-Europe_Sales_Records[[#This Row],[Order Date]]</f>
        <v>43</v>
      </c>
      <c r="J1309" s="1">
        <v>7171</v>
      </c>
      <c r="K1309" s="1">
        <v>154.06</v>
      </c>
      <c r="L1309" s="1">
        <v>90.93</v>
      </c>
      <c r="M1309" s="1">
        <f>Europe_Sales_Records[[#This Row],[Unit Price]]-Europe_Sales_Records[[#This Row],[Unit Cost]]</f>
        <v>63.129999999999995</v>
      </c>
      <c r="N1309" s="1">
        <v>1104764.26</v>
      </c>
      <c r="O1309" s="6">
        <v>652059.03</v>
      </c>
      <c r="P1309" s="1">
        <v>452705.23</v>
      </c>
    </row>
    <row r="1310" spans="1:16" x14ac:dyDescent="0.3">
      <c r="A1310" s="1" t="s">
        <v>14</v>
      </c>
      <c r="B1310" s="1" t="s">
        <v>164</v>
      </c>
      <c r="C1310" s="1" t="s">
        <v>29</v>
      </c>
      <c r="D1310" s="1" t="s">
        <v>17</v>
      </c>
      <c r="E1310" s="1" t="s">
        <v>45</v>
      </c>
      <c r="F1310" s="7">
        <v>41813</v>
      </c>
      <c r="G1310" s="1" t="s">
        <v>1389</v>
      </c>
      <c r="H1310" s="7">
        <v>41850</v>
      </c>
      <c r="I1310" s="1">
        <f>Europe_Sales_Records[[#This Row],[Ship Date]]-Europe_Sales_Records[[#This Row],[Order Date]]</f>
        <v>37</v>
      </c>
      <c r="J1310" s="1">
        <v>6918</v>
      </c>
      <c r="K1310" s="1">
        <v>651.21</v>
      </c>
      <c r="L1310" s="1">
        <v>524.96</v>
      </c>
      <c r="M1310" s="1">
        <f>Europe_Sales_Records[[#This Row],[Unit Price]]-Europe_Sales_Records[[#This Row],[Unit Cost]]</f>
        <v>126.25</v>
      </c>
      <c r="N1310" s="1">
        <v>4505070.78</v>
      </c>
      <c r="O1310" s="6">
        <v>3631673.28</v>
      </c>
      <c r="P1310" s="1">
        <v>873397.5</v>
      </c>
    </row>
    <row r="1311" spans="1:16" x14ac:dyDescent="0.3">
      <c r="A1311" s="1" t="s">
        <v>14</v>
      </c>
      <c r="B1311" s="1" t="s">
        <v>91</v>
      </c>
      <c r="C1311" s="1" t="s">
        <v>29</v>
      </c>
      <c r="D1311" s="1" t="s">
        <v>17</v>
      </c>
      <c r="E1311" s="1" t="s">
        <v>45</v>
      </c>
      <c r="F1311" s="7">
        <v>41854</v>
      </c>
      <c r="G1311" s="1" t="s">
        <v>1390</v>
      </c>
      <c r="H1311" s="7">
        <v>41890</v>
      </c>
      <c r="I1311" s="1">
        <f>Europe_Sales_Records[[#This Row],[Ship Date]]-Europe_Sales_Records[[#This Row],[Order Date]]</f>
        <v>36</v>
      </c>
      <c r="J1311" s="1">
        <v>7462</v>
      </c>
      <c r="K1311" s="1">
        <v>651.21</v>
      </c>
      <c r="L1311" s="1">
        <v>524.96</v>
      </c>
      <c r="M1311" s="1">
        <f>Europe_Sales_Records[[#This Row],[Unit Price]]-Europe_Sales_Records[[#This Row],[Unit Cost]]</f>
        <v>126.25</v>
      </c>
      <c r="N1311" s="1">
        <v>4859329.0199999996</v>
      </c>
      <c r="O1311" s="6">
        <v>3917251.52</v>
      </c>
      <c r="P1311" s="1">
        <v>942077.5</v>
      </c>
    </row>
    <row r="1312" spans="1:16" x14ac:dyDescent="0.3">
      <c r="A1312" s="1" t="s">
        <v>14</v>
      </c>
      <c r="B1312" s="1" t="s">
        <v>25</v>
      </c>
      <c r="C1312" s="1" t="s">
        <v>29</v>
      </c>
      <c r="D1312" s="1" t="s">
        <v>17</v>
      </c>
      <c r="E1312" s="1" t="s">
        <v>18</v>
      </c>
      <c r="F1312" s="7">
        <v>42097</v>
      </c>
      <c r="G1312" s="1" t="s">
        <v>1391</v>
      </c>
      <c r="H1312" s="7">
        <v>42120</v>
      </c>
      <c r="I1312" s="1">
        <f>Europe_Sales_Records[[#This Row],[Ship Date]]-Europe_Sales_Records[[#This Row],[Order Date]]</f>
        <v>23</v>
      </c>
      <c r="J1312" s="1">
        <v>7516</v>
      </c>
      <c r="K1312" s="1">
        <v>651.21</v>
      </c>
      <c r="L1312" s="1">
        <v>524.96</v>
      </c>
      <c r="M1312" s="1">
        <f>Europe_Sales_Records[[#This Row],[Unit Price]]-Europe_Sales_Records[[#This Row],[Unit Cost]]</f>
        <v>126.25</v>
      </c>
      <c r="N1312" s="1">
        <v>4894494.3600000003</v>
      </c>
      <c r="O1312" s="6">
        <v>3945599.36</v>
      </c>
      <c r="P1312" s="1">
        <v>948895</v>
      </c>
    </row>
    <row r="1313" spans="1:16" x14ac:dyDescent="0.3">
      <c r="A1313" s="1" t="s">
        <v>14</v>
      </c>
      <c r="B1313" s="1" t="s">
        <v>150</v>
      </c>
      <c r="C1313" s="1" t="s">
        <v>52</v>
      </c>
      <c r="D1313" s="1" t="s">
        <v>17</v>
      </c>
      <c r="E1313" s="1" t="s">
        <v>45</v>
      </c>
      <c r="F1313" s="7">
        <v>41470</v>
      </c>
      <c r="G1313" s="1" t="s">
        <v>1392</v>
      </c>
      <c r="H1313" s="7">
        <v>41515</v>
      </c>
      <c r="I1313" s="1">
        <f>Europe_Sales_Records[[#This Row],[Ship Date]]-Europe_Sales_Records[[#This Row],[Order Date]]</f>
        <v>45</v>
      </c>
      <c r="J1313" s="1">
        <v>46</v>
      </c>
      <c r="K1313" s="1">
        <v>255.28</v>
      </c>
      <c r="L1313" s="1">
        <v>159.41999999999999</v>
      </c>
      <c r="M1313" s="1">
        <f>Europe_Sales_Records[[#This Row],[Unit Price]]-Europe_Sales_Records[[#This Row],[Unit Cost]]</f>
        <v>95.860000000000014</v>
      </c>
      <c r="N1313" s="1">
        <v>11742.88</v>
      </c>
      <c r="O1313" s="6">
        <v>7333.32</v>
      </c>
      <c r="P1313" s="1">
        <v>4409.5600000000004</v>
      </c>
    </row>
    <row r="1314" spans="1:16" x14ac:dyDescent="0.3">
      <c r="A1314" s="1" t="s">
        <v>14</v>
      </c>
      <c r="B1314" s="1" t="s">
        <v>131</v>
      </c>
      <c r="C1314" s="1" t="s">
        <v>39</v>
      </c>
      <c r="D1314" s="1" t="s">
        <v>17</v>
      </c>
      <c r="E1314" s="1" t="s">
        <v>23</v>
      </c>
      <c r="F1314" s="7">
        <v>42471</v>
      </c>
      <c r="G1314" s="1" t="s">
        <v>1393</v>
      </c>
      <c r="H1314" s="7">
        <v>42472</v>
      </c>
      <c r="I1314" s="1">
        <f>Europe_Sales_Records[[#This Row],[Ship Date]]-Europe_Sales_Records[[#This Row],[Order Date]]</f>
        <v>1</v>
      </c>
      <c r="J1314" s="1">
        <v>428</v>
      </c>
      <c r="K1314" s="1">
        <v>154.06</v>
      </c>
      <c r="L1314" s="1">
        <v>90.93</v>
      </c>
      <c r="M1314" s="1">
        <f>Europe_Sales_Records[[#This Row],[Unit Price]]-Europe_Sales_Records[[#This Row],[Unit Cost]]</f>
        <v>63.129999999999995</v>
      </c>
      <c r="N1314" s="1">
        <v>65937.679999999993</v>
      </c>
      <c r="O1314" s="6">
        <v>38918.04</v>
      </c>
      <c r="P1314" s="1">
        <v>27019.64</v>
      </c>
    </row>
    <row r="1315" spans="1:16" x14ac:dyDescent="0.3">
      <c r="A1315" s="1" t="s">
        <v>14</v>
      </c>
      <c r="B1315" s="1" t="s">
        <v>67</v>
      </c>
      <c r="C1315" s="1" t="s">
        <v>57</v>
      </c>
      <c r="D1315" s="1" t="s">
        <v>22</v>
      </c>
      <c r="E1315" s="1" t="s">
        <v>30</v>
      </c>
      <c r="F1315" s="7">
        <v>40925</v>
      </c>
      <c r="G1315" s="1" t="s">
        <v>1394</v>
      </c>
      <c r="H1315" s="7">
        <v>40939</v>
      </c>
      <c r="I1315" s="1">
        <f>Europe_Sales_Records[[#This Row],[Ship Date]]-Europe_Sales_Records[[#This Row],[Order Date]]</f>
        <v>14</v>
      </c>
      <c r="J1315" s="1">
        <v>1167</v>
      </c>
      <c r="K1315" s="1">
        <v>668.27</v>
      </c>
      <c r="L1315" s="1">
        <v>502.54</v>
      </c>
      <c r="M1315" s="1">
        <f>Europe_Sales_Records[[#This Row],[Unit Price]]-Europe_Sales_Records[[#This Row],[Unit Cost]]</f>
        <v>165.72999999999996</v>
      </c>
      <c r="N1315" s="1">
        <v>779871.09</v>
      </c>
      <c r="O1315" s="6">
        <v>586464.18000000005</v>
      </c>
      <c r="P1315" s="1">
        <v>193406.91</v>
      </c>
    </row>
    <row r="1316" spans="1:16" x14ac:dyDescent="0.3">
      <c r="A1316" s="1" t="s">
        <v>14</v>
      </c>
      <c r="B1316" s="1" t="s">
        <v>219</v>
      </c>
      <c r="C1316" s="1" t="s">
        <v>48</v>
      </c>
      <c r="D1316" s="1" t="s">
        <v>17</v>
      </c>
      <c r="E1316" s="1" t="s">
        <v>23</v>
      </c>
      <c r="F1316" s="7">
        <v>40411</v>
      </c>
      <c r="G1316" s="1" t="s">
        <v>1395</v>
      </c>
      <c r="H1316" s="7">
        <v>40456</v>
      </c>
      <c r="I1316" s="1">
        <f>Europe_Sales_Records[[#This Row],[Ship Date]]-Europe_Sales_Records[[#This Row],[Order Date]]</f>
        <v>45</v>
      </c>
      <c r="J1316" s="1">
        <v>1044</v>
      </c>
      <c r="K1316" s="1">
        <v>152.58000000000001</v>
      </c>
      <c r="L1316" s="1">
        <v>97.44</v>
      </c>
      <c r="M1316" s="1">
        <f>Europe_Sales_Records[[#This Row],[Unit Price]]-Europe_Sales_Records[[#This Row],[Unit Cost]]</f>
        <v>55.140000000000015</v>
      </c>
      <c r="N1316" s="1">
        <v>159293.51999999999</v>
      </c>
      <c r="O1316" s="6">
        <v>101727.36</v>
      </c>
      <c r="P1316" s="1">
        <v>57566.16</v>
      </c>
    </row>
    <row r="1317" spans="1:16" x14ac:dyDescent="0.3">
      <c r="A1317" s="1" t="s">
        <v>14</v>
      </c>
      <c r="B1317" s="1" t="s">
        <v>15</v>
      </c>
      <c r="C1317" s="1" t="s">
        <v>29</v>
      </c>
      <c r="D1317" s="1" t="s">
        <v>17</v>
      </c>
      <c r="E1317" s="1" t="s">
        <v>23</v>
      </c>
      <c r="F1317" s="7">
        <v>40348</v>
      </c>
      <c r="G1317" s="1" t="s">
        <v>1396</v>
      </c>
      <c r="H1317" s="7">
        <v>40378</v>
      </c>
      <c r="I1317" s="1">
        <f>Europe_Sales_Records[[#This Row],[Ship Date]]-Europe_Sales_Records[[#This Row],[Order Date]]</f>
        <v>30</v>
      </c>
      <c r="J1317" s="1">
        <v>3886</v>
      </c>
      <c r="K1317" s="1">
        <v>651.21</v>
      </c>
      <c r="L1317" s="1">
        <v>524.96</v>
      </c>
      <c r="M1317" s="1">
        <f>Europe_Sales_Records[[#This Row],[Unit Price]]-Europe_Sales_Records[[#This Row],[Unit Cost]]</f>
        <v>126.25</v>
      </c>
      <c r="N1317" s="1">
        <v>2530602.06</v>
      </c>
      <c r="O1317" s="6">
        <v>2039994.56</v>
      </c>
      <c r="P1317" s="1">
        <v>490607.5</v>
      </c>
    </row>
    <row r="1318" spans="1:16" x14ac:dyDescent="0.3">
      <c r="A1318" s="1" t="s">
        <v>14</v>
      </c>
      <c r="B1318" s="1" t="s">
        <v>15</v>
      </c>
      <c r="C1318" s="1" t="s">
        <v>39</v>
      </c>
      <c r="D1318" s="1" t="s">
        <v>22</v>
      </c>
      <c r="E1318" s="1" t="s">
        <v>23</v>
      </c>
      <c r="F1318" s="7">
        <v>41074</v>
      </c>
      <c r="G1318" s="1" t="s">
        <v>1397</v>
      </c>
      <c r="H1318" s="7">
        <v>41080</v>
      </c>
      <c r="I1318" s="1">
        <f>Europe_Sales_Records[[#This Row],[Ship Date]]-Europe_Sales_Records[[#This Row],[Order Date]]</f>
        <v>6</v>
      </c>
      <c r="J1318" s="1">
        <v>3314</v>
      </c>
      <c r="K1318" s="1">
        <v>154.06</v>
      </c>
      <c r="L1318" s="1">
        <v>90.93</v>
      </c>
      <c r="M1318" s="1">
        <f>Europe_Sales_Records[[#This Row],[Unit Price]]-Europe_Sales_Records[[#This Row],[Unit Cost]]</f>
        <v>63.129999999999995</v>
      </c>
      <c r="N1318" s="1">
        <v>510554.84</v>
      </c>
      <c r="O1318" s="6">
        <v>301342.02</v>
      </c>
      <c r="P1318" s="1">
        <v>209212.82</v>
      </c>
    </row>
    <row r="1319" spans="1:16" x14ac:dyDescent="0.3">
      <c r="A1319" s="1" t="s">
        <v>14</v>
      </c>
      <c r="B1319" s="1" t="s">
        <v>94</v>
      </c>
      <c r="C1319" s="1" t="s">
        <v>21</v>
      </c>
      <c r="D1319" s="1" t="s">
        <v>22</v>
      </c>
      <c r="E1319" s="1" t="s">
        <v>18</v>
      </c>
      <c r="F1319" s="7">
        <v>41222</v>
      </c>
      <c r="G1319" s="1" t="s">
        <v>1398</v>
      </c>
      <c r="H1319" s="7">
        <v>41225</v>
      </c>
      <c r="I1319" s="1">
        <f>Europe_Sales_Records[[#This Row],[Ship Date]]-Europe_Sales_Records[[#This Row],[Order Date]]</f>
        <v>3</v>
      </c>
      <c r="J1319" s="1">
        <v>2666</v>
      </c>
      <c r="K1319" s="1">
        <v>109.28</v>
      </c>
      <c r="L1319" s="1">
        <v>35.840000000000003</v>
      </c>
      <c r="M1319" s="1">
        <f>Europe_Sales_Records[[#This Row],[Unit Price]]-Europe_Sales_Records[[#This Row],[Unit Cost]]</f>
        <v>73.44</v>
      </c>
      <c r="N1319" s="1">
        <v>291340.48</v>
      </c>
      <c r="O1319" s="6">
        <v>95549.440000000002</v>
      </c>
      <c r="P1319" s="1">
        <v>195791.04</v>
      </c>
    </row>
    <row r="1320" spans="1:16" x14ac:dyDescent="0.3">
      <c r="A1320" s="1" t="s">
        <v>14</v>
      </c>
      <c r="B1320" s="1" t="s">
        <v>99</v>
      </c>
      <c r="C1320" s="1" t="s">
        <v>60</v>
      </c>
      <c r="D1320" s="1" t="s">
        <v>17</v>
      </c>
      <c r="E1320" s="1" t="s">
        <v>45</v>
      </c>
      <c r="F1320" s="7">
        <v>41435</v>
      </c>
      <c r="G1320" s="1" t="s">
        <v>1399</v>
      </c>
      <c r="H1320" s="7">
        <v>41478</v>
      </c>
      <c r="I1320" s="1">
        <f>Europe_Sales_Records[[#This Row],[Ship Date]]-Europe_Sales_Records[[#This Row],[Order Date]]</f>
        <v>43</v>
      </c>
      <c r="J1320" s="1">
        <v>2548</v>
      </c>
      <c r="K1320" s="1">
        <v>437.2</v>
      </c>
      <c r="L1320" s="1">
        <v>263.33</v>
      </c>
      <c r="M1320" s="1">
        <f>Europe_Sales_Records[[#This Row],[Unit Price]]-Europe_Sales_Records[[#This Row],[Unit Cost]]</f>
        <v>173.87</v>
      </c>
      <c r="N1320" s="1">
        <v>1113985.6000000001</v>
      </c>
      <c r="O1320" s="6">
        <v>670964.84</v>
      </c>
      <c r="P1320" s="1">
        <v>443020.76</v>
      </c>
    </row>
    <row r="1321" spans="1:16" x14ac:dyDescent="0.3">
      <c r="A1321" s="1" t="s">
        <v>14</v>
      </c>
      <c r="B1321" s="1" t="s">
        <v>131</v>
      </c>
      <c r="C1321" s="1" t="s">
        <v>57</v>
      </c>
      <c r="D1321" s="1" t="s">
        <v>17</v>
      </c>
      <c r="E1321" s="1" t="s">
        <v>23</v>
      </c>
      <c r="F1321" s="7">
        <v>40596</v>
      </c>
      <c r="G1321" s="1" t="s">
        <v>1400</v>
      </c>
      <c r="H1321" s="7">
        <v>40604</v>
      </c>
      <c r="I1321" s="1">
        <f>Europe_Sales_Records[[#This Row],[Ship Date]]-Europe_Sales_Records[[#This Row],[Order Date]]</f>
        <v>8</v>
      </c>
      <c r="J1321" s="1">
        <v>198</v>
      </c>
      <c r="K1321" s="1">
        <v>668.27</v>
      </c>
      <c r="L1321" s="1">
        <v>502.54</v>
      </c>
      <c r="M1321" s="1">
        <f>Europe_Sales_Records[[#This Row],[Unit Price]]-Europe_Sales_Records[[#This Row],[Unit Cost]]</f>
        <v>165.72999999999996</v>
      </c>
      <c r="N1321" s="1">
        <v>132317.46</v>
      </c>
      <c r="O1321" s="6">
        <v>99502.92</v>
      </c>
      <c r="P1321" s="1">
        <v>32814.54</v>
      </c>
    </row>
    <row r="1322" spans="1:16" x14ac:dyDescent="0.3">
      <c r="A1322" s="1" t="s">
        <v>14</v>
      </c>
      <c r="B1322" s="1" t="s">
        <v>99</v>
      </c>
      <c r="C1322" s="1" t="s">
        <v>21</v>
      </c>
      <c r="D1322" s="1" t="s">
        <v>17</v>
      </c>
      <c r="E1322" s="1" t="s">
        <v>45</v>
      </c>
      <c r="F1322" s="7">
        <v>42025</v>
      </c>
      <c r="G1322" s="1" t="s">
        <v>1401</v>
      </c>
      <c r="H1322" s="7">
        <v>42073</v>
      </c>
      <c r="I1322" s="1">
        <f>Europe_Sales_Records[[#This Row],[Ship Date]]-Europe_Sales_Records[[#This Row],[Order Date]]</f>
        <v>48</v>
      </c>
      <c r="J1322" s="1">
        <v>2359</v>
      </c>
      <c r="K1322" s="1">
        <v>109.28</v>
      </c>
      <c r="L1322" s="1">
        <v>35.840000000000003</v>
      </c>
      <c r="M1322" s="1">
        <f>Europe_Sales_Records[[#This Row],[Unit Price]]-Europe_Sales_Records[[#This Row],[Unit Cost]]</f>
        <v>73.44</v>
      </c>
      <c r="N1322" s="1">
        <v>257791.52</v>
      </c>
      <c r="O1322" s="6">
        <v>84546.559999999998</v>
      </c>
      <c r="P1322" s="1">
        <v>173244.96</v>
      </c>
    </row>
    <row r="1323" spans="1:16" x14ac:dyDescent="0.3">
      <c r="A1323" s="1" t="s">
        <v>14</v>
      </c>
      <c r="B1323" s="1" t="s">
        <v>41</v>
      </c>
      <c r="C1323" s="1" t="s">
        <v>16</v>
      </c>
      <c r="D1323" s="1" t="s">
        <v>22</v>
      </c>
      <c r="E1323" s="1" t="s">
        <v>45</v>
      </c>
      <c r="F1323" s="7">
        <v>40208</v>
      </c>
      <c r="G1323" s="1" t="s">
        <v>1402</v>
      </c>
      <c r="H1323" s="7">
        <v>40214</v>
      </c>
      <c r="I1323" s="1">
        <f>Europe_Sales_Records[[#This Row],[Ship Date]]-Europe_Sales_Records[[#This Row],[Order Date]]</f>
        <v>6</v>
      </c>
      <c r="J1323" s="1">
        <v>5391</v>
      </c>
      <c r="K1323" s="1">
        <v>47.45</v>
      </c>
      <c r="L1323" s="1">
        <v>31.79</v>
      </c>
      <c r="M1323" s="1">
        <f>Europe_Sales_Records[[#This Row],[Unit Price]]-Europe_Sales_Records[[#This Row],[Unit Cost]]</f>
        <v>15.660000000000004</v>
      </c>
      <c r="N1323" s="1">
        <v>255802.95</v>
      </c>
      <c r="O1323" s="6">
        <v>171379.89</v>
      </c>
      <c r="P1323" s="1">
        <v>84423.06</v>
      </c>
    </row>
    <row r="1324" spans="1:16" x14ac:dyDescent="0.3">
      <c r="A1324" s="1" t="s">
        <v>14</v>
      </c>
      <c r="B1324" s="1" t="s">
        <v>41</v>
      </c>
      <c r="C1324" s="1" t="s">
        <v>60</v>
      </c>
      <c r="D1324" s="1" t="s">
        <v>17</v>
      </c>
      <c r="E1324" s="1" t="s">
        <v>18</v>
      </c>
      <c r="F1324" s="7">
        <v>41892</v>
      </c>
      <c r="G1324" s="1" t="s">
        <v>1403</v>
      </c>
      <c r="H1324" s="7">
        <v>41899</v>
      </c>
      <c r="I1324" s="1">
        <f>Europe_Sales_Records[[#This Row],[Ship Date]]-Europe_Sales_Records[[#This Row],[Order Date]]</f>
        <v>7</v>
      </c>
      <c r="J1324" s="1">
        <v>4205</v>
      </c>
      <c r="K1324" s="1">
        <v>437.2</v>
      </c>
      <c r="L1324" s="1">
        <v>263.33</v>
      </c>
      <c r="M1324" s="1">
        <f>Europe_Sales_Records[[#This Row],[Unit Price]]-Europe_Sales_Records[[#This Row],[Unit Cost]]</f>
        <v>173.87</v>
      </c>
      <c r="N1324" s="1">
        <v>1838426</v>
      </c>
      <c r="O1324" s="6">
        <v>1107302.6499999999</v>
      </c>
      <c r="P1324" s="1">
        <v>731123.35</v>
      </c>
    </row>
    <row r="1325" spans="1:16" x14ac:dyDescent="0.3">
      <c r="A1325" s="1" t="s">
        <v>14</v>
      </c>
      <c r="B1325" s="1" t="s">
        <v>56</v>
      </c>
      <c r="C1325" s="1" t="s">
        <v>79</v>
      </c>
      <c r="D1325" s="1" t="s">
        <v>17</v>
      </c>
      <c r="E1325" s="1" t="s">
        <v>45</v>
      </c>
      <c r="F1325" s="7">
        <v>40859</v>
      </c>
      <c r="G1325" s="1" t="s">
        <v>1404</v>
      </c>
      <c r="H1325" s="7">
        <v>40893</v>
      </c>
      <c r="I1325" s="1">
        <f>Europe_Sales_Records[[#This Row],[Ship Date]]-Europe_Sales_Records[[#This Row],[Order Date]]</f>
        <v>34</v>
      </c>
      <c r="J1325" s="1">
        <v>344</v>
      </c>
      <c r="K1325" s="1">
        <v>81.73</v>
      </c>
      <c r="L1325" s="1">
        <v>56.67</v>
      </c>
      <c r="M1325" s="1">
        <f>Europe_Sales_Records[[#This Row],[Unit Price]]-Europe_Sales_Records[[#This Row],[Unit Cost]]</f>
        <v>25.060000000000002</v>
      </c>
      <c r="N1325" s="1">
        <v>28115.119999999999</v>
      </c>
      <c r="O1325" s="6">
        <v>19494.48</v>
      </c>
      <c r="P1325" s="1">
        <v>8620.64</v>
      </c>
    </row>
    <row r="1326" spans="1:16" x14ac:dyDescent="0.3">
      <c r="A1326" s="1" t="s">
        <v>14</v>
      </c>
      <c r="B1326" s="1" t="s">
        <v>176</v>
      </c>
      <c r="C1326" s="1" t="s">
        <v>39</v>
      </c>
      <c r="D1326" s="1" t="s">
        <v>22</v>
      </c>
      <c r="E1326" s="1" t="s">
        <v>18</v>
      </c>
      <c r="F1326" s="7">
        <v>40548</v>
      </c>
      <c r="G1326" s="1" t="s">
        <v>1405</v>
      </c>
      <c r="H1326" s="7">
        <v>40555</v>
      </c>
      <c r="I1326" s="1">
        <f>Europe_Sales_Records[[#This Row],[Ship Date]]-Europe_Sales_Records[[#This Row],[Order Date]]</f>
        <v>7</v>
      </c>
      <c r="J1326" s="1">
        <v>6740</v>
      </c>
      <c r="K1326" s="1">
        <v>154.06</v>
      </c>
      <c r="L1326" s="1">
        <v>90.93</v>
      </c>
      <c r="M1326" s="1">
        <f>Europe_Sales_Records[[#This Row],[Unit Price]]-Europe_Sales_Records[[#This Row],[Unit Cost]]</f>
        <v>63.129999999999995</v>
      </c>
      <c r="N1326" s="1">
        <v>1038364.4</v>
      </c>
      <c r="O1326" s="6">
        <v>612868.19999999995</v>
      </c>
      <c r="P1326" s="1">
        <v>425496.2</v>
      </c>
    </row>
    <row r="1327" spans="1:16" x14ac:dyDescent="0.3">
      <c r="A1327" s="1" t="s">
        <v>14</v>
      </c>
      <c r="B1327" s="1" t="s">
        <v>87</v>
      </c>
      <c r="C1327" s="1" t="s">
        <v>79</v>
      </c>
      <c r="D1327" s="1" t="s">
        <v>17</v>
      </c>
      <c r="E1327" s="1" t="s">
        <v>23</v>
      </c>
      <c r="F1327" s="7">
        <v>41653</v>
      </c>
      <c r="G1327" s="1" t="s">
        <v>1406</v>
      </c>
      <c r="H1327" s="7">
        <v>41654</v>
      </c>
      <c r="I1327" s="1">
        <f>Europe_Sales_Records[[#This Row],[Ship Date]]-Europe_Sales_Records[[#This Row],[Order Date]]</f>
        <v>1</v>
      </c>
      <c r="J1327" s="1">
        <v>3394</v>
      </c>
      <c r="K1327" s="1">
        <v>81.73</v>
      </c>
      <c r="L1327" s="1">
        <v>56.67</v>
      </c>
      <c r="M1327" s="1">
        <f>Europe_Sales_Records[[#This Row],[Unit Price]]-Europe_Sales_Records[[#This Row],[Unit Cost]]</f>
        <v>25.060000000000002</v>
      </c>
      <c r="N1327" s="1">
        <v>277391.62</v>
      </c>
      <c r="O1327" s="6">
        <v>192337.98</v>
      </c>
      <c r="P1327" s="1">
        <v>85053.64</v>
      </c>
    </row>
    <row r="1328" spans="1:16" x14ac:dyDescent="0.3">
      <c r="A1328" s="1" t="s">
        <v>14</v>
      </c>
      <c r="B1328" s="1" t="s">
        <v>59</v>
      </c>
      <c r="C1328" s="1" t="s">
        <v>26</v>
      </c>
      <c r="D1328" s="1" t="s">
        <v>17</v>
      </c>
      <c r="E1328" s="1" t="s">
        <v>30</v>
      </c>
      <c r="F1328" s="7">
        <v>41743</v>
      </c>
      <c r="G1328" s="1" t="s">
        <v>1407</v>
      </c>
      <c r="H1328" s="7">
        <v>41780</v>
      </c>
      <c r="I1328" s="1">
        <f>Europe_Sales_Records[[#This Row],[Ship Date]]-Europe_Sales_Records[[#This Row],[Order Date]]</f>
        <v>37</v>
      </c>
      <c r="J1328" s="1">
        <v>3633</v>
      </c>
      <c r="K1328" s="1">
        <v>205.7</v>
      </c>
      <c r="L1328" s="1">
        <v>117.11</v>
      </c>
      <c r="M1328" s="1">
        <f>Europe_Sales_Records[[#This Row],[Unit Price]]-Europe_Sales_Records[[#This Row],[Unit Cost]]</f>
        <v>88.589999999999989</v>
      </c>
      <c r="N1328" s="1">
        <v>747308.1</v>
      </c>
      <c r="O1328" s="6">
        <v>425460.63</v>
      </c>
      <c r="P1328" s="1">
        <v>321847.46999999997</v>
      </c>
    </row>
    <row r="1329" spans="1:16" x14ac:dyDescent="0.3">
      <c r="A1329" s="1" t="s">
        <v>14</v>
      </c>
      <c r="B1329" s="1" t="s">
        <v>91</v>
      </c>
      <c r="C1329" s="1" t="s">
        <v>42</v>
      </c>
      <c r="D1329" s="1" t="s">
        <v>17</v>
      </c>
      <c r="E1329" s="1" t="s">
        <v>23</v>
      </c>
      <c r="F1329" s="7">
        <v>42317</v>
      </c>
      <c r="G1329" s="1" t="s">
        <v>1408</v>
      </c>
      <c r="H1329" s="7">
        <v>42361</v>
      </c>
      <c r="I1329" s="1">
        <f>Europe_Sales_Records[[#This Row],[Ship Date]]-Europe_Sales_Records[[#This Row],[Order Date]]</f>
        <v>44</v>
      </c>
      <c r="J1329" s="1">
        <v>7390</v>
      </c>
      <c r="K1329" s="1">
        <v>421.89</v>
      </c>
      <c r="L1329" s="1">
        <v>364.69</v>
      </c>
      <c r="M1329" s="1">
        <f>Europe_Sales_Records[[#This Row],[Unit Price]]-Europe_Sales_Records[[#This Row],[Unit Cost]]</f>
        <v>57.199999999999989</v>
      </c>
      <c r="N1329" s="1">
        <v>3117767.1</v>
      </c>
      <c r="O1329" s="6">
        <v>2695059.1</v>
      </c>
      <c r="P1329" s="1">
        <v>422708</v>
      </c>
    </row>
    <row r="1330" spans="1:16" x14ac:dyDescent="0.3">
      <c r="A1330" s="1" t="s">
        <v>14</v>
      </c>
      <c r="B1330" s="1" t="s">
        <v>94</v>
      </c>
      <c r="C1330" s="1" t="s">
        <v>21</v>
      </c>
      <c r="D1330" s="1" t="s">
        <v>17</v>
      </c>
      <c r="E1330" s="1" t="s">
        <v>45</v>
      </c>
      <c r="F1330" s="7">
        <v>41038</v>
      </c>
      <c r="G1330" s="1" t="s">
        <v>1409</v>
      </c>
      <c r="H1330" s="7">
        <v>41063</v>
      </c>
      <c r="I1330" s="1">
        <f>Europe_Sales_Records[[#This Row],[Ship Date]]-Europe_Sales_Records[[#This Row],[Order Date]]</f>
        <v>25</v>
      </c>
      <c r="J1330" s="1">
        <v>7088</v>
      </c>
      <c r="K1330" s="1">
        <v>109.28</v>
      </c>
      <c r="L1330" s="1">
        <v>35.840000000000003</v>
      </c>
      <c r="M1330" s="1">
        <f>Europe_Sales_Records[[#This Row],[Unit Price]]-Europe_Sales_Records[[#This Row],[Unit Cost]]</f>
        <v>73.44</v>
      </c>
      <c r="N1330" s="1">
        <v>774576.64000000001</v>
      </c>
      <c r="O1330" s="6">
        <v>254033.92000000001</v>
      </c>
      <c r="P1330" s="1">
        <v>520542.71999999997</v>
      </c>
    </row>
    <row r="1331" spans="1:16" x14ac:dyDescent="0.3">
      <c r="A1331" s="1" t="s">
        <v>14</v>
      </c>
      <c r="B1331" s="1" t="s">
        <v>44</v>
      </c>
      <c r="C1331" s="1" t="s">
        <v>21</v>
      </c>
      <c r="D1331" s="1" t="s">
        <v>22</v>
      </c>
      <c r="E1331" s="1" t="s">
        <v>30</v>
      </c>
      <c r="F1331" s="7">
        <v>41751</v>
      </c>
      <c r="G1331" s="1" t="s">
        <v>1410</v>
      </c>
      <c r="H1331" s="7">
        <v>41770</v>
      </c>
      <c r="I1331" s="1">
        <f>Europe_Sales_Records[[#This Row],[Ship Date]]-Europe_Sales_Records[[#This Row],[Order Date]]</f>
        <v>19</v>
      </c>
      <c r="J1331" s="1">
        <v>9410</v>
      </c>
      <c r="K1331" s="1">
        <v>109.28</v>
      </c>
      <c r="L1331" s="1">
        <v>35.840000000000003</v>
      </c>
      <c r="M1331" s="1">
        <f>Europe_Sales_Records[[#This Row],[Unit Price]]-Europe_Sales_Records[[#This Row],[Unit Cost]]</f>
        <v>73.44</v>
      </c>
      <c r="N1331" s="1">
        <v>1028324.8</v>
      </c>
      <c r="O1331" s="6">
        <v>337254.40000000002</v>
      </c>
      <c r="P1331" s="1">
        <v>691070.4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7F6E3-7011-4F34-9EB0-4465DAACE3EF}">
  <dimension ref="A2:BL103"/>
  <sheetViews>
    <sheetView topLeftCell="A54" zoomScale="116" zoomScaleNormal="113" workbookViewId="0">
      <selection activeCell="G70" sqref="G70"/>
    </sheetView>
  </sheetViews>
  <sheetFormatPr defaultRowHeight="14.4" x14ac:dyDescent="0.3"/>
  <cols>
    <col min="1" max="1" width="13.109375" bestFit="1" customWidth="1"/>
    <col min="2" max="2" width="13.88671875" bestFit="1" customWidth="1"/>
    <col min="3" max="3" width="20.21875" bestFit="1" customWidth="1"/>
    <col min="4" max="4" width="16.6640625" bestFit="1" customWidth="1"/>
    <col min="5" max="6" width="13.6640625" bestFit="1" customWidth="1"/>
    <col min="7" max="7" width="18.44140625" bestFit="1" customWidth="1"/>
    <col min="8" max="8" width="13.88671875" bestFit="1" customWidth="1"/>
    <col min="9" max="9" width="17.6640625" bestFit="1" customWidth="1"/>
    <col min="10" max="10" width="20.21875" bestFit="1" customWidth="1"/>
    <col min="11" max="11" width="9.88671875" customWidth="1"/>
    <col min="12" max="12" width="13.6640625" bestFit="1" customWidth="1"/>
    <col min="13" max="13" width="15.88671875" bestFit="1" customWidth="1"/>
    <col min="14" max="14" width="16.109375" bestFit="1" customWidth="1"/>
    <col min="15" max="15" width="16.77734375" bestFit="1" customWidth="1"/>
    <col min="16" max="16" width="12.6640625" customWidth="1"/>
    <col min="17" max="17" width="18.5546875" bestFit="1" customWidth="1"/>
    <col min="18" max="18" width="24" bestFit="1" customWidth="1"/>
    <col min="19" max="19" width="27.77734375" bestFit="1" customWidth="1"/>
    <col min="20" max="20" width="22.6640625" bestFit="1" customWidth="1"/>
    <col min="21" max="21" width="21.33203125" bestFit="1" customWidth="1"/>
    <col min="22" max="22" width="11.33203125" customWidth="1"/>
    <col min="23" max="23" width="9.77734375" bestFit="1" customWidth="1"/>
    <col min="24" max="24" width="10.33203125" bestFit="1" customWidth="1"/>
    <col min="25" max="25" width="13.88671875" bestFit="1" customWidth="1"/>
    <col min="26" max="26" width="20.21875" bestFit="1" customWidth="1"/>
    <col min="27" max="27" width="12" bestFit="1" customWidth="1"/>
    <col min="28" max="29" width="10.33203125" bestFit="1" customWidth="1"/>
    <col min="30" max="31" width="12" bestFit="1" customWidth="1"/>
    <col min="32" max="32" width="13.6640625" bestFit="1" customWidth="1"/>
    <col min="33" max="33" width="17.6640625" bestFit="1" customWidth="1"/>
    <col min="34" max="34" width="20.21875" bestFit="1" customWidth="1"/>
    <col min="35" max="35" width="16.6640625" bestFit="1" customWidth="1"/>
    <col min="36" max="36" width="28.5546875" bestFit="1" customWidth="1"/>
    <col min="37" max="37" width="13.109375" bestFit="1" customWidth="1"/>
    <col min="38" max="38" width="20.21875" bestFit="1" customWidth="1"/>
    <col min="39" max="39" width="10.88671875" bestFit="1" customWidth="1"/>
    <col min="40" max="40" width="8.6640625" bestFit="1" customWidth="1"/>
    <col min="41" max="41" width="11.33203125" bestFit="1" customWidth="1"/>
    <col min="42" max="42" width="10.88671875" bestFit="1" customWidth="1"/>
    <col min="43" max="43" width="20.21875" bestFit="1" customWidth="1"/>
    <col min="44" max="44" width="16.21875" bestFit="1" customWidth="1"/>
    <col min="45" max="46" width="13.6640625" bestFit="1" customWidth="1"/>
    <col min="47" max="47" width="12" bestFit="1" customWidth="1"/>
    <col min="48" max="48" width="11.33203125" bestFit="1" customWidth="1"/>
    <col min="49" max="49" width="12" bestFit="1" customWidth="1"/>
    <col min="50" max="50" width="10.33203125" bestFit="1" customWidth="1"/>
    <col min="51" max="51" width="12" bestFit="1" customWidth="1"/>
    <col min="52" max="52" width="10.88671875" bestFit="1" customWidth="1"/>
    <col min="53" max="53" width="10.33203125" bestFit="1" customWidth="1"/>
    <col min="54" max="54" width="16.6640625" bestFit="1" customWidth="1"/>
    <col min="55" max="55" width="16.21875" bestFit="1" customWidth="1"/>
    <col min="56" max="56" width="7" bestFit="1" customWidth="1"/>
    <col min="57" max="57" width="14.109375" bestFit="1" customWidth="1"/>
    <col min="58" max="58" width="8.88671875" bestFit="1" customWidth="1"/>
    <col min="59" max="60" width="7.44140625" bestFit="1" customWidth="1"/>
    <col min="61" max="61" width="6.6640625" bestFit="1" customWidth="1"/>
    <col min="62" max="62" width="7.77734375" bestFit="1" customWidth="1"/>
    <col min="63" max="63" width="8.88671875" bestFit="1" customWidth="1"/>
    <col min="64" max="64" width="11.21875" bestFit="1" customWidth="1"/>
    <col min="65" max="65" width="12.77734375" bestFit="1" customWidth="1"/>
    <col min="66" max="66" width="9.109375" bestFit="1" customWidth="1"/>
    <col min="67" max="67" width="12" bestFit="1" customWidth="1"/>
    <col min="68" max="68" width="10.44140625" bestFit="1" customWidth="1"/>
    <col min="69" max="69" width="6.6640625" bestFit="1" customWidth="1"/>
    <col min="70" max="70" width="8.5546875" bestFit="1" customWidth="1"/>
    <col min="71" max="71" width="7.88671875" bestFit="1" customWidth="1"/>
    <col min="72" max="72" width="11.77734375" bestFit="1" customWidth="1"/>
    <col min="73" max="73" width="11.6640625" bestFit="1" customWidth="1"/>
    <col min="74" max="74" width="7.77734375" bestFit="1" customWidth="1"/>
    <col min="75" max="75" width="11.21875" bestFit="1" customWidth="1"/>
    <col min="76" max="76" width="8.21875" bestFit="1" customWidth="1"/>
    <col min="77" max="77" width="9.88671875" bestFit="1" customWidth="1"/>
    <col min="78" max="78" width="8.5546875" bestFit="1" customWidth="1"/>
    <col min="79" max="79" width="17.44140625" bestFit="1" customWidth="1"/>
    <col min="80" max="80" width="12.5546875" bestFit="1" customWidth="1"/>
    <col min="81" max="81" width="16.33203125" bestFit="1" customWidth="1"/>
    <col min="82" max="82" width="14" bestFit="1" customWidth="1"/>
    <col min="83" max="83" width="8.21875" bestFit="1" customWidth="1"/>
    <col min="84" max="84" width="11.21875" bestFit="1" customWidth="1"/>
    <col min="85" max="85" width="10.44140625" bestFit="1" customWidth="1"/>
    <col min="86" max="86" width="15.33203125" bestFit="1" customWidth="1"/>
    <col min="87" max="87" width="15.77734375" bestFit="1" customWidth="1"/>
    <col min="88" max="88" width="9.88671875" bestFit="1" customWidth="1"/>
    <col min="89" max="89" width="9.6640625" bestFit="1" customWidth="1"/>
    <col min="90" max="90" width="11.44140625" bestFit="1" customWidth="1"/>
    <col min="91" max="91" width="11.5546875" bestFit="1" customWidth="1"/>
    <col min="92" max="92" width="9.5546875" bestFit="1" customWidth="1"/>
    <col min="93" max="93" width="14.77734375" bestFit="1" customWidth="1"/>
    <col min="94" max="94" width="9.109375" bestFit="1" customWidth="1"/>
    <col min="95" max="95" width="11.44140625" bestFit="1" customWidth="1"/>
    <col min="96" max="96" width="11.5546875" bestFit="1" customWidth="1"/>
    <col min="97" max="97" width="8.44140625" bestFit="1" customWidth="1"/>
    <col min="98" max="98" width="10.6640625" bestFit="1" customWidth="1"/>
    <col min="99" max="99" width="15.33203125" bestFit="1" customWidth="1"/>
    <col min="100" max="100" width="10.44140625" bestFit="1" customWidth="1"/>
    <col min="101" max="101" width="20.6640625" bestFit="1" customWidth="1"/>
    <col min="102" max="102" width="15.77734375" bestFit="1" customWidth="1"/>
    <col min="103" max="103" width="15.5546875" bestFit="1" customWidth="1"/>
    <col min="104" max="104" width="11.33203125" bestFit="1" customWidth="1"/>
    <col min="105" max="105" width="10.33203125" bestFit="1" customWidth="1"/>
    <col min="106" max="106" width="10.88671875" bestFit="1" customWidth="1"/>
    <col min="107" max="107" width="12" bestFit="1" customWidth="1"/>
    <col min="108" max="108" width="10.88671875" bestFit="1" customWidth="1"/>
    <col min="109" max="109" width="11.33203125" bestFit="1" customWidth="1"/>
    <col min="110" max="111" width="10.88671875" bestFit="1" customWidth="1"/>
    <col min="112" max="113" width="12" bestFit="1" customWidth="1"/>
    <col min="114" max="114" width="11.33203125" bestFit="1" customWidth="1"/>
    <col min="115" max="115" width="12" bestFit="1" customWidth="1"/>
    <col min="116" max="117" width="9.77734375" bestFit="1" customWidth="1"/>
    <col min="118" max="119" width="12" bestFit="1" customWidth="1"/>
    <col min="120" max="120" width="9.77734375" bestFit="1" customWidth="1"/>
    <col min="121" max="121" width="12" bestFit="1" customWidth="1"/>
    <col min="122" max="122" width="10.88671875" bestFit="1" customWidth="1"/>
    <col min="123" max="123" width="12" bestFit="1" customWidth="1"/>
    <col min="124" max="124" width="11.33203125" bestFit="1" customWidth="1"/>
    <col min="125" max="125" width="9.77734375" bestFit="1" customWidth="1"/>
    <col min="126" max="126" width="12" bestFit="1" customWidth="1"/>
    <col min="127" max="127" width="10.33203125" bestFit="1" customWidth="1"/>
    <col min="128" max="128" width="10.88671875" bestFit="1" customWidth="1"/>
    <col min="129" max="129" width="9.77734375" bestFit="1" customWidth="1"/>
    <col min="130" max="130" width="12" bestFit="1" customWidth="1"/>
    <col min="131" max="132" width="10.88671875" bestFit="1" customWidth="1"/>
    <col min="133" max="133" width="9.77734375" bestFit="1" customWidth="1"/>
    <col min="134" max="134" width="12" bestFit="1" customWidth="1"/>
    <col min="135" max="136" width="10.88671875" bestFit="1" customWidth="1"/>
    <col min="137" max="137" width="9.77734375" bestFit="1" customWidth="1"/>
    <col min="138" max="138" width="10.88671875" bestFit="1" customWidth="1"/>
    <col min="139" max="139" width="12" bestFit="1" customWidth="1"/>
    <col min="140" max="140" width="10.33203125" bestFit="1" customWidth="1"/>
    <col min="141" max="141" width="12" bestFit="1" customWidth="1"/>
    <col min="142" max="142" width="10.88671875" bestFit="1" customWidth="1"/>
    <col min="143" max="144" width="9.77734375" bestFit="1" customWidth="1"/>
    <col min="145" max="146" width="12" bestFit="1" customWidth="1"/>
    <col min="147" max="147" width="9.77734375" bestFit="1" customWidth="1"/>
    <col min="148" max="148" width="12" bestFit="1" customWidth="1"/>
    <col min="149" max="149" width="10.33203125" bestFit="1" customWidth="1"/>
    <col min="150" max="150" width="10.88671875" bestFit="1" customWidth="1"/>
    <col min="151" max="151" width="12" bestFit="1" customWidth="1"/>
    <col min="152" max="153" width="10.88671875" bestFit="1" customWidth="1"/>
    <col min="154" max="154" width="11.33203125" bestFit="1" customWidth="1"/>
    <col min="155" max="155" width="9.77734375" bestFit="1" customWidth="1"/>
    <col min="156" max="156" width="10.88671875" bestFit="1" customWidth="1"/>
    <col min="157" max="158" width="12" bestFit="1" customWidth="1"/>
    <col min="159" max="159" width="11.33203125" bestFit="1" customWidth="1"/>
    <col min="160" max="160" width="10.88671875" bestFit="1" customWidth="1"/>
    <col min="161" max="162" width="12" bestFit="1" customWidth="1"/>
    <col min="163" max="163" width="11.33203125" bestFit="1" customWidth="1"/>
    <col min="164" max="164" width="12" bestFit="1" customWidth="1"/>
    <col min="165" max="165" width="9.77734375" bestFit="1" customWidth="1"/>
    <col min="166" max="166" width="10.33203125" bestFit="1" customWidth="1"/>
    <col min="167" max="167" width="8.6640625" bestFit="1" customWidth="1"/>
    <col min="168" max="168" width="10.33203125" bestFit="1" customWidth="1"/>
    <col min="169" max="169" width="10.88671875" bestFit="1" customWidth="1"/>
    <col min="170" max="170" width="12" bestFit="1" customWidth="1"/>
    <col min="171" max="171" width="11.33203125" bestFit="1" customWidth="1"/>
    <col min="172" max="174" width="12" bestFit="1" customWidth="1"/>
    <col min="175" max="176" width="11.33203125" bestFit="1" customWidth="1"/>
    <col min="177" max="177" width="10.33203125" bestFit="1" customWidth="1"/>
    <col min="178" max="181" width="10.88671875" bestFit="1" customWidth="1"/>
    <col min="182" max="182" width="9.77734375" bestFit="1" customWidth="1"/>
    <col min="183" max="183" width="12" bestFit="1" customWidth="1"/>
    <col min="184" max="184" width="9.21875" bestFit="1" customWidth="1"/>
    <col min="185" max="185" width="10.88671875" bestFit="1" customWidth="1"/>
    <col min="186" max="187" width="12" bestFit="1" customWidth="1"/>
    <col min="188" max="188" width="10.33203125" bestFit="1" customWidth="1"/>
    <col min="189" max="190" width="10.88671875" bestFit="1" customWidth="1"/>
    <col min="191" max="191" width="10.33203125" bestFit="1" customWidth="1"/>
    <col min="192" max="194" width="12" bestFit="1" customWidth="1"/>
    <col min="195" max="195" width="10.88671875" bestFit="1" customWidth="1"/>
    <col min="196" max="196" width="9.77734375" bestFit="1" customWidth="1"/>
    <col min="197" max="197" width="7.6640625" bestFit="1" customWidth="1"/>
    <col min="198" max="198" width="12" bestFit="1" customWidth="1"/>
    <col min="199" max="199" width="10.33203125" bestFit="1" customWidth="1"/>
    <col min="200" max="200" width="9.77734375" bestFit="1" customWidth="1"/>
    <col min="201" max="201" width="10.88671875" bestFit="1" customWidth="1"/>
    <col min="202" max="202" width="11.33203125" bestFit="1" customWidth="1"/>
    <col min="203" max="207" width="12" bestFit="1" customWidth="1"/>
    <col min="208" max="208" width="10.33203125" bestFit="1" customWidth="1"/>
    <col min="209" max="210" width="10.88671875" bestFit="1" customWidth="1"/>
    <col min="211" max="211" width="12" bestFit="1" customWidth="1"/>
    <col min="212" max="212" width="10.33203125" bestFit="1" customWidth="1"/>
    <col min="213" max="215" width="10.88671875" bestFit="1" customWidth="1"/>
    <col min="216" max="216" width="12" bestFit="1" customWidth="1"/>
    <col min="217" max="217" width="10.88671875" bestFit="1" customWidth="1"/>
    <col min="218" max="218" width="10.33203125" bestFit="1" customWidth="1"/>
    <col min="219" max="219" width="12" bestFit="1" customWidth="1"/>
    <col min="220" max="221" width="10.33203125" bestFit="1" customWidth="1"/>
    <col min="222" max="222" width="11.33203125" bestFit="1" customWidth="1"/>
    <col min="223" max="223" width="8.6640625" bestFit="1" customWidth="1"/>
    <col min="224" max="224" width="12" bestFit="1" customWidth="1"/>
    <col min="225" max="225" width="10.88671875" bestFit="1" customWidth="1"/>
    <col min="226" max="227" width="12" bestFit="1" customWidth="1"/>
    <col min="228" max="229" width="10.88671875" bestFit="1" customWidth="1"/>
    <col min="230" max="230" width="12" bestFit="1" customWidth="1"/>
    <col min="231" max="231" width="10.33203125" bestFit="1" customWidth="1"/>
    <col min="232" max="232" width="10.88671875" bestFit="1" customWidth="1"/>
    <col min="233" max="233" width="10.33203125" bestFit="1" customWidth="1"/>
    <col min="234" max="235" width="12" bestFit="1" customWidth="1"/>
    <col min="236" max="236" width="8.6640625" bestFit="1" customWidth="1"/>
    <col min="237" max="237" width="12" bestFit="1" customWidth="1"/>
    <col min="238" max="238" width="10.33203125" bestFit="1" customWidth="1"/>
    <col min="239" max="239" width="10.88671875" bestFit="1" customWidth="1"/>
    <col min="240" max="240" width="12" bestFit="1" customWidth="1"/>
    <col min="241" max="241" width="10.88671875" bestFit="1" customWidth="1"/>
    <col min="242" max="242" width="12" bestFit="1" customWidth="1"/>
    <col min="243" max="243" width="11.33203125" bestFit="1" customWidth="1"/>
    <col min="244" max="244" width="12" bestFit="1" customWidth="1"/>
    <col min="245" max="245" width="10.88671875" bestFit="1" customWidth="1"/>
    <col min="246" max="248" width="12" bestFit="1" customWidth="1"/>
    <col min="249" max="250" width="10.33203125" bestFit="1" customWidth="1"/>
    <col min="251" max="251" width="12" bestFit="1" customWidth="1"/>
    <col min="252" max="253" width="10.88671875" bestFit="1" customWidth="1"/>
    <col min="254" max="254" width="11.33203125" bestFit="1" customWidth="1"/>
    <col min="255" max="255" width="10.33203125" bestFit="1" customWidth="1"/>
    <col min="256" max="256" width="9.77734375" bestFit="1" customWidth="1"/>
    <col min="257" max="257" width="10.33203125" bestFit="1" customWidth="1"/>
    <col min="258" max="258" width="10.88671875" bestFit="1" customWidth="1"/>
    <col min="259" max="260" width="12" bestFit="1" customWidth="1"/>
    <col min="261" max="261" width="10.33203125" bestFit="1" customWidth="1"/>
    <col min="262" max="262" width="12" bestFit="1" customWidth="1"/>
    <col min="263" max="263" width="10.88671875" bestFit="1" customWidth="1"/>
    <col min="264" max="265" width="10.33203125" bestFit="1" customWidth="1"/>
    <col min="266" max="267" width="10.88671875" bestFit="1" customWidth="1"/>
    <col min="268" max="269" width="9.77734375" bestFit="1" customWidth="1"/>
    <col min="270" max="270" width="12" bestFit="1" customWidth="1"/>
    <col min="271" max="271" width="10.33203125" bestFit="1" customWidth="1"/>
    <col min="272" max="272" width="12" bestFit="1" customWidth="1"/>
    <col min="273" max="274" width="9.77734375" bestFit="1" customWidth="1"/>
    <col min="275" max="276" width="10.88671875" bestFit="1" customWidth="1"/>
    <col min="277" max="277" width="12" bestFit="1" customWidth="1"/>
    <col min="278" max="279" width="10.88671875" bestFit="1" customWidth="1"/>
    <col min="280" max="280" width="9.21875" bestFit="1" customWidth="1"/>
    <col min="281" max="281" width="10.33203125" bestFit="1" customWidth="1"/>
    <col min="282" max="282" width="12" bestFit="1" customWidth="1"/>
    <col min="283" max="284" width="10.88671875" bestFit="1" customWidth="1"/>
    <col min="285" max="285" width="12" bestFit="1" customWidth="1"/>
    <col min="286" max="287" width="10.88671875" bestFit="1" customWidth="1"/>
    <col min="288" max="288" width="12" bestFit="1" customWidth="1"/>
    <col min="289" max="289" width="10.88671875" bestFit="1" customWidth="1"/>
    <col min="290" max="290" width="12" bestFit="1" customWidth="1"/>
    <col min="291" max="292" width="10.88671875" bestFit="1" customWidth="1"/>
    <col min="293" max="295" width="11.33203125" bestFit="1" customWidth="1"/>
    <col min="296" max="296" width="12" bestFit="1" customWidth="1"/>
    <col min="297" max="298" width="10.88671875" bestFit="1" customWidth="1"/>
    <col min="299" max="299" width="11.33203125" bestFit="1" customWidth="1"/>
    <col min="300" max="300" width="9.77734375" bestFit="1" customWidth="1"/>
    <col min="301" max="301" width="10.33203125" bestFit="1" customWidth="1"/>
    <col min="302" max="303" width="10.88671875" bestFit="1" customWidth="1"/>
    <col min="304" max="304" width="11.33203125" bestFit="1" customWidth="1"/>
    <col min="305" max="306" width="10.33203125" bestFit="1" customWidth="1"/>
    <col min="307" max="307" width="10.88671875" bestFit="1" customWidth="1"/>
    <col min="308" max="309" width="9.77734375" bestFit="1" customWidth="1"/>
    <col min="310" max="310" width="10.33203125" bestFit="1" customWidth="1"/>
    <col min="311" max="311" width="11.33203125" bestFit="1" customWidth="1"/>
    <col min="312" max="312" width="10.33203125" bestFit="1" customWidth="1"/>
    <col min="313" max="315" width="10.88671875" bestFit="1" customWidth="1"/>
    <col min="316" max="318" width="12" bestFit="1" customWidth="1"/>
    <col min="319" max="319" width="11.33203125" bestFit="1" customWidth="1"/>
    <col min="320" max="321" width="10.88671875" bestFit="1" customWidth="1"/>
    <col min="322" max="322" width="12" bestFit="1" customWidth="1"/>
    <col min="323" max="323" width="10.88671875" bestFit="1" customWidth="1"/>
    <col min="324" max="324" width="9.77734375" bestFit="1" customWidth="1"/>
    <col min="325" max="326" width="10.88671875" bestFit="1" customWidth="1"/>
    <col min="327" max="327" width="12" bestFit="1" customWidth="1"/>
    <col min="328" max="328" width="10.88671875" bestFit="1" customWidth="1"/>
    <col min="329" max="329" width="9.77734375" bestFit="1" customWidth="1"/>
    <col min="330" max="330" width="10.88671875" bestFit="1" customWidth="1"/>
    <col min="331" max="331" width="12" bestFit="1" customWidth="1"/>
    <col min="332" max="332" width="10.88671875" bestFit="1" customWidth="1"/>
    <col min="333" max="333" width="9.77734375" bestFit="1" customWidth="1"/>
    <col min="334" max="334" width="10.88671875" bestFit="1" customWidth="1"/>
    <col min="335" max="335" width="9.77734375" bestFit="1" customWidth="1"/>
    <col min="336" max="336" width="11.33203125" bestFit="1" customWidth="1"/>
    <col min="337" max="338" width="10.88671875" bestFit="1" customWidth="1"/>
    <col min="339" max="339" width="9.77734375" bestFit="1" customWidth="1"/>
    <col min="340" max="340" width="10.88671875" bestFit="1" customWidth="1"/>
    <col min="341" max="341" width="8.6640625" bestFit="1" customWidth="1"/>
    <col min="342" max="342" width="11.33203125" bestFit="1" customWidth="1"/>
    <col min="343" max="343" width="10.88671875" bestFit="1" customWidth="1"/>
    <col min="344" max="344" width="10.33203125" bestFit="1" customWidth="1"/>
    <col min="345" max="345" width="11.33203125" bestFit="1" customWidth="1"/>
    <col min="346" max="347" width="12" bestFit="1" customWidth="1"/>
    <col min="348" max="349" width="10.88671875" bestFit="1" customWidth="1"/>
    <col min="350" max="350" width="10.33203125" bestFit="1" customWidth="1"/>
    <col min="351" max="352" width="10.88671875" bestFit="1" customWidth="1"/>
    <col min="353" max="353" width="12" bestFit="1" customWidth="1"/>
    <col min="354" max="354" width="10.88671875" bestFit="1" customWidth="1"/>
    <col min="355" max="355" width="11.33203125" bestFit="1" customWidth="1"/>
    <col min="356" max="356" width="10.88671875" bestFit="1" customWidth="1"/>
    <col min="357" max="357" width="12" bestFit="1" customWidth="1"/>
    <col min="358" max="358" width="11.33203125" bestFit="1" customWidth="1"/>
    <col min="359" max="359" width="10.88671875" bestFit="1" customWidth="1"/>
    <col min="360" max="360" width="12" bestFit="1" customWidth="1"/>
    <col min="361" max="361" width="9.77734375" bestFit="1" customWidth="1"/>
    <col min="362" max="362" width="12" bestFit="1" customWidth="1"/>
    <col min="363" max="363" width="9.77734375" bestFit="1" customWidth="1"/>
    <col min="364" max="364" width="11.33203125" bestFit="1" customWidth="1"/>
    <col min="365" max="365" width="12" bestFit="1" customWidth="1"/>
    <col min="366" max="366" width="10.88671875" bestFit="1" customWidth="1"/>
    <col min="367" max="367" width="10.33203125" bestFit="1" customWidth="1"/>
    <col min="368" max="368" width="9.77734375" bestFit="1" customWidth="1"/>
    <col min="369" max="369" width="10.33203125" bestFit="1" customWidth="1"/>
    <col min="370" max="370" width="9.77734375" bestFit="1" customWidth="1"/>
    <col min="371" max="371" width="12" bestFit="1" customWidth="1"/>
    <col min="372" max="373" width="10.88671875" bestFit="1" customWidth="1"/>
    <col min="374" max="374" width="7.6640625" bestFit="1" customWidth="1"/>
    <col min="375" max="378" width="10.88671875" bestFit="1" customWidth="1"/>
    <col min="379" max="379" width="9.77734375" bestFit="1" customWidth="1"/>
    <col min="380" max="380" width="12" bestFit="1" customWidth="1"/>
    <col min="381" max="381" width="10.88671875" bestFit="1" customWidth="1"/>
    <col min="382" max="382" width="9.77734375" bestFit="1" customWidth="1"/>
    <col min="383" max="383" width="10.33203125" bestFit="1" customWidth="1"/>
    <col min="384" max="384" width="9.77734375" bestFit="1" customWidth="1"/>
    <col min="385" max="385" width="11.33203125" bestFit="1" customWidth="1"/>
    <col min="386" max="386" width="10.33203125" bestFit="1" customWidth="1"/>
    <col min="387" max="387" width="12" bestFit="1" customWidth="1"/>
    <col min="388" max="388" width="8.6640625" bestFit="1" customWidth="1"/>
    <col min="389" max="389" width="10.88671875" bestFit="1" customWidth="1"/>
    <col min="390" max="390" width="10.33203125" bestFit="1" customWidth="1"/>
    <col min="391" max="391" width="10.88671875" bestFit="1" customWidth="1"/>
    <col min="392" max="392" width="12" bestFit="1" customWidth="1"/>
    <col min="393" max="394" width="11.33203125" bestFit="1" customWidth="1"/>
    <col min="395" max="397" width="10.88671875" bestFit="1" customWidth="1"/>
    <col min="398" max="398" width="12" bestFit="1" customWidth="1"/>
    <col min="399" max="399" width="9.77734375" bestFit="1" customWidth="1"/>
    <col min="400" max="401" width="10.88671875" bestFit="1" customWidth="1"/>
    <col min="402" max="403" width="9.77734375" bestFit="1" customWidth="1"/>
    <col min="404" max="404" width="10.33203125" bestFit="1" customWidth="1"/>
    <col min="405" max="405" width="7.6640625" bestFit="1" customWidth="1"/>
    <col min="406" max="410" width="10.88671875" bestFit="1" customWidth="1"/>
    <col min="411" max="411" width="12" bestFit="1" customWidth="1"/>
    <col min="412" max="412" width="10.88671875" bestFit="1" customWidth="1"/>
    <col min="413" max="414" width="12" bestFit="1" customWidth="1"/>
    <col min="415" max="415" width="9.77734375" bestFit="1" customWidth="1"/>
    <col min="416" max="416" width="11.33203125" bestFit="1" customWidth="1"/>
    <col min="417" max="417" width="10.88671875" bestFit="1" customWidth="1"/>
    <col min="418" max="418" width="10.33203125" bestFit="1" customWidth="1"/>
    <col min="419" max="419" width="10.88671875" bestFit="1" customWidth="1"/>
    <col min="420" max="420" width="12" bestFit="1" customWidth="1"/>
    <col min="421" max="421" width="10.33203125" bestFit="1" customWidth="1"/>
    <col min="422" max="423" width="10.88671875" bestFit="1" customWidth="1"/>
    <col min="424" max="424" width="12" bestFit="1" customWidth="1"/>
    <col min="425" max="425" width="11.33203125" bestFit="1" customWidth="1"/>
    <col min="426" max="426" width="12" bestFit="1" customWidth="1"/>
    <col min="427" max="428" width="11.33203125" bestFit="1" customWidth="1"/>
    <col min="429" max="429" width="10.33203125" bestFit="1" customWidth="1"/>
    <col min="430" max="430" width="10.88671875" bestFit="1" customWidth="1"/>
    <col min="431" max="431" width="10.33203125" bestFit="1" customWidth="1"/>
    <col min="432" max="432" width="10.88671875" bestFit="1" customWidth="1"/>
    <col min="433" max="433" width="10.33203125" bestFit="1" customWidth="1"/>
    <col min="434" max="434" width="12" bestFit="1" customWidth="1"/>
    <col min="435" max="435" width="10.88671875" bestFit="1" customWidth="1"/>
    <col min="436" max="436" width="11.33203125" bestFit="1" customWidth="1"/>
    <col min="437" max="437" width="12" bestFit="1" customWidth="1"/>
    <col min="438" max="439" width="10.33203125" bestFit="1" customWidth="1"/>
    <col min="440" max="441" width="12" bestFit="1" customWidth="1"/>
    <col min="442" max="442" width="9.77734375" bestFit="1" customWidth="1"/>
    <col min="443" max="443" width="11.33203125" bestFit="1" customWidth="1"/>
    <col min="444" max="444" width="12" bestFit="1" customWidth="1"/>
    <col min="445" max="445" width="11.33203125" bestFit="1" customWidth="1"/>
    <col min="446" max="446" width="12" bestFit="1" customWidth="1"/>
    <col min="447" max="447" width="10.33203125" bestFit="1" customWidth="1"/>
    <col min="448" max="448" width="11.33203125" bestFit="1" customWidth="1"/>
    <col min="449" max="449" width="12" bestFit="1" customWidth="1"/>
    <col min="450" max="450" width="10.88671875" bestFit="1" customWidth="1"/>
    <col min="451" max="451" width="8.6640625" bestFit="1" customWidth="1"/>
    <col min="452" max="452" width="12" bestFit="1" customWidth="1"/>
    <col min="453" max="454" width="10.88671875" bestFit="1" customWidth="1"/>
    <col min="455" max="455" width="10.33203125" bestFit="1" customWidth="1"/>
    <col min="456" max="456" width="12" bestFit="1" customWidth="1"/>
    <col min="457" max="457" width="9.77734375" bestFit="1" customWidth="1"/>
    <col min="458" max="458" width="10.88671875" bestFit="1" customWidth="1"/>
    <col min="459" max="459" width="12" bestFit="1" customWidth="1"/>
    <col min="460" max="460" width="7.6640625" bestFit="1" customWidth="1"/>
    <col min="461" max="461" width="10.88671875" bestFit="1" customWidth="1"/>
    <col min="462" max="462" width="9.77734375" bestFit="1" customWidth="1"/>
    <col min="463" max="465" width="10.88671875" bestFit="1" customWidth="1"/>
    <col min="466" max="466" width="12" bestFit="1" customWidth="1"/>
    <col min="467" max="467" width="11.33203125" bestFit="1" customWidth="1"/>
    <col min="468" max="468" width="10.88671875" bestFit="1" customWidth="1"/>
    <col min="469" max="469" width="10.33203125" bestFit="1" customWidth="1"/>
    <col min="470" max="470" width="9.77734375" bestFit="1" customWidth="1"/>
    <col min="471" max="471" width="12" bestFit="1" customWidth="1"/>
    <col min="472" max="472" width="10.88671875" bestFit="1" customWidth="1"/>
    <col min="473" max="473" width="10.33203125" bestFit="1" customWidth="1"/>
    <col min="474" max="474" width="12" bestFit="1" customWidth="1"/>
    <col min="475" max="475" width="9.21875" bestFit="1" customWidth="1"/>
    <col min="476" max="476" width="10.33203125" bestFit="1" customWidth="1"/>
    <col min="477" max="477" width="12" bestFit="1" customWidth="1"/>
    <col min="478" max="478" width="11.33203125" bestFit="1" customWidth="1"/>
    <col min="479" max="480" width="9.77734375" bestFit="1" customWidth="1"/>
    <col min="481" max="481" width="10.88671875" bestFit="1" customWidth="1"/>
    <col min="482" max="482" width="12" bestFit="1" customWidth="1"/>
    <col min="483" max="483" width="10.88671875" bestFit="1" customWidth="1"/>
    <col min="484" max="484" width="8.6640625" bestFit="1" customWidth="1"/>
    <col min="485" max="485" width="10.33203125" bestFit="1" customWidth="1"/>
    <col min="486" max="486" width="10.88671875" bestFit="1" customWidth="1"/>
    <col min="487" max="487" width="11.33203125" bestFit="1" customWidth="1"/>
    <col min="488" max="488" width="12" bestFit="1" customWidth="1"/>
    <col min="489" max="490" width="11.33203125" bestFit="1" customWidth="1"/>
    <col min="491" max="491" width="10.33203125" bestFit="1" customWidth="1"/>
    <col min="492" max="492" width="12" bestFit="1" customWidth="1"/>
    <col min="493" max="493" width="9.77734375" bestFit="1" customWidth="1"/>
    <col min="494" max="495" width="10.88671875" bestFit="1" customWidth="1"/>
    <col min="496" max="496" width="9.77734375" bestFit="1" customWidth="1"/>
    <col min="497" max="497" width="10.88671875" bestFit="1" customWidth="1"/>
    <col min="498" max="498" width="12" bestFit="1" customWidth="1"/>
    <col min="499" max="500" width="11.33203125" bestFit="1" customWidth="1"/>
    <col min="501" max="501" width="10.88671875" bestFit="1" customWidth="1"/>
    <col min="502" max="502" width="9.77734375" bestFit="1" customWidth="1"/>
    <col min="503" max="503" width="10.33203125" bestFit="1" customWidth="1"/>
    <col min="504" max="504" width="11.33203125" bestFit="1" customWidth="1"/>
    <col min="505" max="507" width="10.88671875" bestFit="1" customWidth="1"/>
    <col min="508" max="508" width="12" bestFit="1" customWidth="1"/>
    <col min="509" max="509" width="10.88671875" bestFit="1" customWidth="1"/>
    <col min="510" max="510" width="11.33203125" bestFit="1" customWidth="1"/>
    <col min="511" max="511" width="10.88671875" bestFit="1" customWidth="1"/>
    <col min="512" max="512" width="12" bestFit="1" customWidth="1"/>
    <col min="513" max="513" width="11.33203125" bestFit="1" customWidth="1"/>
    <col min="514" max="514" width="9.77734375" bestFit="1" customWidth="1"/>
    <col min="515" max="515" width="10.88671875" bestFit="1" customWidth="1"/>
    <col min="516" max="516" width="6.5546875" bestFit="1" customWidth="1"/>
    <col min="517" max="517" width="10.88671875" bestFit="1" customWidth="1"/>
    <col min="518" max="518" width="12" bestFit="1" customWidth="1"/>
    <col min="519" max="519" width="10.33203125" bestFit="1" customWidth="1"/>
    <col min="520" max="522" width="10.88671875" bestFit="1" customWidth="1"/>
    <col min="523" max="523" width="12" bestFit="1" customWidth="1"/>
    <col min="524" max="524" width="10.88671875" bestFit="1" customWidth="1"/>
    <col min="525" max="525" width="10.33203125" bestFit="1" customWidth="1"/>
    <col min="526" max="526" width="12" bestFit="1" customWidth="1"/>
    <col min="527" max="527" width="10.33203125" bestFit="1" customWidth="1"/>
    <col min="528" max="528" width="12" bestFit="1" customWidth="1"/>
    <col min="529" max="529" width="8.6640625" bestFit="1" customWidth="1"/>
    <col min="530" max="530" width="9.77734375" bestFit="1" customWidth="1"/>
    <col min="531" max="531" width="10.88671875" bestFit="1" customWidth="1"/>
    <col min="532" max="532" width="12" bestFit="1" customWidth="1"/>
    <col min="533" max="533" width="10.33203125" bestFit="1" customWidth="1"/>
    <col min="534" max="534" width="12" bestFit="1" customWidth="1"/>
    <col min="535" max="536" width="10.88671875" bestFit="1" customWidth="1"/>
    <col min="537" max="537" width="12" bestFit="1" customWidth="1"/>
    <col min="538" max="538" width="10.88671875" bestFit="1" customWidth="1"/>
    <col min="539" max="539" width="12" bestFit="1" customWidth="1"/>
    <col min="540" max="540" width="8.109375" bestFit="1" customWidth="1"/>
    <col min="541" max="541" width="10.88671875" bestFit="1" customWidth="1"/>
    <col min="542" max="542" width="10.33203125" bestFit="1" customWidth="1"/>
    <col min="543" max="544" width="10.88671875" bestFit="1" customWidth="1"/>
    <col min="545" max="545" width="12" bestFit="1" customWidth="1"/>
    <col min="546" max="546" width="10.88671875" bestFit="1" customWidth="1"/>
    <col min="547" max="547" width="12" bestFit="1" customWidth="1"/>
    <col min="548" max="548" width="10.88671875" bestFit="1" customWidth="1"/>
    <col min="549" max="549" width="10.33203125" bestFit="1" customWidth="1"/>
    <col min="550" max="551" width="12" bestFit="1" customWidth="1"/>
    <col min="552" max="553" width="10.88671875" bestFit="1" customWidth="1"/>
    <col min="554" max="554" width="9.77734375" bestFit="1" customWidth="1"/>
    <col min="555" max="555" width="10.88671875" bestFit="1" customWidth="1"/>
    <col min="556" max="556" width="9.77734375" bestFit="1" customWidth="1"/>
    <col min="557" max="558" width="12" bestFit="1" customWidth="1"/>
    <col min="559" max="559" width="10.88671875" bestFit="1" customWidth="1"/>
    <col min="560" max="560" width="9.21875" bestFit="1" customWidth="1"/>
    <col min="561" max="561" width="12" bestFit="1" customWidth="1"/>
    <col min="562" max="562" width="10.33203125" bestFit="1" customWidth="1"/>
    <col min="563" max="565" width="10.88671875" bestFit="1" customWidth="1"/>
    <col min="566" max="566" width="12" bestFit="1" customWidth="1"/>
    <col min="567" max="568" width="10.88671875" bestFit="1" customWidth="1"/>
    <col min="569" max="569" width="12" bestFit="1" customWidth="1"/>
    <col min="570" max="570" width="10.88671875" bestFit="1" customWidth="1"/>
    <col min="571" max="571" width="12" bestFit="1" customWidth="1"/>
    <col min="572" max="575" width="10.88671875" bestFit="1" customWidth="1"/>
    <col min="576" max="577" width="12" bestFit="1" customWidth="1"/>
    <col min="578" max="578" width="9.77734375" bestFit="1" customWidth="1"/>
    <col min="579" max="579" width="10.88671875" bestFit="1" customWidth="1"/>
    <col min="580" max="580" width="12" bestFit="1" customWidth="1"/>
    <col min="581" max="581" width="8.6640625" bestFit="1" customWidth="1"/>
    <col min="582" max="583" width="10.88671875" bestFit="1" customWidth="1"/>
    <col min="584" max="584" width="10.33203125" bestFit="1" customWidth="1"/>
    <col min="585" max="585" width="9.77734375" bestFit="1" customWidth="1"/>
    <col min="586" max="586" width="6.5546875" bestFit="1" customWidth="1"/>
    <col min="587" max="587" width="12" bestFit="1" customWidth="1"/>
    <col min="588" max="588" width="10.33203125" bestFit="1" customWidth="1"/>
    <col min="589" max="589" width="12" bestFit="1" customWidth="1"/>
    <col min="590" max="590" width="10.88671875" bestFit="1" customWidth="1"/>
    <col min="591" max="592" width="10.33203125" bestFit="1" customWidth="1"/>
    <col min="593" max="593" width="9.77734375" bestFit="1" customWidth="1"/>
    <col min="594" max="594" width="12" bestFit="1" customWidth="1"/>
    <col min="595" max="595" width="9.77734375" bestFit="1" customWidth="1"/>
    <col min="596" max="597" width="10.88671875" bestFit="1" customWidth="1"/>
    <col min="598" max="598" width="12" bestFit="1" customWidth="1"/>
    <col min="599" max="599" width="10.88671875" bestFit="1" customWidth="1"/>
    <col min="600" max="600" width="12" bestFit="1" customWidth="1"/>
    <col min="601" max="601" width="10.88671875" bestFit="1" customWidth="1"/>
    <col min="602" max="602" width="12" bestFit="1" customWidth="1"/>
    <col min="603" max="604" width="10.88671875" bestFit="1" customWidth="1"/>
    <col min="605" max="605" width="12" bestFit="1" customWidth="1"/>
    <col min="606" max="606" width="9.77734375" bestFit="1" customWidth="1"/>
    <col min="607" max="609" width="10.88671875" bestFit="1" customWidth="1"/>
    <col min="610" max="610" width="12" bestFit="1" customWidth="1"/>
    <col min="611" max="611" width="9.77734375" bestFit="1" customWidth="1"/>
    <col min="612" max="612" width="10.88671875" bestFit="1" customWidth="1"/>
    <col min="613" max="614" width="12" bestFit="1" customWidth="1"/>
    <col min="615" max="615" width="10.88671875" bestFit="1" customWidth="1"/>
    <col min="616" max="616" width="9.77734375" bestFit="1" customWidth="1"/>
    <col min="617" max="617" width="9.21875" bestFit="1" customWidth="1"/>
    <col min="618" max="618" width="9.77734375" bestFit="1" customWidth="1"/>
    <col min="619" max="620" width="10.88671875" bestFit="1" customWidth="1"/>
    <col min="621" max="623" width="12" bestFit="1" customWidth="1"/>
    <col min="624" max="624" width="10.88671875" bestFit="1" customWidth="1"/>
    <col min="625" max="625" width="12" bestFit="1" customWidth="1"/>
    <col min="626" max="627" width="10.33203125" bestFit="1" customWidth="1"/>
    <col min="628" max="628" width="10.88671875" bestFit="1" customWidth="1"/>
    <col min="629" max="629" width="7.6640625" bestFit="1" customWidth="1"/>
    <col min="630" max="630" width="10.88671875" bestFit="1" customWidth="1"/>
    <col min="631" max="631" width="12" bestFit="1" customWidth="1"/>
    <col min="632" max="632" width="10.88671875" bestFit="1" customWidth="1"/>
    <col min="633" max="633" width="9.77734375" bestFit="1" customWidth="1"/>
    <col min="634" max="635" width="10.88671875" bestFit="1" customWidth="1"/>
    <col min="636" max="636" width="9.21875" bestFit="1" customWidth="1"/>
    <col min="637" max="637" width="12" bestFit="1" customWidth="1"/>
    <col min="638" max="640" width="10.88671875" bestFit="1" customWidth="1"/>
    <col min="641" max="642" width="12" bestFit="1" customWidth="1"/>
    <col min="643" max="644" width="10.88671875" bestFit="1" customWidth="1"/>
    <col min="645" max="646" width="12" bestFit="1" customWidth="1"/>
    <col min="647" max="648" width="10.88671875" bestFit="1" customWidth="1"/>
    <col min="649" max="649" width="12" bestFit="1" customWidth="1"/>
    <col min="650" max="650" width="10.88671875" bestFit="1" customWidth="1"/>
    <col min="651" max="651" width="12" bestFit="1" customWidth="1"/>
    <col min="652" max="653" width="9.77734375" bestFit="1" customWidth="1"/>
    <col min="654" max="654" width="9.21875" bestFit="1" customWidth="1"/>
    <col min="655" max="655" width="12" bestFit="1" customWidth="1"/>
    <col min="656" max="656" width="9.77734375" bestFit="1" customWidth="1"/>
    <col min="657" max="658" width="10.88671875" bestFit="1" customWidth="1"/>
    <col min="659" max="660" width="12" bestFit="1" customWidth="1"/>
    <col min="661" max="661" width="7.6640625" bestFit="1" customWidth="1"/>
    <col min="662" max="663" width="10.88671875" bestFit="1" customWidth="1"/>
    <col min="664" max="664" width="10.33203125" bestFit="1" customWidth="1"/>
    <col min="665" max="665" width="9.77734375" bestFit="1" customWidth="1"/>
    <col min="666" max="668" width="10.88671875" bestFit="1" customWidth="1"/>
    <col min="669" max="669" width="12" bestFit="1" customWidth="1"/>
    <col min="670" max="670" width="9.77734375" bestFit="1" customWidth="1"/>
    <col min="671" max="671" width="10.88671875" bestFit="1" customWidth="1"/>
    <col min="672" max="672" width="10.33203125" bestFit="1" customWidth="1"/>
    <col min="673" max="673" width="12" bestFit="1" customWidth="1"/>
    <col min="674" max="674" width="10.88671875" bestFit="1" customWidth="1"/>
    <col min="675" max="675" width="9.77734375" bestFit="1" customWidth="1"/>
    <col min="676" max="678" width="10.88671875" bestFit="1" customWidth="1"/>
    <col min="679" max="679" width="12" bestFit="1" customWidth="1"/>
    <col min="680" max="680" width="10.88671875" bestFit="1" customWidth="1"/>
    <col min="681" max="681" width="9.77734375" bestFit="1" customWidth="1"/>
    <col min="682" max="683" width="10.33203125" bestFit="1" customWidth="1"/>
    <col min="684" max="684" width="10.88671875" bestFit="1" customWidth="1"/>
    <col min="685" max="685" width="10.33203125" bestFit="1" customWidth="1"/>
    <col min="686" max="686" width="12" bestFit="1" customWidth="1"/>
    <col min="687" max="687" width="10.33203125" bestFit="1" customWidth="1"/>
    <col min="688" max="688" width="9.77734375" bestFit="1" customWidth="1"/>
    <col min="689" max="689" width="10.88671875" bestFit="1" customWidth="1"/>
    <col min="690" max="690" width="9.77734375" bestFit="1" customWidth="1"/>
    <col min="691" max="692" width="12" bestFit="1" customWidth="1"/>
    <col min="693" max="693" width="9.77734375" bestFit="1" customWidth="1"/>
    <col min="694" max="694" width="8.109375" bestFit="1" customWidth="1"/>
    <col min="695" max="698" width="12" bestFit="1" customWidth="1"/>
    <col min="699" max="699" width="10.88671875" bestFit="1" customWidth="1"/>
    <col min="700" max="702" width="12" bestFit="1" customWidth="1"/>
    <col min="703" max="703" width="10.88671875" bestFit="1" customWidth="1"/>
    <col min="704" max="704" width="8.6640625" bestFit="1" customWidth="1"/>
    <col min="705" max="705" width="12" bestFit="1" customWidth="1"/>
    <col min="706" max="706" width="10.88671875" bestFit="1" customWidth="1"/>
    <col min="707" max="707" width="10.33203125" bestFit="1" customWidth="1"/>
    <col min="708" max="708" width="10.88671875" bestFit="1" customWidth="1"/>
    <col min="709" max="709" width="9.77734375" bestFit="1" customWidth="1"/>
    <col min="710" max="710" width="10.88671875" bestFit="1" customWidth="1"/>
    <col min="711" max="711" width="9.77734375" bestFit="1" customWidth="1"/>
    <col min="712" max="713" width="10.88671875" bestFit="1" customWidth="1"/>
    <col min="714" max="714" width="12" bestFit="1" customWidth="1"/>
    <col min="715" max="715" width="10.88671875" bestFit="1" customWidth="1"/>
    <col min="716" max="716" width="8.6640625" bestFit="1" customWidth="1"/>
    <col min="717" max="718" width="10.88671875" bestFit="1" customWidth="1"/>
    <col min="719" max="721" width="12" bestFit="1" customWidth="1"/>
    <col min="722" max="722" width="9.77734375" bestFit="1" customWidth="1"/>
    <col min="723" max="725" width="10.88671875" bestFit="1" customWidth="1"/>
    <col min="726" max="726" width="12" bestFit="1" customWidth="1"/>
    <col min="727" max="727" width="9.21875" bestFit="1" customWidth="1"/>
    <col min="728" max="729" width="12" bestFit="1" customWidth="1"/>
    <col min="730" max="732" width="10.88671875" bestFit="1" customWidth="1"/>
    <col min="733" max="739" width="12" bestFit="1" customWidth="1"/>
    <col min="740" max="740" width="9.77734375" bestFit="1" customWidth="1"/>
    <col min="741" max="741" width="10.88671875" bestFit="1" customWidth="1"/>
    <col min="742" max="742" width="12" bestFit="1" customWidth="1"/>
    <col min="743" max="744" width="10.88671875" bestFit="1" customWidth="1"/>
    <col min="745" max="745" width="12" bestFit="1" customWidth="1"/>
    <col min="746" max="746" width="10.88671875" bestFit="1" customWidth="1"/>
    <col min="747" max="748" width="12" bestFit="1" customWidth="1"/>
    <col min="749" max="750" width="9.21875" bestFit="1" customWidth="1"/>
    <col min="751" max="751" width="12" bestFit="1" customWidth="1"/>
    <col min="752" max="752" width="10.88671875" bestFit="1" customWidth="1"/>
    <col min="753" max="753" width="9.77734375" bestFit="1" customWidth="1"/>
    <col min="754" max="756" width="10.88671875" bestFit="1" customWidth="1"/>
    <col min="757" max="757" width="12" bestFit="1" customWidth="1"/>
    <col min="758" max="758" width="10.88671875" bestFit="1" customWidth="1"/>
    <col min="759" max="759" width="9.77734375" bestFit="1" customWidth="1"/>
    <col min="760" max="760" width="10.88671875" bestFit="1" customWidth="1"/>
    <col min="761" max="761" width="8.109375" bestFit="1" customWidth="1"/>
    <col min="762" max="763" width="12" bestFit="1" customWidth="1"/>
    <col min="764" max="764" width="10.88671875" bestFit="1" customWidth="1"/>
    <col min="765" max="765" width="12" bestFit="1" customWidth="1"/>
    <col min="766" max="766" width="9.21875" bestFit="1" customWidth="1"/>
    <col min="767" max="767" width="10.88671875" bestFit="1" customWidth="1"/>
    <col min="768" max="768" width="9.77734375" bestFit="1" customWidth="1"/>
    <col min="769" max="769" width="12" bestFit="1" customWidth="1"/>
    <col min="770" max="771" width="10.88671875" bestFit="1" customWidth="1"/>
    <col min="772" max="772" width="12" bestFit="1" customWidth="1"/>
    <col min="773" max="773" width="9.77734375" bestFit="1" customWidth="1"/>
    <col min="774" max="776" width="10.88671875" bestFit="1" customWidth="1"/>
    <col min="777" max="777" width="12" bestFit="1" customWidth="1"/>
    <col min="778" max="778" width="7.6640625" bestFit="1" customWidth="1"/>
    <col min="779" max="779" width="12" bestFit="1" customWidth="1"/>
    <col min="780" max="780" width="9.21875" bestFit="1" customWidth="1"/>
    <col min="781" max="781" width="10.88671875" bestFit="1" customWidth="1"/>
    <col min="782" max="782" width="12" bestFit="1" customWidth="1"/>
    <col min="783" max="783" width="9.77734375" bestFit="1" customWidth="1"/>
    <col min="784" max="786" width="12" bestFit="1" customWidth="1"/>
    <col min="787" max="787" width="9.21875" bestFit="1" customWidth="1"/>
    <col min="788" max="793" width="10.88671875" bestFit="1" customWidth="1"/>
    <col min="794" max="794" width="12" bestFit="1" customWidth="1"/>
    <col min="795" max="795" width="9.77734375" bestFit="1" customWidth="1"/>
    <col min="796" max="797" width="12" bestFit="1" customWidth="1"/>
    <col min="798" max="798" width="10.88671875" bestFit="1" customWidth="1"/>
    <col min="799" max="799" width="12" bestFit="1" customWidth="1"/>
    <col min="800" max="801" width="10.88671875" bestFit="1" customWidth="1"/>
    <col min="802" max="802" width="12" bestFit="1" customWidth="1"/>
    <col min="803" max="805" width="10.88671875" bestFit="1" customWidth="1"/>
    <col min="806" max="806" width="9.77734375" bestFit="1" customWidth="1"/>
    <col min="807" max="807" width="12" bestFit="1" customWidth="1"/>
    <col min="808" max="808" width="9.77734375" bestFit="1" customWidth="1"/>
    <col min="809" max="810" width="12" bestFit="1" customWidth="1"/>
    <col min="811" max="811" width="10.88671875" bestFit="1" customWidth="1"/>
    <col min="812" max="812" width="10.33203125" bestFit="1" customWidth="1"/>
    <col min="813" max="813" width="10.88671875" bestFit="1" customWidth="1"/>
    <col min="814" max="816" width="9.77734375" bestFit="1" customWidth="1"/>
    <col min="817" max="817" width="12" bestFit="1" customWidth="1"/>
    <col min="818" max="820" width="10.88671875" bestFit="1" customWidth="1"/>
    <col min="821" max="821" width="10.33203125" bestFit="1" customWidth="1"/>
    <col min="822" max="822" width="10.88671875" bestFit="1" customWidth="1"/>
    <col min="823" max="823" width="12" bestFit="1" customWidth="1"/>
    <col min="824" max="824" width="9.77734375" bestFit="1" customWidth="1"/>
    <col min="825" max="828" width="10.88671875" bestFit="1" customWidth="1"/>
    <col min="829" max="829" width="12" bestFit="1" customWidth="1"/>
    <col min="830" max="830" width="9.77734375" bestFit="1" customWidth="1"/>
    <col min="831" max="831" width="10.88671875" bestFit="1" customWidth="1"/>
    <col min="832" max="832" width="8.6640625" bestFit="1" customWidth="1"/>
    <col min="833" max="833" width="12" bestFit="1" customWidth="1"/>
    <col min="834" max="835" width="10.88671875" bestFit="1" customWidth="1"/>
    <col min="836" max="836" width="12" bestFit="1" customWidth="1"/>
    <col min="837" max="837" width="10.33203125" bestFit="1" customWidth="1"/>
    <col min="838" max="838" width="12" bestFit="1" customWidth="1"/>
    <col min="839" max="839" width="8.6640625" bestFit="1" customWidth="1"/>
    <col min="840" max="840" width="9.77734375" bestFit="1" customWidth="1"/>
    <col min="841" max="841" width="10.88671875" bestFit="1" customWidth="1"/>
    <col min="842" max="842" width="12" bestFit="1" customWidth="1"/>
    <col min="843" max="843" width="10.33203125" bestFit="1" customWidth="1"/>
    <col min="844" max="844" width="10.88671875" bestFit="1" customWidth="1"/>
    <col min="845" max="846" width="12" bestFit="1" customWidth="1"/>
    <col min="847" max="850" width="10.88671875" bestFit="1" customWidth="1"/>
    <col min="851" max="851" width="7.6640625" bestFit="1" customWidth="1"/>
    <col min="852" max="853" width="10.88671875" bestFit="1" customWidth="1"/>
    <col min="854" max="854" width="9.77734375" bestFit="1" customWidth="1"/>
    <col min="855" max="855" width="12" bestFit="1" customWidth="1"/>
    <col min="856" max="857" width="8.6640625" bestFit="1" customWidth="1"/>
    <col min="858" max="858" width="10.33203125" bestFit="1" customWidth="1"/>
    <col min="859" max="859" width="12" bestFit="1" customWidth="1"/>
    <col min="860" max="860" width="9.21875" bestFit="1" customWidth="1"/>
    <col min="861" max="861" width="12" bestFit="1" customWidth="1"/>
    <col min="862" max="862" width="10.33203125" bestFit="1" customWidth="1"/>
    <col min="863" max="863" width="9.77734375" bestFit="1" customWidth="1"/>
    <col min="864" max="864" width="12" bestFit="1" customWidth="1"/>
    <col min="865" max="865" width="8.6640625" bestFit="1" customWidth="1"/>
    <col min="866" max="866" width="9.77734375" bestFit="1" customWidth="1"/>
    <col min="867" max="868" width="10.88671875" bestFit="1" customWidth="1"/>
    <col min="869" max="869" width="12" bestFit="1" customWidth="1"/>
    <col min="870" max="870" width="10.33203125" bestFit="1" customWidth="1"/>
    <col min="871" max="871" width="12" bestFit="1" customWidth="1"/>
    <col min="872" max="872" width="10.88671875" bestFit="1" customWidth="1"/>
    <col min="873" max="873" width="9.77734375" bestFit="1" customWidth="1"/>
    <col min="874" max="874" width="12" bestFit="1" customWidth="1"/>
    <col min="875" max="875" width="10.88671875" bestFit="1" customWidth="1"/>
    <col min="876" max="879" width="9.77734375" bestFit="1" customWidth="1"/>
    <col min="880" max="880" width="12" bestFit="1" customWidth="1"/>
    <col min="881" max="881" width="10.88671875" bestFit="1" customWidth="1"/>
    <col min="882" max="883" width="9.77734375" bestFit="1" customWidth="1"/>
    <col min="884" max="884" width="10.88671875" bestFit="1" customWidth="1"/>
    <col min="885" max="887" width="9.77734375" bestFit="1" customWidth="1"/>
    <col min="888" max="888" width="8.109375" bestFit="1" customWidth="1"/>
    <col min="889" max="889" width="9.77734375" bestFit="1" customWidth="1"/>
    <col min="890" max="890" width="10.88671875" bestFit="1" customWidth="1"/>
    <col min="891" max="891" width="12" bestFit="1" customWidth="1"/>
    <col min="892" max="892" width="10.33203125" bestFit="1" customWidth="1"/>
    <col min="893" max="893" width="12" bestFit="1" customWidth="1"/>
    <col min="894" max="894" width="10.33203125" bestFit="1" customWidth="1"/>
    <col min="895" max="895" width="10.88671875" bestFit="1" customWidth="1"/>
    <col min="896" max="896" width="10.33203125" bestFit="1" customWidth="1"/>
    <col min="897" max="897" width="10.88671875" bestFit="1" customWidth="1"/>
    <col min="898" max="898" width="9.77734375" bestFit="1" customWidth="1"/>
    <col min="899" max="902" width="10.88671875" bestFit="1" customWidth="1"/>
    <col min="903" max="904" width="12" bestFit="1" customWidth="1"/>
    <col min="905" max="905" width="10.33203125" bestFit="1" customWidth="1"/>
    <col min="906" max="906" width="12" bestFit="1" customWidth="1"/>
    <col min="907" max="907" width="9.77734375" bestFit="1" customWidth="1"/>
    <col min="908" max="908" width="10.33203125" bestFit="1" customWidth="1"/>
    <col min="909" max="910" width="10.88671875" bestFit="1" customWidth="1"/>
    <col min="911" max="911" width="12" bestFit="1" customWidth="1"/>
    <col min="912" max="912" width="9.77734375" bestFit="1" customWidth="1"/>
    <col min="913" max="913" width="9.21875" bestFit="1" customWidth="1"/>
    <col min="914" max="914" width="9.77734375" bestFit="1" customWidth="1"/>
    <col min="915" max="916" width="10.88671875" bestFit="1" customWidth="1"/>
    <col min="917" max="917" width="12" bestFit="1" customWidth="1"/>
    <col min="918" max="918" width="10.88671875" bestFit="1" customWidth="1"/>
    <col min="919" max="919" width="9.77734375" bestFit="1" customWidth="1"/>
    <col min="920" max="920" width="10.33203125" bestFit="1" customWidth="1"/>
    <col min="921" max="921" width="10.88671875" bestFit="1" customWidth="1"/>
    <col min="922" max="922" width="8.6640625" bestFit="1" customWidth="1"/>
    <col min="923" max="924" width="12" bestFit="1" customWidth="1"/>
    <col min="925" max="925" width="10.33203125" bestFit="1" customWidth="1"/>
    <col min="926" max="926" width="10.88671875" bestFit="1" customWidth="1"/>
    <col min="927" max="928" width="9.77734375" bestFit="1" customWidth="1"/>
    <col min="929" max="929" width="10.88671875" bestFit="1" customWidth="1"/>
    <col min="930" max="930" width="10.33203125" bestFit="1" customWidth="1"/>
    <col min="931" max="931" width="9.77734375" bestFit="1" customWidth="1"/>
    <col min="932" max="932" width="10.88671875" bestFit="1" customWidth="1"/>
    <col min="933" max="933" width="10.33203125" bestFit="1" customWidth="1"/>
    <col min="934" max="935" width="10.88671875" bestFit="1" customWidth="1"/>
    <col min="936" max="936" width="9.77734375" bestFit="1" customWidth="1"/>
    <col min="937" max="937" width="10.88671875" bestFit="1" customWidth="1"/>
    <col min="938" max="939" width="12" bestFit="1" customWidth="1"/>
    <col min="940" max="940" width="10.33203125" bestFit="1" customWidth="1"/>
    <col min="941" max="941" width="10.88671875" bestFit="1" customWidth="1"/>
    <col min="942" max="943" width="12" bestFit="1" customWidth="1"/>
    <col min="944" max="944" width="9.21875" bestFit="1" customWidth="1"/>
    <col min="945" max="945" width="10.33203125" bestFit="1" customWidth="1"/>
    <col min="946" max="947" width="10.88671875" bestFit="1" customWidth="1"/>
    <col min="948" max="948" width="9.77734375" bestFit="1" customWidth="1"/>
    <col min="949" max="949" width="10.88671875" bestFit="1" customWidth="1"/>
    <col min="950" max="950" width="9.77734375" bestFit="1" customWidth="1"/>
    <col min="951" max="951" width="10.88671875" bestFit="1" customWidth="1"/>
    <col min="952" max="952" width="9.77734375" bestFit="1" customWidth="1"/>
    <col min="953" max="953" width="12" bestFit="1" customWidth="1"/>
    <col min="954" max="956" width="10.88671875" bestFit="1" customWidth="1"/>
    <col min="957" max="957" width="12" bestFit="1" customWidth="1"/>
    <col min="958" max="958" width="9.77734375" bestFit="1" customWidth="1"/>
    <col min="959" max="959" width="10.88671875" bestFit="1" customWidth="1"/>
    <col min="960" max="960" width="12" bestFit="1" customWidth="1"/>
    <col min="961" max="961" width="8.6640625" bestFit="1" customWidth="1"/>
    <col min="962" max="963" width="10.88671875" bestFit="1" customWidth="1"/>
    <col min="964" max="964" width="9.77734375" bestFit="1" customWidth="1"/>
    <col min="965" max="965" width="10.33203125" bestFit="1" customWidth="1"/>
    <col min="966" max="967" width="10.88671875" bestFit="1" customWidth="1"/>
    <col min="968" max="968" width="9.77734375" bestFit="1" customWidth="1"/>
    <col min="969" max="970" width="10.88671875" bestFit="1" customWidth="1"/>
    <col min="971" max="971" width="9.77734375" bestFit="1" customWidth="1"/>
    <col min="972" max="972" width="12" bestFit="1" customWidth="1"/>
    <col min="973" max="973" width="9.77734375" bestFit="1" customWidth="1"/>
    <col min="974" max="974" width="10.88671875" bestFit="1" customWidth="1"/>
    <col min="975" max="975" width="8.6640625" bestFit="1" customWidth="1"/>
    <col min="976" max="976" width="10.88671875" bestFit="1" customWidth="1"/>
    <col min="977" max="977" width="12" bestFit="1" customWidth="1"/>
    <col min="978" max="978" width="9.77734375" bestFit="1" customWidth="1"/>
    <col min="979" max="980" width="10.88671875" bestFit="1" customWidth="1"/>
    <col min="981" max="981" width="8.6640625" bestFit="1" customWidth="1"/>
    <col min="982" max="982" width="12" bestFit="1" customWidth="1"/>
    <col min="983" max="983" width="10.88671875" bestFit="1" customWidth="1"/>
    <col min="984" max="984" width="9.77734375" bestFit="1" customWidth="1"/>
    <col min="985" max="985" width="12" bestFit="1" customWidth="1"/>
    <col min="986" max="986" width="8.6640625" bestFit="1" customWidth="1"/>
    <col min="987" max="988" width="9.77734375" bestFit="1" customWidth="1"/>
    <col min="989" max="989" width="12" bestFit="1" customWidth="1"/>
    <col min="990" max="990" width="10.88671875" bestFit="1" customWidth="1"/>
    <col min="991" max="991" width="10.33203125" bestFit="1" customWidth="1"/>
    <col min="992" max="992" width="9.77734375" bestFit="1" customWidth="1"/>
    <col min="993" max="993" width="12" bestFit="1" customWidth="1"/>
    <col min="994" max="994" width="10.88671875" bestFit="1" customWidth="1"/>
    <col min="995" max="997" width="9.77734375" bestFit="1" customWidth="1"/>
    <col min="998" max="999" width="10.33203125" bestFit="1" customWidth="1"/>
    <col min="1000" max="1000" width="10.88671875" bestFit="1" customWidth="1"/>
    <col min="1001" max="1001" width="8.6640625" bestFit="1" customWidth="1"/>
    <col min="1002" max="1002" width="12" bestFit="1" customWidth="1"/>
    <col min="1003" max="1003" width="10.33203125" bestFit="1" customWidth="1"/>
    <col min="1004" max="1004" width="10.88671875" bestFit="1" customWidth="1"/>
    <col min="1005" max="1005" width="10.33203125" bestFit="1" customWidth="1"/>
    <col min="1006" max="1006" width="12" bestFit="1" customWidth="1"/>
    <col min="1007" max="1007" width="7.6640625" bestFit="1" customWidth="1"/>
    <col min="1008" max="1008" width="10.33203125" bestFit="1" customWidth="1"/>
    <col min="1009" max="1010" width="10.88671875" bestFit="1" customWidth="1"/>
    <col min="1011" max="1011" width="9.21875" bestFit="1" customWidth="1"/>
    <col min="1012" max="1012" width="8.6640625" bestFit="1" customWidth="1"/>
    <col min="1013" max="1013" width="10.33203125" bestFit="1" customWidth="1"/>
    <col min="1014" max="1016" width="10.88671875" bestFit="1" customWidth="1"/>
    <col min="1017" max="1017" width="10.33203125" bestFit="1" customWidth="1"/>
    <col min="1018" max="1018" width="10.88671875" bestFit="1" customWidth="1"/>
    <col min="1019" max="1019" width="9.77734375" bestFit="1" customWidth="1"/>
    <col min="1020" max="1020" width="10.33203125" bestFit="1" customWidth="1"/>
    <col min="1021" max="1021" width="10.88671875" bestFit="1" customWidth="1"/>
    <col min="1022" max="1022" width="9.77734375" bestFit="1" customWidth="1"/>
    <col min="1023" max="1023" width="10.88671875" bestFit="1" customWidth="1"/>
    <col min="1024" max="1024" width="10.33203125" bestFit="1" customWidth="1"/>
    <col min="1025" max="1026" width="9.77734375" bestFit="1" customWidth="1"/>
    <col min="1027" max="1027" width="10.88671875" bestFit="1" customWidth="1"/>
    <col min="1028" max="1028" width="9.21875" bestFit="1" customWidth="1"/>
    <col min="1029" max="1030" width="10.88671875" bestFit="1" customWidth="1"/>
    <col min="1031" max="1032" width="9.77734375" bestFit="1" customWidth="1"/>
    <col min="1033" max="1034" width="10.88671875" bestFit="1" customWidth="1"/>
    <col min="1035" max="1035" width="9.77734375" bestFit="1" customWidth="1"/>
    <col min="1036" max="1036" width="10.33203125" bestFit="1" customWidth="1"/>
    <col min="1037" max="1037" width="10.88671875" bestFit="1" customWidth="1"/>
    <col min="1038" max="1038" width="8.6640625" bestFit="1" customWidth="1"/>
    <col min="1039" max="1039" width="10.88671875" bestFit="1" customWidth="1"/>
    <col min="1040" max="1040" width="9.21875" bestFit="1" customWidth="1"/>
    <col min="1041" max="1044" width="10.88671875" bestFit="1" customWidth="1"/>
    <col min="1045" max="1046" width="9.77734375" bestFit="1" customWidth="1"/>
    <col min="1047" max="1052" width="10.88671875" bestFit="1" customWidth="1"/>
    <col min="1053" max="1053" width="9.77734375" bestFit="1" customWidth="1"/>
    <col min="1054" max="1054" width="10.33203125" bestFit="1" customWidth="1"/>
    <col min="1055" max="1055" width="10.88671875" bestFit="1" customWidth="1"/>
    <col min="1056" max="1056" width="9.77734375" bestFit="1" customWidth="1"/>
    <col min="1057" max="1058" width="10.88671875" bestFit="1" customWidth="1"/>
    <col min="1059" max="1059" width="9.77734375" bestFit="1" customWidth="1"/>
    <col min="1060" max="1060" width="10.88671875" bestFit="1" customWidth="1"/>
    <col min="1061" max="1062" width="9.77734375" bestFit="1" customWidth="1"/>
    <col min="1063" max="1063" width="8.6640625" bestFit="1" customWidth="1"/>
    <col min="1064" max="1064" width="9.21875" bestFit="1" customWidth="1"/>
    <col min="1065" max="1065" width="10.33203125" bestFit="1" customWidth="1"/>
    <col min="1066" max="1067" width="10.88671875" bestFit="1" customWidth="1"/>
    <col min="1068" max="1068" width="9.77734375" bestFit="1" customWidth="1"/>
    <col min="1069" max="1069" width="7" bestFit="1" customWidth="1"/>
    <col min="1070" max="1072" width="10.88671875" bestFit="1" customWidth="1"/>
    <col min="1073" max="1073" width="9.77734375" bestFit="1" customWidth="1"/>
    <col min="1074" max="1076" width="10.88671875" bestFit="1" customWidth="1"/>
    <col min="1077" max="1077" width="8.6640625" bestFit="1" customWidth="1"/>
    <col min="1078" max="1079" width="10.88671875" bestFit="1" customWidth="1"/>
    <col min="1080" max="1080" width="12" bestFit="1" customWidth="1"/>
    <col min="1081" max="1081" width="9.21875" bestFit="1" customWidth="1"/>
    <col min="1082" max="1082" width="10.88671875" bestFit="1" customWidth="1"/>
    <col min="1083" max="1084" width="9.77734375" bestFit="1" customWidth="1"/>
    <col min="1085" max="1086" width="10.88671875" bestFit="1" customWidth="1"/>
    <col min="1087" max="1087" width="12" bestFit="1" customWidth="1"/>
    <col min="1088" max="1089" width="10.88671875" bestFit="1" customWidth="1"/>
    <col min="1090" max="1090" width="12" bestFit="1" customWidth="1"/>
    <col min="1091" max="1093" width="9.77734375" bestFit="1" customWidth="1"/>
    <col min="1094" max="1094" width="12" bestFit="1" customWidth="1"/>
    <col min="1095" max="1095" width="10.88671875" bestFit="1" customWidth="1"/>
    <col min="1096" max="1097" width="9.77734375" bestFit="1" customWidth="1"/>
    <col min="1098" max="1101" width="10.88671875" bestFit="1" customWidth="1"/>
    <col min="1102" max="1102" width="9.77734375" bestFit="1" customWidth="1"/>
    <col min="1103" max="1103" width="10.88671875" bestFit="1" customWidth="1"/>
    <col min="1104" max="1104" width="8.6640625" bestFit="1" customWidth="1"/>
    <col min="1105" max="1105" width="10.88671875" bestFit="1" customWidth="1"/>
    <col min="1106" max="1107" width="8.6640625" bestFit="1" customWidth="1"/>
    <col min="1108" max="1109" width="9.77734375" bestFit="1" customWidth="1"/>
    <col min="1110" max="1110" width="10.88671875" bestFit="1" customWidth="1"/>
    <col min="1111" max="1111" width="9.77734375" bestFit="1" customWidth="1"/>
    <col min="1112" max="1112" width="12" bestFit="1" customWidth="1"/>
    <col min="1113" max="1113" width="10.88671875" bestFit="1" customWidth="1"/>
    <col min="1114" max="1114" width="9.77734375" bestFit="1" customWidth="1"/>
    <col min="1115" max="1116" width="10.88671875" bestFit="1" customWidth="1"/>
    <col min="1117" max="1118" width="9.77734375" bestFit="1" customWidth="1"/>
    <col min="1119" max="1119" width="12" bestFit="1" customWidth="1"/>
    <col min="1120" max="1120" width="9.77734375" bestFit="1" customWidth="1"/>
    <col min="1121" max="1122" width="10.88671875" bestFit="1" customWidth="1"/>
    <col min="1123" max="1123" width="12" bestFit="1" customWidth="1"/>
    <col min="1124" max="1124" width="9.77734375" bestFit="1" customWidth="1"/>
    <col min="1125" max="1125" width="12" bestFit="1" customWidth="1"/>
    <col min="1126" max="1126" width="9.77734375" bestFit="1" customWidth="1"/>
    <col min="1127" max="1127" width="12" bestFit="1" customWidth="1"/>
    <col min="1128" max="1129" width="10.88671875" bestFit="1" customWidth="1"/>
    <col min="1130" max="1130" width="10.33203125" bestFit="1" customWidth="1"/>
    <col min="1131" max="1131" width="9.77734375" bestFit="1" customWidth="1"/>
    <col min="1132" max="1132" width="10.88671875" bestFit="1" customWidth="1"/>
    <col min="1133" max="1133" width="12" bestFit="1" customWidth="1"/>
    <col min="1134" max="1134" width="10.88671875" bestFit="1" customWidth="1"/>
    <col min="1135" max="1135" width="9.77734375" bestFit="1" customWidth="1"/>
    <col min="1136" max="1136" width="12" bestFit="1" customWidth="1"/>
    <col min="1137" max="1137" width="10.88671875" bestFit="1" customWidth="1"/>
    <col min="1138" max="1138" width="8.6640625" bestFit="1" customWidth="1"/>
    <col min="1139" max="1139" width="12" bestFit="1" customWidth="1"/>
    <col min="1140" max="1142" width="9.77734375" bestFit="1" customWidth="1"/>
    <col min="1143" max="1143" width="12" bestFit="1" customWidth="1"/>
    <col min="1144" max="1144" width="9.21875" bestFit="1" customWidth="1"/>
    <col min="1145" max="1146" width="10.88671875" bestFit="1" customWidth="1"/>
    <col min="1147" max="1149" width="12" bestFit="1" customWidth="1"/>
    <col min="1150" max="1151" width="9.77734375" bestFit="1" customWidth="1"/>
    <col min="1152" max="1152" width="8.6640625" bestFit="1" customWidth="1"/>
    <col min="1153" max="1153" width="9.77734375" bestFit="1" customWidth="1"/>
    <col min="1154" max="1154" width="12" bestFit="1" customWidth="1"/>
    <col min="1155" max="1155" width="9.77734375" bestFit="1" customWidth="1"/>
    <col min="1156" max="1156" width="10.88671875" bestFit="1" customWidth="1"/>
    <col min="1157" max="1157" width="12" bestFit="1" customWidth="1"/>
    <col min="1158" max="1158" width="10.88671875" bestFit="1" customWidth="1"/>
    <col min="1159" max="1159" width="12" bestFit="1" customWidth="1"/>
    <col min="1160" max="1160" width="10.88671875" bestFit="1" customWidth="1"/>
    <col min="1161" max="1163" width="9.77734375" bestFit="1" customWidth="1"/>
    <col min="1164" max="1166" width="12" bestFit="1" customWidth="1"/>
    <col min="1167" max="1167" width="8.6640625" bestFit="1" customWidth="1"/>
    <col min="1168" max="1170" width="10.88671875" bestFit="1" customWidth="1"/>
    <col min="1171" max="1171" width="9.21875" bestFit="1" customWidth="1"/>
    <col min="1172" max="1172" width="10.88671875" bestFit="1" customWidth="1"/>
    <col min="1173" max="1174" width="12" bestFit="1" customWidth="1"/>
    <col min="1175" max="1177" width="10.88671875" bestFit="1" customWidth="1"/>
    <col min="1178" max="1178" width="12" bestFit="1" customWidth="1"/>
    <col min="1179" max="1179" width="10.88671875" bestFit="1" customWidth="1"/>
    <col min="1180" max="1180" width="9.21875" bestFit="1" customWidth="1"/>
    <col min="1181" max="1181" width="9.77734375" bestFit="1" customWidth="1"/>
    <col min="1182" max="1182" width="12" bestFit="1" customWidth="1"/>
    <col min="1183" max="1183" width="10.88671875" bestFit="1" customWidth="1"/>
    <col min="1184" max="1184" width="12" bestFit="1" customWidth="1"/>
    <col min="1185" max="1185" width="10.88671875" bestFit="1" customWidth="1"/>
    <col min="1186" max="1186" width="12" bestFit="1" customWidth="1"/>
    <col min="1187" max="1187" width="9.77734375" bestFit="1" customWidth="1"/>
    <col min="1188" max="1190" width="12" bestFit="1" customWidth="1"/>
    <col min="1191" max="1192" width="10.88671875" bestFit="1" customWidth="1"/>
    <col min="1193" max="1195" width="12" bestFit="1" customWidth="1"/>
    <col min="1196" max="1198" width="10.88671875" bestFit="1" customWidth="1"/>
    <col min="1199" max="1199" width="12" bestFit="1" customWidth="1"/>
    <col min="1200" max="1203" width="10.88671875" bestFit="1" customWidth="1"/>
    <col min="1204" max="1204" width="8.109375" bestFit="1" customWidth="1"/>
    <col min="1205" max="1206" width="10.88671875" bestFit="1" customWidth="1"/>
    <col min="1207" max="1207" width="9.77734375" bestFit="1" customWidth="1"/>
    <col min="1208" max="1208" width="12" bestFit="1" customWidth="1"/>
    <col min="1209" max="1209" width="9.77734375" bestFit="1" customWidth="1"/>
    <col min="1210" max="1211" width="12" bestFit="1" customWidth="1"/>
    <col min="1212" max="1214" width="10.88671875" bestFit="1" customWidth="1"/>
    <col min="1215" max="1215" width="8.6640625" bestFit="1" customWidth="1"/>
    <col min="1216" max="1216" width="12" bestFit="1" customWidth="1"/>
    <col min="1217" max="1217" width="10.88671875" bestFit="1" customWidth="1"/>
    <col min="1218" max="1218" width="12" bestFit="1" customWidth="1"/>
    <col min="1219" max="1219" width="9.77734375" bestFit="1" customWidth="1"/>
    <col min="1220" max="1220" width="12" bestFit="1" customWidth="1"/>
    <col min="1221" max="1222" width="10.88671875" bestFit="1" customWidth="1"/>
    <col min="1223" max="1223" width="8.6640625" bestFit="1" customWidth="1"/>
    <col min="1224" max="1224" width="10.88671875" bestFit="1" customWidth="1"/>
    <col min="1225" max="1226" width="12" bestFit="1" customWidth="1"/>
    <col min="1227" max="1227" width="10.88671875" bestFit="1" customWidth="1"/>
    <col min="1228" max="1228" width="9.77734375" bestFit="1" customWidth="1"/>
    <col min="1229" max="1230" width="10.88671875" bestFit="1" customWidth="1"/>
    <col min="1231" max="1232" width="9.21875" bestFit="1" customWidth="1"/>
    <col min="1233" max="1238" width="12" bestFit="1" customWidth="1"/>
    <col min="1239" max="1239" width="10.88671875" bestFit="1" customWidth="1"/>
    <col min="1240" max="1240" width="12" bestFit="1" customWidth="1"/>
    <col min="1241" max="1241" width="9.77734375" bestFit="1" customWidth="1"/>
    <col min="1242" max="1242" width="12" bestFit="1" customWidth="1"/>
    <col min="1243" max="1243" width="10.88671875" bestFit="1" customWidth="1"/>
    <col min="1244" max="1244" width="12" bestFit="1" customWidth="1"/>
    <col min="1245" max="1245" width="9.77734375" bestFit="1" customWidth="1"/>
    <col min="1246" max="1247" width="12" bestFit="1" customWidth="1"/>
    <col min="1248" max="1248" width="10.88671875" bestFit="1" customWidth="1"/>
    <col min="1249" max="1249" width="9.77734375" bestFit="1" customWidth="1"/>
    <col min="1250" max="1252" width="12" bestFit="1" customWidth="1"/>
    <col min="1253" max="1253" width="8.109375" bestFit="1" customWidth="1"/>
    <col min="1254" max="1257" width="12" bestFit="1" customWidth="1"/>
    <col min="1258" max="1261" width="10.88671875" bestFit="1" customWidth="1"/>
    <col min="1262" max="1262" width="9.77734375" bestFit="1" customWidth="1"/>
    <col min="1263" max="1264" width="12" bestFit="1" customWidth="1"/>
    <col min="1265" max="1265" width="10.88671875" bestFit="1" customWidth="1"/>
    <col min="1266" max="1266" width="7.6640625" bestFit="1" customWidth="1"/>
    <col min="1267" max="1269" width="12" bestFit="1" customWidth="1"/>
    <col min="1270" max="1270" width="10.88671875" bestFit="1" customWidth="1"/>
    <col min="1271" max="1271" width="12" bestFit="1" customWidth="1"/>
    <col min="1272" max="1272" width="10.88671875" bestFit="1" customWidth="1"/>
    <col min="1273" max="1273" width="10.33203125" bestFit="1" customWidth="1"/>
    <col min="1274" max="1274" width="10.88671875" bestFit="1" customWidth="1"/>
    <col min="1275" max="1276" width="12" bestFit="1" customWidth="1"/>
    <col min="1277" max="1277" width="10.88671875" bestFit="1" customWidth="1"/>
    <col min="1278" max="1278" width="12" bestFit="1" customWidth="1"/>
    <col min="1279" max="1279" width="9.77734375" bestFit="1" customWidth="1"/>
    <col min="1280" max="1280" width="10.88671875" bestFit="1" customWidth="1"/>
    <col min="1281" max="1282" width="12" bestFit="1" customWidth="1"/>
    <col min="1283" max="1283" width="10.88671875" bestFit="1" customWidth="1"/>
    <col min="1284" max="1287" width="12" bestFit="1" customWidth="1"/>
    <col min="1288" max="1290" width="10.88671875" bestFit="1" customWidth="1"/>
    <col min="1291" max="1291" width="9.77734375" bestFit="1" customWidth="1"/>
    <col min="1292" max="1292" width="12" bestFit="1" customWidth="1"/>
    <col min="1293" max="1293" width="10.88671875" bestFit="1" customWidth="1"/>
    <col min="1294" max="1294" width="12" bestFit="1" customWidth="1"/>
    <col min="1295" max="1298" width="10.88671875" bestFit="1" customWidth="1"/>
    <col min="1299" max="1299" width="9.77734375" bestFit="1" customWidth="1"/>
    <col min="1300" max="1300" width="12" bestFit="1" customWidth="1"/>
    <col min="1301" max="1301" width="10.88671875" bestFit="1" customWidth="1"/>
    <col min="1302" max="1302" width="9.77734375" bestFit="1" customWidth="1"/>
    <col min="1303" max="1303" width="12" bestFit="1" customWidth="1"/>
    <col min="1304" max="1305" width="9.77734375" bestFit="1" customWidth="1"/>
    <col min="1306" max="1306" width="10.88671875" bestFit="1" customWidth="1"/>
    <col min="1307" max="1307" width="12" bestFit="1" customWidth="1"/>
    <col min="1308" max="1308" width="9.77734375" bestFit="1" customWidth="1"/>
    <col min="1309" max="1309" width="10.88671875" bestFit="1" customWidth="1"/>
    <col min="1310" max="1310" width="12" bestFit="1" customWidth="1"/>
    <col min="1311" max="1311" width="10.88671875" bestFit="1" customWidth="1"/>
    <col min="1312" max="1312" width="12" bestFit="1" customWidth="1"/>
    <col min="1313" max="1315" width="10.88671875" bestFit="1" customWidth="1"/>
    <col min="1316" max="1316" width="8.6640625" bestFit="1" customWidth="1"/>
    <col min="1317" max="1318" width="10.88671875" bestFit="1" customWidth="1"/>
    <col min="1319" max="1320" width="12" bestFit="1" customWidth="1"/>
    <col min="1321" max="1323" width="10.88671875" bestFit="1" customWidth="1"/>
    <col min="1324" max="1324" width="9.77734375" bestFit="1" customWidth="1"/>
    <col min="1325" max="1325" width="10.88671875" bestFit="1" customWidth="1"/>
    <col min="1326" max="1326" width="9.77734375" bestFit="1" customWidth="1"/>
    <col min="1327" max="1328" width="12" bestFit="1" customWidth="1"/>
    <col min="1329" max="1330" width="10.88671875" bestFit="1" customWidth="1"/>
    <col min="1331" max="1331" width="10.33203125" bestFit="1" customWidth="1"/>
    <col min="1332" max="1332" width="10.88671875" bestFit="1" customWidth="1"/>
    <col min="1333" max="1333" width="12" bestFit="1" customWidth="1"/>
    <col min="1334" max="1334" width="10.88671875" bestFit="1" customWidth="1"/>
    <col min="1335" max="1335" width="9.77734375" bestFit="1" customWidth="1"/>
    <col min="1336" max="1336" width="10.88671875" bestFit="1" customWidth="1"/>
    <col min="1337" max="1337" width="12" bestFit="1" customWidth="1"/>
    <col min="1338" max="1338" width="16.33203125" bestFit="1" customWidth="1"/>
    <col min="1339" max="1339" width="10.33203125" bestFit="1" customWidth="1"/>
    <col min="1340" max="1340" width="11.33203125" bestFit="1" customWidth="1"/>
    <col min="1341" max="1341" width="8.109375" bestFit="1" customWidth="1"/>
    <col min="1342" max="1342" width="10.33203125" bestFit="1" customWidth="1"/>
    <col min="1343" max="1344" width="9.21875" bestFit="1" customWidth="1"/>
    <col min="1345" max="1345" width="11.33203125" bestFit="1" customWidth="1"/>
    <col min="1346" max="1346" width="9.21875" bestFit="1" customWidth="1"/>
    <col min="1347" max="1347" width="10.33203125" bestFit="1" customWidth="1"/>
    <col min="1348" max="1348" width="11.33203125" bestFit="1" customWidth="1"/>
    <col min="1349" max="1349" width="10.33203125" bestFit="1" customWidth="1"/>
    <col min="1350" max="1350" width="11.33203125" bestFit="1" customWidth="1"/>
    <col min="1351" max="1352" width="10.33203125" bestFit="1" customWidth="1"/>
    <col min="1353" max="1354" width="11.33203125" bestFit="1" customWidth="1"/>
    <col min="1355" max="1357" width="10.33203125" bestFit="1" customWidth="1"/>
    <col min="1358" max="1361" width="11.33203125" bestFit="1" customWidth="1"/>
    <col min="1362" max="1362" width="10.33203125" bestFit="1" customWidth="1"/>
    <col min="1363" max="1363" width="8.109375" bestFit="1" customWidth="1"/>
    <col min="1364" max="1364" width="11.33203125" bestFit="1" customWidth="1"/>
    <col min="1365" max="1365" width="10.33203125" bestFit="1" customWidth="1"/>
    <col min="1366" max="1367" width="11.33203125" bestFit="1" customWidth="1"/>
    <col min="1368" max="1368" width="9.21875" bestFit="1" customWidth="1"/>
    <col min="1369" max="1369" width="10.88671875" bestFit="1" customWidth="1"/>
    <col min="1370" max="1372" width="11.33203125" bestFit="1" customWidth="1"/>
    <col min="1373" max="1373" width="10.33203125" bestFit="1" customWidth="1"/>
    <col min="1374" max="1374" width="11.33203125" bestFit="1" customWidth="1"/>
    <col min="1375" max="1376" width="10.33203125" bestFit="1" customWidth="1"/>
    <col min="1377" max="1377" width="11.33203125" bestFit="1" customWidth="1"/>
    <col min="1378" max="1378" width="10.88671875" bestFit="1" customWidth="1"/>
    <col min="1379" max="1379" width="10.33203125" bestFit="1" customWidth="1"/>
    <col min="1380" max="1380" width="9.21875" bestFit="1" customWidth="1"/>
    <col min="1381" max="1382" width="11.33203125" bestFit="1" customWidth="1"/>
    <col min="1383" max="1383" width="10.33203125" bestFit="1" customWidth="1"/>
    <col min="1384" max="1386" width="11.33203125" bestFit="1" customWidth="1"/>
    <col min="1387" max="1387" width="9.21875" bestFit="1" customWidth="1"/>
    <col min="1388" max="1392" width="11.33203125" bestFit="1" customWidth="1"/>
    <col min="1393" max="1393" width="10.33203125" bestFit="1" customWidth="1"/>
    <col min="1394" max="1400" width="11.33203125" bestFit="1" customWidth="1"/>
    <col min="1401" max="1401" width="9.21875" bestFit="1" customWidth="1"/>
    <col min="1402" max="1403" width="11.33203125" bestFit="1" customWidth="1"/>
    <col min="1404" max="1405" width="10.33203125" bestFit="1" customWidth="1"/>
    <col min="1406" max="1406" width="9.77734375" bestFit="1" customWidth="1"/>
    <col min="1407" max="1408" width="11.33203125" bestFit="1" customWidth="1"/>
    <col min="1409" max="1412" width="10.33203125" bestFit="1" customWidth="1"/>
    <col min="1413" max="1414" width="11.33203125" bestFit="1" customWidth="1"/>
    <col min="1415" max="1416" width="10.33203125" bestFit="1" customWidth="1"/>
    <col min="1417" max="1417" width="9.77734375" bestFit="1" customWidth="1"/>
    <col min="1418" max="1418" width="10.88671875" bestFit="1" customWidth="1"/>
    <col min="1419" max="1419" width="10.33203125" bestFit="1" customWidth="1"/>
    <col min="1420" max="1420" width="11.33203125" bestFit="1" customWidth="1"/>
    <col min="1421" max="1421" width="9.21875" bestFit="1" customWidth="1"/>
    <col min="1422" max="1422" width="11.33203125" bestFit="1" customWidth="1"/>
    <col min="1423" max="1423" width="10.88671875" bestFit="1" customWidth="1"/>
    <col min="1424" max="1424" width="11.33203125" bestFit="1" customWidth="1"/>
    <col min="1425" max="1425" width="10.33203125" bestFit="1" customWidth="1"/>
    <col min="1426" max="1427" width="11.33203125" bestFit="1" customWidth="1"/>
    <col min="1428" max="1429" width="10.33203125" bestFit="1" customWidth="1"/>
    <col min="1430" max="1430" width="11.33203125" bestFit="1" customWidth="1"/>
    <col min="1431" max="1431" width="10.88671875" bestFit="1" customWidth="1"/>
    <col min="1432" max="1432" width="11.33203125" bestFit="1" customWidth="1"/>
    <col min="1433" max="1434" width="9.77734375" bestFit="1" customWidth="1"/>
    <col min="1435" max="1438" width="11.33203125" bestFit="1" customWidth="1"/>
    <col min="1439" max="1439" width="9.21875" bestFit="1" customWidth="1"/>
    <col min="1440" max="1440" width="8.6640625" bestFit="1" customWidth="1"/>
    <col min="1441" max="1442" width="11.33203125" bestFit="1" customWidth="1"/>
    <col min="1443" max="1443" width="8.6640625" bestFit="1" customWidth="1"/>
    <col min="1444" max="1444" width="11.33203125" bestFit="1" customWidth="1"/>
    <col min="1445" max="1445" width="10.33203125" bestFit="1" customWidth="1"/>
    <col min="1446" max="1447" width="11.33203125" bestFit="1" customWidth="1"/>
    <col min="1448" max="1448" width="9.21875" bestFit="1" customWidth="1"/>
    <col min="1449" max="1449" width="11.33203125" bestFit="1" customWidth="1"/>
    <col min="1450" max="1451" width="10.33203125" bestFit="1" customWidth="1"/>
    <col min="1452" max="1452" width="8.6640625" bestFit="1" customWidth="1"/>
    <col min="1453" max="1453" width="11.33203125" bestFit="1" customWidth="1"/>
    <col min="1454" max="1455" width="10.33203125" bestFit="1" customWidth="1"/>
    <col min="1456" max="1456" width="9.21875" bestFit="1" customWidth="1"/>
    <col min="1457" max="1457" width="11.33203125" bestFit="1" customWidth="1"/>
    <col min="1458" max="1459" width="10.33203125" bestFit="1" customWidth="1"/>
    <col min="1460" max="1460" width="9.21875" bestFit="1" customWidth="1"/>
    <col min="1461" max="1461" width="10.33203125" bestFit="1" customWidth="1"/>
    <col min="1462" max="1462" width="11.33203125" bestFit="1" customWidth="1"/>
    <col min="1463" max="1463" width="10.33203125" bestFit="1" customWidth="1"/>
    <col min="1464" max="1464" width="11.33203125" bestFit="1" customWidth="1"/>
    <col min="1465" max="1465" width="10.33203125" bestFit="1" customWidth="1"/>
    <col min="1466" max="1466" width="9.21875" bestFit="1" customWidth="1"/>
    <col min="1467" max="1467" width="9.77734375" bestFit="1" customWidth="1"/>
    <col min="1468" max="1469" width="11.33203125" bestFit="1" customWidth="1"/>
    <col min="1470" max="1470" width="9.21875" bestFit="1" customWidth="1"/>
    <col min="1471" max="1471" width="11.33203125" bestFit="1" customWidth="1"/>
    <col min="1472" max="1473" width="10.33203125" bestFit="1" customWidth="1"/>
    <col min="1474" max="1474" width="11.33203125" bestFit="1" customWidth="1"/>
    <col min="1475" max="1476" width="10.33203125" bestFit="1" customWidth="1"/>
    <col min="1477" max="1477" width="11.33203125" bestFit="1" customWidth="1"/>
    <col min="1478" max="1478" width="9.77734375" bestFit="1" customWidth="1"/>
    <col min="1479" max="1479" width="10.33203125" bestFit="1" customWidth="1"/>
    <col min="1480" max="1482" width="11.33203125" bestFit="1" customWidth="1"/>
    <col min="1483" max="1483" width="10.33203125" bestFit="1" customWidth="1"/>
    <col min="1484" max="1487" width="11.33203125" bestFit="1" customWidth="1"/>
    <col min="1488" max="1488" width="9.77734375" bestFit="1" customWidth="1"/>
    <col min="1489" max="1489" width="10.33203125" bestFit="1" customWidth="1"/>
    <col min="1490" max="1490" width="8.109375" bestFit="1" customWidth="1"/>
    <col min="1491" max="1491" width="10.33203125" bestFit="1" customWidth="1"/>
    <col min="1492" max="1492" width="10.88671875" bestFit="1" customWidth="1"/>
    <col min="1493" max="1499" width="11.33203125" bestFit="1" customWidth="1"/>
    <col min="1500" max="1503" width="10.33203125" bestFit="1" customWidth="1"/>
    <col min="1504" max="1504" width="10.88671875" bestFit="1" customWidth="1"/>
    <col min="1505" max="1505" width="9.77734375" bestFit="1" customWidth="1"/>
    <col min="1506" max="1506" width="11.33203125" bestFit="1" customWidth="1"/>
    <col min="1507" max="1507" width="9.77734375" bestFit="1" customWidth="1"/>
    <col min="1508" max="1508" width="10.33203125" bestFit="1" customWidth="1"/>
    <col min="1509" max="1510" width="11.33203125" bestFit="1" customWidth="1"/>
    <col min="1511" max="1512" width="10.88671875" bestFit="1" customWidth="1"/>
    <col min="1513" max="1514" width="10.33203125" bestFit="1" customWidth="1"/>
    <col min="1515" max="1517" width="11.33203125" bestFit="1" customWidth="1"/>
    <col min="1518" max="1518" width="10.33203125" bestFit="1" customWidth="1"/>
    <col min="1519" max="1519" width="9.77734375" bestFit="1" customWidth="1"/>
    <col min="1520" max="1520" width="7.6640625" bestFit="1" customWidth="1"/>
    <col min="1521" max="1521" width="11.33203125" bestFit="1" customWidth="1"/>
    <col min="1522" max="1522" width="10.33203125" bestFit="1" customWidth="1"/>
    <col min="1523" max="1523" width="9.21875" bestFit="1" customWidth="1"/>
    <col min="1524" max="1524" width="10.33203125" bestFit="1" customWidth="1"/>
    <col min="1525" max="1529" width="11.33203125" bestFit="1" customWidth="1"/>
    <col min="1530" max="1530" width="10.88671875" bestFit="1" customWidth="1"/>
    <col min="1531" max="1533" width="10.33203125" bestFit="1" customWidth="1"/>
    <col min="1534" max="1534" width="11.33203125" bestFit="1" customWidth="1"/>
    <col min="1535" max="1535" width="10.88671875" bestFit="1" customWidth="1"/>
    <col min="1536" max="1537" width="10.33203125" bestFit="1" customWidth="1"/>
    <col min="1538" max="1538" width="10.88671875" bestFit="1" customWidth="1"/>
    <col min="1539" max="1539" width="11.33203125" bestFit="1" customWidth="1"/>
    <col min="1540" max="1540" width="10.33203125" bestFit="1" customWidth="1"/>
    <col min="1541" max="1541" width="10.88671875" bestFit="1" customWidth="1"/>
    <col min="1542" max="1542" width="11.33203125" bestFit="1" customWidth="1"/>
    <col min="1543" max="1543" width="10.88671875" bestFit="1" customWidth="1"/>
    <col min="1544" max="1544" width="10.33203125" bestFit="1" customWidth="1"/>
    <col min="1545" max="1545" width="12" bestFit="1" customWidth="1"/>
    <col min="1546" max="1546" width="8.6640625" bestFit="1" customWidth="1"/>
    <col min="1547" max="1547" width="11.33203125" bestFit="1" customWidth="1"/>
    <col min="1548" max="1548" width="10.33203125" bestFit="1" customWidth="1"/>
    <col min="1549" max="1549" width="11.33203125" bestFit="1" customWidth="1"/>
    <col min="1550" max="1552" width="10.88671875" bestFit="1" customWidth="1"/>
    <col min="1553" max="1553" width="11.33203125" bestFit="1" customWidth="1"/>
    <col min="1554" max="1556" width="10.33203125" bestFit="1" customWidth="1"/>
    <col min="1557" max="1558" width="11.33203125" bestFit="1" customWidth="1"/>
    <col min="1559" max="1559" width="8.6640625" bestFit="1" customWidth="1"/>
    <col min="1560" max="1560" width="11.33203125" bestFit="1" customWidth="1"/>
    <col min="1561" max="1561" width="10.88671875" bestFit="1" customWidth="1"/>
    <col min="1562" max="1562" width="10.33203125" bestFit="1" customWidth="1"/>
    <col min="1563" max="1563" width="11.33203125" bestFit="1" customWidth="1"/>
    <col min="1564" max="1564" width="10.88671875" bestFit="1" customWidth="1"/>
    <col min="1565" max="1565" width="11.33203125" bestFit="1" customWidth="1"/>
    <col min="1566" max="1566" width="12" bestFit="1" customWidth="1"/>
    <col min="1567" max="1567" width="11.33203125" bestFit="1" customWidth="1"/>
    <col min="1568" max="1568" width="10.88671875" bestFit="1" customWidth="1"/>
    <col min="1569" max="1570" width="11.33203125" bestFit="1" customWidth="1"/>
    <col min="1571" max="1571" width="10.88671875" bestFit="1" customWidth="1"/>
    <col min="1572" max="1573" width="10.33203125" bestFit="1" customWidth="1"/>
    <col min="1574" max="1574" width="11.33203125" bestFit="1" customWidth="1"/>
    <col min="1575" max="1576" width="10.33203125" bestFit="1" customWidth="1"/>
    <col min="1577" max="1577" width="12" bestFit="1" customWidth="1"/>
    <col min="1578" max="1578" width="10.33203125" bestFit="1" customWidth="1"/>
    <col min="1579" max="1579" width="9.21875" bestFit="1" customWidth="1"/>
    <col min="1580" max="1581" width="10.33203125" bestFit="1" customWidth="1"/>
    <col min="1582" max="1583" width="11.33203125" bestFit="1" customWidth="1"/>
    <col min="1584" max="1584" width="10.33203125" bestFit="1" customWidth="1"/>
    <col min="1585" max="1585" width="11.33203125" bestFit="1" customWidth="1"/>
    <col min="1586" max="1586" width="10.33203125" bestFit="1" customWidth="1"/>
    <col min="1587" max="1588" width="10.88671875" bestFit="1" customWidth="1"/>
    <col min="1589" max="1590" width="10.33203125" bestFit="1" customWidth="1"/>
    <col min="1591" max="1591" width="9.77734375" bestFit="1" customWidth="1"/>
    <col min="1592" max="1592" width="9.21875" bestFit="1" customWidth="1"/>
    <col min="1593" max="1593" width="11.33203125" bestFit="1" customWidth="1"/>
    <col min="1594" max="1594" width="10.88671875" bestFit="1" customWidth="1"/>
    <col min="1595" max="1595" width="11.33203125" bestFit="1" customWidth="1"/>
    <col min="1596" max="1596" width="9.77734375" bestFit="1" customWidth="1"/>
    <col min="1597" max="1597" width="9.21875" bestFit="1" customWidth="1"/>
    <col min="1598" max="1598" width="10.33203125" bestFit="1" customWidth="1"/>
    <col min="1599" max="1599" width="10.88671875" bestFit="1" customWidth="1"/>
    <col min="1600" max="1600" width="11.33203125" bestFit="1" customWidth="1"/>
    <col min="1601" max="1602" width="10.88671875" bestFit="1" customWidth="1"/>
    <col min="1603" max="1603" width="9.21875" bestFit="1" customWidth="1"/>
    <col min="1604" max="1604" width="10.88671875" bestFit="1" customWidth="1"/>
    <col min="1605" max="1605" width="11.33203125" bestFit="1" customWidth="1"/>
    <col min="1606" max="1607" width="10.33203125" bestFit="1" customWidth="1"/>
    <col min="1608" max="1608" width="11.33203125" bestFit="1" customWidth="1"/>
    <col min="1609" max="1609" width="10.33203125" bestFit="1" customWidth="1"/>
    <col min="1610" max="1610" width="10.88671875" bestFit="1" customWidth="1"/>
    <col min="1611" max="1611" width="11.33203125" bestFit="1" customWidth="1"/>
    <col min="1612" max="1612" width="10.33203125" bestFit="1" customWidth="1"/>
    <col min="1613" max="1613" width="11.33203125" bestFit="1" customWidth="1"/>
    <col min="1614" max="1614" width="10.88671875" bestFit="1" customWidth="1"/>
    <col min="1615" max="1615" width="10.33203125" bestFit="1" customWidth="1"/>
    <col min="1616" max="1618" width="12" bestFit="1" customWidth="1"/>
    <col min="1619" max="1619" width="11.33203125" bestFit="1" customWidth="1"/>
    <col min="1620" max="1620" width="10.88671875" bestFit="1" customWidth="1"/>
    <col min="1621" max="1621" width="10.33203125" bestFit="1" customWidth="1"/>
    <col min="1622" max="1622" width="12" bestFit="1" customWidth="1"/>
    <col min="1623" max="1623" width="8.6640625" bestFit="1" customWidth="1"/>
    <col min="1624" max="1624" width="10.33203125" bestFit="1" customWidth="1"/>
    <col min="1625" max="1626" width="10.88671875" bestFit="1" customWidth="1"/>
    <col min="1627" max="1627" width="12" bestFit="1" customWidth="1"/>
    <col min="1628" max="1630" width="10.33203125" bestFit="1" customWidth="1"/>
    <col min="1631" max="1631" width="8.6640625" bestFit="1" customWidth="1"/>
    <col min="1632" max="1632" width="9.21875" bestFit="1" customWidth="1"/>
    <col min="1633" max="1633" width="10.88671875" bestFit="1" customWidth="1"/>
    <col min="1634" max="1634" width="12" bestFit="1" customWidth="1"/>
    <col min="1635" max="1638" width="10.33203125" bestFit="1" customWidth="1"/>
    <col min="1639" max="1641" width="11.33203125" bestFit="1" customWidth="1"/>
    <col min="1642" max="1642" width="12" bestFit="1" customWidth="1"/>
    <col min="1643" max="1643" width="10.33203125" bestFit="1" customWidth="1"/>
    <col min="1644" max="1644" width="10.88671875" bestFit="1" customWidth="1"/>
    <col min="1645" max="1645" width="11.33203125" bestFit="1" customWidth="1"/>
    <col min="1646" max="1646" width="10.33203125" bestFit="1" customWidth="1"/>
    <col min="1647" max="1647" width="9.77734375" bestFit="1" customWidth="1"/>
    <col min="1648" max="1649" width="10.88671875" bestFit="1" customWidth="1"/>
    <col min="1650" max="1650" width="11.33203125" bestFit="1" customWidth="1"/>
    <col min="1651" max="1651" width="10.88671875" bestFit="1" customWidth="1"/>
    <col min="1652" max="1652" width="9.21875" bestFit="1" customWidth="1"/>
    <col min="1653" max="1653" width="10.88671875" bestFit="1" customWidth="1"/>
    <col min="1654" max="1654" width="11.33203125" bestFit="1" customWidth="1"/>
    <col min="1655" max="1655" width="10.88671875" bestFit="1" customWidth="1"/>
    <col min="1656" max="1656" width="9.21875" bestFit="1" customWidth="1"/>
    <col min="1657" max="1657" width="10.88671875" bestFit="1" customWidth="1"/>
    <col min="1658" max="1658" width="9.77734375" bestFit="1" customWidth="1"/>
    <col min="1659" max="1659" width="12" bestFit="1" customWidth="1"/>
    <col min="1660" max="1661" width="10.88671875" bestFit="1" customWidth="1"/>
    <col min="1662" max="1662" width="9.77734375" bestFit="1" customWidth="1"/>
    <col min="1663" max="1663" width="10.88671875" bestFit="1" customWidth="1"/>
    <col min="1664" max="1664" width="8.6640625" bestFit="1" customWidth="1"/>
    <col min="1665" max="1665" width="12" bestFit="1" customWidth="1"/>
    <col min="1666" max="1667" width="10.88671875" bestFit="1" customWidth="1"/>
    <col min="1668" max="1668" width="12" bestFit="1" customWidth="1"/>
    <col min="1669" max="1670" width="11.33203125" bestFit="1" customWidth="1"/>
    <col min="1671" max="1674" width="10.33203125" bestFit="1" customWidth="1"/>
    <col min="1675" max="1675" width="10.88671875" bestFit="1" customWidth="1"/>
    <col min="1676" max="1676" width="11.33203125" bestFit="1" customWidth="1"/>
    <col min="1677" max="1677" width="10.88671875" bestFit="1" customWidth="1"/>
    <col min="1678" max="1678" width="12" bestFit="1" customWidth="1"/>
    <col min="1679" max="1679" width="10.88671875" bestFit="1" customWidth="1"/>
    <col min="1680" max="1680" width="11.33203125" bestFit="1" customWidth="1"/>
    <col min="1681" max="1681" width="12" bestFit="1" customWidth="1"/>
    <col min="1682" max="1683" width="10.88671875" bestFit="1" customWidth="1"/>
    <col min="1684" max="1684" width="9.21875" bestFit="1" customWidth="1"/>
    <col min="1685" max="1685" width="11.33203125" bestFit="1" customWidth="1"/>
    <col min="1686" max="1686" width="8.6640625" bestFit="1" customWidth="1"/>
    <col min="1687" max="1687" width="12" bestFit="1" customWidth="1"/>
    <col min="1688" max="1688" width="11.33203125" bestFit="1" customWidth="1"/>
    <col min="1689" max="1689" width="10.33203125" bestFit="1" customWidth="1"/>
    <col min="1690" max="1690" width="10.88671875" bestFit="1" customWidth="1"/>
    <col min="1691" max="1691" width="9.21875" bestFit="1" customWidth="1"/>
    <col min="1692" max="1692" width="10.88671875" bestFit="1" customWidth="1"/>
    <col min="1693" max="1693" width="9.21875" bestFit="1" customWidth="1"/>
    <col min="1694" max="1694" width="11.33203125" bestFit="1" customWidth="1"/>
    <col min="1695" max="1696" width="10.88671875" bestFit="1" customWidth="1"/>
    <col min="1697" max="1697" width="7.6640625" bestFit="1" customWidth="1"/>
    <col min="1698" max="1700" width="10.88671875" bestFit="1" customWidth="1"/>
    <col min="1701" max="1701" width="10.33203125" bestFit="1" customWidth="1"/>
    <col min="1702" max="1702" width="9.77734375" bestFit="1" customWidth="1"/>
    <col min="1703" max="1703" width="11.33203125" bestFit="1" customWidth="1"/>
    <col min="1704" max="1704" width="10.88671875" bestFit="1" customWidth="1"/>
    <col min="1705" max="1705" width="9.21875" bestFit="1" customWidth="1"/>
    <col min="1706" max="1706" width="10.88671875" bestFit="1" customWidth="1"/>
    <col min="1707" max="1707" width="9.21875" bestFit="1" customWidth="1"/>
    <col min="1708" max="1708" width="12" bestFit="1" customWidth="1"/>
    <col min="1709" max="1709" width="10.88671875" bestFit="1" customWidth="1"/>
    <col min="1710" max="1710" width="11.33203125" bestFit="1" customWidth="1"/>
    <col min="1711" max="1711" width="8.6640625" bestFit="1" customWidth="1"/>
    <col min="1712" max="1712" width="10.33203125" bestFit="1" customWidth="1"/>
    <col min="1713" max="1713" width="10.88671875" bestFit="1" customWidth="1"/>
    <col min="1714" max="1714" width="10.33203125" bestFit="1" customWidth="1"/>
    <col min="1715" max="1715" width="11.33203125" bestFit="1" customWidth="1"/>
    <col min="1716" max="1717" width="12" bestFit="1" customWidth="1"/>
    <col min="1718" max="1718" width="10.88671875" bestFit="1" customWidth="1"/>
    <col min="1719" max="1719" width="10.33203125" bestFit="1" customWidth="1"/>
    <col min="1720" max="1720" width="10.88671875" bestFit="1" customWidth="1"/>
    <col min="1721" max="1721" width="11.33203125" bestFit="1" customWidth="1"/>
    <col min="1722" max="1722" width="9.77734375" bestFit="1" customWidth="1"/>
    <col min="1723" max="1723" width="10.33203125" bestFit="1" customWidth="1"/>
    <col min="1724" max="1724" width="10.88671875" bestFit="1" customWidth="1"/>
    <col min="1725" max="1725" width="9.21875" bestFit="1" customWidth="1"/>
    <col min="1726" max="1726" width="9.77734375" bestFit="1" customWidth="1"/>
    <col min="1727" max="1727" width="10.88671875" bestFit="1" customWidth="1"/>
    <col min="1728" max="1728" width="7.6640625" bestFit="1" customWidth="1"/>
    <col min="1729" max="1729" width="10.33203125" bestFit="1" customWidth="1"/>
    <col min="1730" max="1731" width="10.88671875" bestFit="1" customWidth="1"/>
    <col min="1732" max="1732" width="10.33203125" bestFit="1" customWidth="1"/>
    <col min="1733" max="1733" width="10.88671875" bestFit="1" customWidth="1"/>
    <col min="1734" max="1734" width="11.33203125" bestFit="1" customWidth="1"/>
    <col min="1735" max="1735" width="10.88671875" bestFit="1" customWidth="1"/>
    <col min="1736" max="1737" width="11.33203125" bestFit="1" customWidth="1"/>
    <col min="1738" max="1738" width="9.77734375" bestFit="1" customWidth="1"/>
    <col min="1739" max="1739" width="12" bestFit="1" customWidth="1"/>
    <col min="1740" max="1741" width="10.88671875" bestFit="1" customWidth="1"/>
    <col min="1742" max="1742" width="10.33203125" bestFit="1" customWidth="1"/>
    <col min="1743" max="1745" width="10.88671875" bestFit="1" customWidth="1"/>
    <col min="1746" max="1746" width="10.33203125" bestFit="1" customWidth="1"/>
    <col min="1747" max="1747" width="11.33203125" bestFit="1" customWidth="1"/>
    <col min="1748" max="1748" width="12" bestFit="1" customWidth="1"/>
    <col min="1749" max="1749" width="11.33203125" bestFit="1" customWidth="1"/>
    <col min="1750" max="1751" width="12" bestFit="1" customWidth="1"/>
    <col min="1752" max="1752" width="10.88671875" bestFit="1" customWidth="1"/>
    <col min="1753" max="1753" width="10.33203125" bestFit="1" customWidth="1"/>
    <col min="1754" max="1754" width="10.88671875" bestFit="1" customWidth="1"/>
    <col min="1755" max="1755" width="10.33203125" bestFit="1" customWidth="1"/>
    <col min="1756" max="1756" width="10.88671875" bestFit="1" customWidth="1"/>
    <col min="1757" max="1757" width="11.33203125" bestFit="1" customWidth="1"/>
    <col min="1758" max="1758" width="10.88671875" bestFit="1" customWidth="1"/>
    <col min="1759" max="1759" width="12" bestFit="1" customWidth="1"/>
    <col min="1760" max="1762" width="10.88671875" bestFit="1" customWidth="1"/>
    <col min="1763" max="1764" width="11.33203125" bestFit="1" customWidth="1"/>
    <col min="1765" max="1765" width="9.77734375" bestFit="1" customWidth="1"/>
    <col min="1766" max="1766" width="12" bestFit="1" customWidth="1"/>
    <col min="1767" max="1767" width="11.33203125" bestFit="1" customWidth="1"/>
    <col min="1768" max="1768" width="12" bestFit="1" customWidth="1"/>
    <col min="1769" max="1769" width="11.33203125" bestFit="1" customWidth="1"/>
    <col min="1770" max="1770" width="10.88671875" bestFit="1" customWidth="1"/>
    <col min="1771" max="1771" width="12" bestFit="1" customWidth="1"/>
    <col min="1772" max="1772" width="11.33203125" bestFit="1" customWidth="1"/>
    <col min="1773" max="1773" width="10.88671875" bestFit="1" customWidth="1"/>
    <col min="1774" max="1774" width="8.6640625" bestFit="1" customWidth="1"/>
    <col min="1775" max="1775" width="11.33203125" bestFit="1" customWidth="1"/>
    <col min="1776" max="1778" width="10.88671875" bestFit="1" customWidth="1"/>
    <col min="1779" max="1779" width="11.33203125" bestFit="1" customWidth="1"/>
    <col min="1780" max="1780" width="9.21875" bestFit="1" customWidth="1"/>
    <col min="1781" max="1781" width="10.33203125" bestFit="1" customWidth="1"/>
    <col min="1782" max="1782" width="11.33203125" bestFit="1" customWidth="1"/>
    <col min="1783" max="1783" width="7.6640625" bestFit="1" customWidth="1"/>
    <col min="1784" max="1784" width="10.33203125" bestFit="1" customWidth="1"/>
    <col min="1785" max="1785" width="9.77734375" bestFit="1" customWidth="1"/>
    <col min="1786" max="1787" width="10.88671875" bestFit="1" customWidth="1"/>
    <col min="1788" max="1788" width="10.33203125" bestFit="1" customWidth="1"/>
    <col min="1789" max="1789" width="11.33203125" bestFit="1" customWidth="1"/>
    <col min="1790" max="1790" width="12" bestFit="1" customWidth="1"/>
    <col min="1791" max="1792" width="10.88671875" bestFit="1" customWidth="1"/>
    <col min="1793" max="1793" width="9.77734375" bestFit="1" customWidth="1"/>
    <col min="1794" max="1794" width="11.33203125" bestFit="1" customWidth="1"/>
    <col min="1795" max="1796" width="10.88671875" bestFit="1" customWidth="1"/>
    <col min="1797" max="1797" width="11.33203125" bestFit="1" customWidth="1"/>
    <col min="1798" max="1798" width="9.77734375" bestFit="1" customWidth="1"/>
    <col min="1799" max="1799" width="10.88671875" bestFit="1" customWidth="1"/>
    <col min="1800" max="1800" width="11.33203125" bestFit="1" customWidth="1"/>
    <col min="1801" max="1801" width="12" bestFit="1" customWidth="1"/>
    <col min="1802" max="1802" width="9.21875" bestFit="1" customWidth="1"/>
    <col min="1803" max="1803" width="9.77734375" bestFit="1" customWidth="1"/>
    <col min="1804" max="1804" width="10.88671875" bestFit="1" customWidth="1"/>
    <col min="1805" max="1805" width="11.33203125" bestFit="1" customWidth="1"/>
    <col min="1806" max="1806" width="10.88671875" bestFit="1" customWidth="1"/>
    <col min="1807" max="1807" width="8.109375" bestFit="1" customWidth="1"/>
    <col min="1808" max="1809" width="10.88671875" bestFit="1" customWidth="1"/>
    <col min="1810" max="1810" width="12" bestFit="1" customWidth="1"/>
    <col min="1811" max="1811" width="11.33203125" bestFit="1" customWidth="1"/>
    <col min="1812" max="1813" width="12" bestFit="1" customWidth="1"/>
    <col min="1814" max="1814" width="10.88671875" bestFit="1" customWidth="1"/>
    <col min="1815" max="1815" width="11.33203125" bestFit="1" customWidth="1"/>
    <col min="1816" max="1816" width="9.21875" bestFit="1" customWidth="1"/>
    <col min="1817" max="1818" width="10.88671875" bestFit="1" customWidth="1"/>
    <col min="1819" max="1819" width="9.77734375" bestFit="1" customWidth="1"/>
    <col min="1820" max="1820" width="10.88671875" bestFit="1" customWidth="1"/>
    <col min="1821" max="1821" width="11.33203125" bestFit="1" customWidth="1"/>
    <col min="1822" max="1823" width="12" bestFit="1" customWidth="1"/>
    <col min="1824" max="1824" width="10.88671875" bestFit="1" customWidth="1"/>
    <col min="1825" max="1825" width="9.77734375" bestFit="1" customWidth="1"/>
    <col min="1826" max="1826" width="10.88671875" bestFit="1" customWidth="1"/>
    <col min="1827" max="1827" width="12" bestFit="1" customWidth="1"/>
    <col min="1828" max="1828" width="10.33203125" bestFit="1" customWidth="1"/>
    <col min="1829" max="1830" width="10.88671875" bestFit="1" customWidth="1"/>
    <col min="1831" max="1831" width="11.33203125" bestFit="1" customWidth="1"/>
    <col min="1832" max="1832" width="10.33203125" bestFit="1" customWidth="1"/>
    <col min="1833" max="1833" width="12" bestFit="1" customWidth="1"/>
    <col min="1834" max="1834" width="10.88671875" bestFit="1" customWidth="1"/>
    <col min="1835" max="1835" width="11.33203125" bestFit="1" customWidth="1"/>
    <col min="1836" max="1836" width="12" bestFit="1" customWidth="1"/>
    <col min="1837" max="1837" width="9.77734375" bestFit="1" customWidth="1"/>
    <col min="1838" max="1838" width="10.88671875" bestFit="1" customWidth="1"/>
    <col min="1839" max="1839" width="6.5546875" bestFit="1" customWidth="1"/>
    <col min="1840" max="1840" width="10.88671875" bestFit="1" customWidth="1"/>
    <col min="1841" max="1841" width="11.33203125" bestFit="1" customWidth="1"/>
    <col min="1842" max="1848" width="10.88671875" bestFit="1" customWidth="1"/>
    <col min="1849" max="1849" width="11.33203125" bestFit="1" customWidth="1"/>
    <col min="1850" max="1850" width="10.88671875" bestFit="1" customWidth="1"/>
    <col min="1851" max="1851" width="11.33203125" bestFit="1" customWidth="1"/>
    <col min="1852" max="1852" width="8.109375" bestFit="1" customWidth="1"/>
    <col min="1853" max="1853" width="9.77734375" bestFit="1" customWidth="1"/>
    <col min="1854" max="1854" width="10.88671875" bestFit="1" customWidth="1"/>
    <col min="1855" max="1855" width="11.33203125" bestFit="1" customWidth="1"/>
    <col min="1856" max="1856" width="10.88671875" bestFit="1" customWidth="1"/>
    <col min="1857" max="1857" width="11.33203125" bestFit="1" customWidth="1"/>
    <col min="1858" max="1859" width="10.88671875" bestFit="1" customWidth="1"/>
    <col min="1860" max="1860" width="11.33203125" bestFit="1" customWidth="1"/>
    <col min="1861" max="1861" width="10.88671875" bestFit="1" customWidth="1"/>
    <col min="1862" max="1862" width="11.33203125" bestFit="1" customWidth="1"/>
    <col min="1863" max="1863" width="8.6640625" bestFit="1" customWidth="1"/>
    <col min="1864" max="1867" width="10.88671875" bestFit="1" customWidth="1"/>
    <col min="1868" max="1868" width="11.33203125" bestFit="1" customWidth="1"/>
    <col min="1869" max="1869" width="10.33203125" bestFit="1" customWidth="1"/>
    <col min="1870" max="1870" width="11.33203125" bestFit="1" customWidth="1"/>
    <col min="1871" max="1872" width="10.88671875" bestFit="1" customWidth="1"/>
    <col min="1873" max="1874" width="11.33203125" bestFit="1" customWidth="1"/>
    <col min="1875" max="1876" width="10.88671875" bestFit="1" customWidth="1"/>
    <col min="1877" max="1877" width="9.77734375" bestFit="1" customWidth="1"/>
    <col min="1878" max="1878" width="10.88671875" bestFit="1" customWidth="1"/>
    <col min="1879" max="1879" width="9.21875" bestFit="1" customWidth="1"/>
    <col min="1880" max="1881" width="11.33203125" bestFit="1" customWidth="1"/>
    <col min="1882" max="1882" width="10.88671875" bestFit="1" customWidth="1"/>
    <col min="1883" max="1883" width="9.77734375" bestFit="1" customWidth="1"/>
    <col min="1884" max="1884" width="11.33203125" bestFit="1" customWidth="1"/>
    <col min="1885" max="1886" width="10.88671875" bestFit="1" customWidth="1"/>
    <col min="1887" max="1887" width="10.33203125" bestFit="1" customWidth="1"/>
    <col min="1888" max="1888" width="10.88671875" bestFit="1" customWidth="1"/>
    <col min="1889" max="1889" width="11.33203125" bestFit="1" customWidth="1"/>
    <col min="1890" max="1891" width="10.88671875" bestFit="1" customWidth="1"/>
    <col min="1892" max="1892" width="11.33203125" bestFit="1" customWidth="1"/>
    <col min="1893" max="1893" width="10.88671875" bestFit="1" customWidth="1"/>
    <col min="1894" max="1894" width="11.33203125" bestFit="1" customWidth="1"/>
    <col min="1895" max="1895" width="10.88671875" bestFit="1" customWidth="1"/>
    <col min="1896" max="1896" width="10.33203125" bestFit="1" customWidth="1"/>
    <col min="1897" max="1898" width="10.88671875" bestFit="1" customWidth="1"/>
    <col min="1899" max="1900" width="11.33203125" bestFit="1" customWidth="1"/>
    <col min="1901" max="1901" width="9.21875" bestFit="1" customWidth="1"/>
    <col min="1902" max="1902" width="10.88671875" bestFit="1" customWidth="1"/>
    <col min="1903" max="1903" width="11.33203125" bestFit="1" customWidth="1"/>
    <col min="1904" max="1904" width="8.109375" bestFit="1" customWidth="1"/>
    <col min="1905" max="1907" width="10.88671875" bestFit="1" customWidth="1"/>
    <col min="1908" max="1908" width="9.77734375" bestFit="1" customWidth="1"/>
    <col min="1909" max="1909" width="6.5546875" bestFit="1" customWidth="1"/>
    <col min="1910" max="1910" width="11.33203125" bestFit="1" customWidth="1"/>
    <col min="1911" max="1911" width="10.88671875" bestFit="1" customWidth="1"/>
    <col min="1912" max="1912" width="11.33203125" bestFit="1" customWidth="1"/>
    <col min="1913" max="1915" width="10.88671875" bestFit="1" customWidth="1"/>
    <col min="1916" max="1916" width="9.77734375" bestFit="1" customWidth="1"/>
    <col min="1917" max="1917" width="11.33203125" bestFit="1" customWidth="1"/>
    <col min="1918" max="1918" width="9.77734375" bestFit="1" customWidth="1"/>
    <col min="1919" max="1920" width="10.88671875" bestFit="1" customWidth="1"/>
    <col min="1921" max="1921" width="11.33203125" bestFit="1" customWidth="1"/>
    <col min="1922" max="1922" width="10.88671875" bestFit="1" customWidth="1"/>
    <col min="1923" max="1923" width="11.33203125" bestFit="1" customWidth="1"/>
    <col min="1924" max="1924" width="10.88671875" bestFit="1" customWidth="1"/>
    <col min="1925" max="1925" width="11.33203125" bestFit="1" customWidth="1"/>
    <col min="1926" max="1927" width="10.88671875" bestFit="1" customWidth="1"/>
    <col min="1928" max="1928" width="11.33203125" bestFit="1" customWidth="1"/>
    <col min="1929" max="1929" width="9.77734375" bestFit="1" customWidth="1"/>
    <col min="1930" max="1932" width="10.88671875" bestFit="1" customWidth="1"/>
    <col min="1933" max="1933" width="11.33203125" bestFit="1" customWidth="1"/>
    <col min="1934" max="1934" width="9.77734375" bestFit="1" customWidth="1"/>
    <col min="1935" max="1935" width="10.88671875" bestFit="1" customWidth="1"/>
    <col min="1936" max="1937" width="11.33203125" bestFit="1" customWidth="1"/>
    <col min="1938" max="1938" width="10.88671875" bestFit="1" customWidth="1"/>
    <col min="1939" max="1940" width="9.77734375" bestFit="1" customWidth="1"/>
    <col min="1941" max="1941" width="9.21875" bestFit="1" customWidth="1"/>
    <col min="1942" max="1942" width="10.88671875" bestFit="1" customWidth="1"/>
    <col min="1943" max="1943" width="10.33203125" bestFit="1" customWidth="1"/>
    <col min="1944" max="1946" width="11.33203125" bestFit="1" customWidth="1"/>
    <col min="1947" max="1947" width="10.88671875" bestFit="1" customWidth="1"/>
    <col min="1948" max="1948" width="11.33203125" bestFit="1" customWidth="1"/>
    <col min="1949" max="1951" width="10.88671875" bestFit="1" customWidth="1"/>
    <col min="1952" max="1952" width="7.6640625" bestFit="1" customWidth="1"/>
    <col min="1953" max="1953" width="10.33203125" bestFit="1" customWidth="1"/>
    <col min="1954" max="1954" width="11.33203125" bestFit="1" customWidth="1"/>
    <col min="1955" max="1955" width="10.88671875" bestFit="1" customWidth="1"/>
    <col min="1956" max="1956" width="9.77734375" bestFit="1" customWidth="1"/>
    <col min="1957" max="1958" width="10.88671875" bestFit="1" customWidth="1"/>
    <col min="1959" max="1959" width="9.77734375" bestFit="1" customWidth="1"/>
    <col min="1960" max="1960" width="11.33203125" bestFit="1" customWidth="1"/>
    <col min="1961" max="1963" width="10.88671875" bestFit="1" customWidth="1"/>
    <col min="1964" max="1965" width="11.33203125" bestFit="1" customWidth="1"/>
    <col min="1966" max="1967" width="10.88671875" bestFit="1" customWidth="1"/>
    <col min="1968" max="1968" width="12" bestFit="1" customWidth="1"/>
    <col min="1969" max="1969" width="11.33203125" bestFit="1" customWidth="1"/>
    <col min="1970" max="1971" width="10.88671875" bestFit="1" customWidth="1"/>
    <col min="1972" max="1972" width="12" bestFit="1" customWidth="1"/>
    <col min="1973" max="1973" width="10.88671875" bestFit="1" customWidth="1"/>
    <col min="1974" max="1974" width="11.33203125" bestFit="1" customWidth="1"/>
    <col min="1975" max="1977" width="9.77734375" bestFit="1" customWidth="1"/>
    <col min="1978" max="1978" width="12" bestFit="1" customWidth="1"/>
    <col min="1979" max="1979" width="9.77734375" bestFit="1" customWidth="1"/>
    <col min="1980" max="1981" width="10.88671875" bestFit="1" customWidth="1"/>
    <col min="1982" max="1983" width="11.33203125" bestFit="1" customWidth="1"/>
    <col min="1984" max="1984" width="7.6640625" bestFit="1" customWidth="1"/>
    <col min="1985" max="1985" width="10.33203125" bestFit="1" customWidth="1"/>
    <col min="1986" max="1987" width="10.88671875" bestFit="1" customWidth="1"/>
    <col min="1988" max="1988" width="9.77734375" bestFit="1" customWidth="1"/>
    <col min="1989" max="1989" width="10.88671875" bestFit="1" customWidth="1"/>
    <col min="1990" max="1990" width="10.33203125" bestFit="1" customWidth="1"/>
    <col min="1991" max="1991" width="10.88671875" bestFit="1" customWidth="1"/>
    <col min="1992" max="1992" width="11.33203125" bestFit="1" customWidth="1"/>
    <col min="1993" max="1993" width="9.77734375" bestFit="1" customWidth="1"/>
    <col min="1994" max="1995" width="10.88671875" bestFit="1" customWidth="1"/>
    <col min="1996" max="1996" width="11.33203125" bestFit="1" customWidth="1"/>
    <col min="1997" max="1997" width="10.88671875" bestFit="1" customWidth="1"/>
    <col min="1998" max="1998" width="9.77734375" bestFit="1" customWidth="1"/>
    <col min="1999" max="2003" width="10.88671875" bestFit="1" customWidth="1"/>
    <col min="2004" max="2004" width="9.77734375" bestFit="1" customWidth="1"/>
    <col min="2005" max="2008" width="10.88671875" bestFit="1" customWidth="1"/>
    <col min="2009" max="2009" width="11.33203125" bestFit="1" customWidth="1"/>
    <col min="2010" max="2010" width="10.88671875" bestFit="1" customWidth="1"/>
    <col min="2011" max="2011" width="9.77734375" bestFit="1" customWidth="1"/>
    <col min="2012" max="2012" width="10.88671875" bestFit="1" customWidth="1"/>
    <col min="2013" max="2013" width="9.77734375" bestFit="1" customWidth="1"/>
    <col min="2014" max="2015" width="11.33203125" bestFit="1" customWidth="1"/>
    <col min="2016" max="2016" width="9.77734375" bestFit="1" customWidth="1"/>
    <col min="2017" max="2017" width="8.6640625" bestFit="1" customWidth="1"/>
    <col min="2018" max="2018" width="12" bestFit="1" customWidth="1"/>
    <col min="2019" max="2020" width="11.33203125" bestFit="1" customWidth="1"/>
    <col min="2021" max="2023" width="10.88671875" bestFit="1" customWidth="1"/>
    <col min="2024" max="2025" width="11.33203125" bestFit="1" customWidth="1"/>
    <col min="2026" max="2026" width="9.77734375" bestFit="1" customWidth="1"/>
    <col min="2027" max="2027" width="7.6640625" bestFit="1" customWidth="1"/>
    <col min="2028" max="2028" width="10.88671875" bestFit="1" customWidth="1"/>
    <col min="2029" max="2029" width="10.33203125" bestFit="1" customWidth="1"/>
    <col min="2030" max="2030" width="10.88671875" bestFit="1" customWidth="1"/>
    <col min="2031" max="2034" width="9.77734375" bestFit="1" customWidth="1"/>
    <col min="2035" max="2036" width="10.88671875" bestFit="1" customWidth="1"/>
    <col min="2037" max="2037" width="11.33203125" bestFit="1" customWidth="1"/>
    <col min="2038" max="2038" width="10.88671875" bestFit="1" customWidth="1"/>
    <col min="2039" max="2039" width="8.6640625" bestFit="1" customWidth="1"/>
    <col min="2040" max="2041" width="10.88671875" bestFit="1" customWidth="1"/>
    <col min="2042" max="2043" width="11.33203125" bestFit="1" customWidth="1"/>
    <col min="2044" max="2044" width="10.88671875" bestFit="1" customWidth="1"/>
    <col min="2045" max="2045" width="9.77734375" bestFit="1" customWidth="1"/>
    <col min="2046" max="2046" width="10.88671875" bestFit="1" customWidth="1"/>
    <col min="2047" max="2048" width="9.77734375" bestFit="1" customWidth="1"/>
    <col min="2049" max="2049" width="11.33203125" bestFit="1" customWidth="1"/>
    <col min="2050" max="2050" width="9.77734375" bestFit="1" customWidth="1"/>
    <col min="2051" max="2051" width="11.33203125" bestFit="1" customWidth="1"/>
    <col min="2052" max="2053" width="10.88671875" bestFit="1" customWidth="1"/>
    <col min="2054" max="2054" width="10.33203125" bestFit="1" customWidth="1"/>
    <col min="2055" max="2055" width="10.88671875" bestFit="1" customWidth="1"/>
    <col min="2056" max="2056" width="11.33203125" bestFit="1" customWidth="1"/>
    <col min="2057" max="2057" width="10.88671875" bestFit="1" customWidth="1"/>
    <col min="2058" max="2058" width="12" bestFit="1" customWidth="1"/>
    <col min="2059" max="2059" width="11.33203125" bestFit="1" customWidth="1"/>
    <col min="2060" max="2060" width="12" bestFit="1" customWidth="1"/>
    <col min="2061" max="2061" width="11.33203125" bestFit="1" customWidth="1"/>
    <col min="2062" max="2062" width="10.88671875" bestFit="1" customWidth="1"/>
    <col min="2063" max="2063" width="9.77734375" bestFit="1" customWidth="1"/>
    <col min="2064" max="2064" width="10.33203125" bestFit="1" customWidth="1"/>
    <col min="2065" max="2065" width="11.33203125" bestFit="1" customWidth="1"/>
    <col min="2066" max="2066" width="9.77734375" bestFit="1" customWidth="1"/>
    <col min="2067" max="2069" width="10.88671875" bestFit="1" customWidth="1"/>
    <col min="2070" max="2071" width="11.33203125" bestFit="1" customWidth="1"/>
    <col min="2072" max="2073" width="9.77734375" bestFit="1" customWidth="1"/>
    <col min="2074" max="2074" width="10.88671875" bestFit="1" customWidth="1"/>
    <col min="2075" max="2075" width="10.33203125" bestFit="1" customWidth="1"/>
    <col min="2076" max="2077" width="9.77734375" bestFit="1" customWidth="1"/>
    <col min="2078" max="2078" width="10.88671875" bestFit="1" customWidth="1"/>
    <col min="2079" max="2079" width="9.77734375" bestFit="1" customWidth="1"/>
    <col min="2080" max="2080" width="11.33203125" bestFit="1" customWidth="1"/>
    <col min="2081" max="2081" width="10.88671875" bestFit="1" customWidth="1"/>
    <col min="2082" max="2082" width="9.77734375" bestFit="1" customWidth="1"/>
    <col min="2083" max="2083" width="10.88671875" bestFit="1" customWidth="1"/>
    <col min="2084" max="2084" width="8.6640625" bestFit="1" customWidth="1"/>
    <col min="2085" max="2085" width="10.88671875" bestFit="1" customWidth="1"/>
    <col min="2086" max="2086" width="11.33203125" bestFit="1" customWidth="1"/>
    <col min="2087" max="2087" width="10.33203125" bestFit="1" customWidth="1"/>
    <col min="2088" max="2088" width="11.33203125" bestFit="1" customWidth="1"/>
    <col min="2089" max="2089" width="9.77734375" bestFit="1" customWidth="1"/>
    <col min="2090" max="2090" width="10.88671875" bestFit="1" customWidth="1"/>
    <col min="2091" max="2091" width="9.77734375" bestFit="1" customWidth="1"/>
    <col min="2092" max="2092" width="12" bestFit="1" customWidth="1"/>
    <col min="2093" max="2094" width="10.88671875" bestFit="1" customWidth="1"/>
    <col min="2095" max="2095" width="12" bestFit="1" customWidth="1"/>
    <col min="2096" max="2096" width="9.77734375" bestFit="1" customWidth="1"/>
    <col min="2097" max="2097" width="10.33203125" bestFit="1" customWidth="1"/>
    <col min="2098" max="2099" width="10.88671875" bestFit="1" customWidth="1"/>
    <col min="2100" max="2100" width="12" bestFit="1" customWidth="1"/>
    <col min="2101" max="2101" width="7.6640625" bestFit="1" customWidth="1"/>
    <col min="2102" max="2102" width="12" bestFit="1" customWidth="1"/>
    <col min="2103" max="2103" width="9.77734375" bestFit="1" customWidth="1"/>
    <col min="2104" max="2104" width="10.33203125" bestFit="1" customWidth="1"/>
    <col min="2105" max="2105" width="12" bestFit="1" customWidth="1"/>
    <col min="2106" max="2106" width="9.77734375" bestFit="1" customWidth="1"/>
    <col min="2107" max="2109" width="12" bestFit="1" customWidth="1"/>
    <col min="2110" max="2110" width="9.77734375" bestFit="1" customWidth="1"/>
    <col min="2111" max="2111" width="10.33203125" bestFit="1" customWidth="1"/>
    <col min="2112" max="2113" width="10.88671875" bestFit="1" customWidth="1"/>
    <col min="2114" max="2114" width="10.33203125" bestFit="1" customWidth="1"/>
    <col min="2115" max="2116" width="10.88671875" bestFit="1" customWidth="1"/>
    <col min="2117" max="2117" width="11.33203125" bestFit="1" customWidth="1"/>
    <col min="2118" max="2118" width="9.77734375" bestFit="1" customWidth="1"/>
    <col min="2119" max="2119" width="12" bestFit="1" customWidth="1"/>
    <col min="2120" max="2120" width="11.33203125" bestFit="1" customWidth="1"/>
    <col min="2121" max="2121" width="10.88671875" bestFit="1" customWidth="1"/>
    <col min="2122" max="2122" width="12" bestFit="1" customWidth="1"/>
    <col min="2123" max="2124" width="10.88671875" bestFit="1" customWidth="1"/>
    <col min="2125" max="2125" width="11.33203125" bestFit="1" customWidth="1"/>
    <col min="2126" max="2127" width="10.88671875" bestFit="1" customWidth="1"/>
    <col min="2128" max="2128" width="10.33203125" bestFit="1" customWidth="1"/>
    <col min="2129" max="2129" width="9.77734375" bestFit="1" customWidth="1"/>
    <col min="2130" max="2130" width="12" bestFit="1" customWidth="1"/>
    <col min="2131" max="2131" width="9.77734375" bestFit="1" customWidth="1"/>
    <col min="2132" max="2132" width="12" bestFit="1" customWidth="1"/>
    <col min="2133" max="2133" width="11.33203125" bestFit="1" customWidth="1"/>
    <col min="2134" max="2136" width="10.88671875" bestFit="1" customWidth="1"/>
    <col min="2137" max="2139" width="9.77734375" bestFit="1" customWidth="1"/>
    <col min="2140" max="2140" width="11.33203125" bestFit="1" customWidth="1"/>
    <col min="2141" max="2145" width="10.88671875" bestFit="1" customWidth="1"/>
    <col min="2146" max="2146" width="11.33203125" bestFit="1" customWidth="1"/>
    <col min="2147" max="2147" width="9.21875" bestFit="1" customWidth="1"/>
    <col min="2148" max="2149" width="10.88671875" bestFit="1" customWidth="1"/>
    <col min="2150" max="2150" width="10.33203125" bestFit="1" customWidth="1"/>
    <col min="2151" max="2151" width="10.88671875" bestFit="1" customWidth="1"/>
    <col min="2152" max="2152" width="11.33203125" bestFit="1" customWidth="1"/>
    <col min="2153" max="2153" width="9.77734375" bestFit="1" customWidth="1"/>
    <col min="2154" max="2154" width="10.88671875" bestFit="1" customWidth="1"/>
    <col min="2155" max="2155" width="8.6640625" bestFit="1" customWidth="1"/>
    <col min="2156" max="2156" width="11.33203125" bestFit="1" customWidth="1"/>
    <col min="2157" max="2158" width="10.88671875" bestFit="1" customWidth="1"/>
    <col min="2159" max="2159" width="12" bestFit="1" customWidth="1"/>
    <col min="2160" max="2160" width="10.88671875" bestFit="1" customWidth="1"/>
    <col min="2161" max="2161" width="11.33203125" bestFit="1" customWidth="1"/>
    <col min="2162" max="2162" width="8.6640625" bestFit="1" customWidth="1"/>
    <col min="2163" max="2163" width="9.77734375" bestFit="1" customWidth="1"/>
    <col min="2164" max="2164" width="10.88671875" bestFit="1" customWidth="1"/>
    <col min="2165" max="2165" width="11.33203125" bestFit="1" customWidth="1"/>
    <col min="2166" max="2167" width="10.88671875" bestFit="1" customWidth="1"/>
    <col min="2168" max="2168" width="12" bestFit="1" customWidth="1"/>
    <col min="2169" max="2169" width="11.33203125" bestFit="1" customWidth="1"/>
    <col min="2170" max="2170" width="9.77734375" bestFit="1" customWidth="1"/>
    <col min="2171" max="2171" width="10.33203125" bestFit="1" customWidth="1"/>
    <col min="2172" max="2172" width="9.77734375" bestFit="1" customWidth="1"/>
    <col min="2173" max="2173" width="10.88671875" bestFit="1" customWidth="1"/>
    <col min="2174" max="2174" width="7.6640625" bestFit="1" customWidth="1"/>
    <col min="2175" max="2175" width="10.88671875" bestFit="1" customWidth="1"/>
    <col min="2176" max="2176" width="10.33203125" bestFit="1" customWidth="1"/>
    <col min="2177" max="2177" width="9.77734375" bestFit="1" customWidth="1"/>
    <col min="2178" max="2178" width="12" bestFit="1" customWidth="1"/>
    <col min="2179" max="2179" width="8.6640625" bestFit="1" customWidth="1"/>
    <col min="2180" max="2180" width="8.109375" bestFit="1" customWidth="1"/>
    <col min="2181" max="2181" width="10.88671875" bestFit="1" customWidth="1"/>
    <col min="2182" max="2182" width="12" bestFit="1" customWidth="1"/>
    <col min="2183" max="2183" width="9.77734375" bestFit="1" customWidth="1"/>
    <col min="2184" max="2184" width="12" bestFit="1" customWidth="1"/>
    <col min="2185" max="2185" width="10.88671875" bestFit="1" customWidth="1"/>
    <col min="2186" max="2186" width="9.77734375" bestFit="1" customWidth="1"/>
    <col min="2187" max="2187" width="12" bestFit="1" customWidth="1"/>
    <col min="2188" max="2188" width="8.6640625" bestFit="1" customWidth="1"/>
    <col min="2189" max="2189" width="9.77734375" bestFit="1" customWidth="1"/>
    <col min="2190" max="2191" width="10.88671875" bestFit="1" customWidth="1"/>
    <col min="2192" max="2192" width="12" bestFit="1" customWidth="1"/>
    <col min="2193" max="2193" width="10.88671875" bestFit="1" customWidth="1"/>
    <col min="2194" max="2194" width="12" bestFit="1" customWidth="1"/>
    <col min="2195" max="2195" width="10.88671875" bestFit="1" customWidth="1"/>
    <col min="2196" max="2196" width="9.77734375" bestFit="1" customWidth="1"/>
    <col min="2197" max="2197" width="12" bestFit="1" customWidth="1"/>
    <col min="2198" max="2198" width="10.88671875" bestFit="1" customWidth="1"/>
    <col min="2199" max="2202" width="9.77734375" bestFit="1" customWidth="1"/>
    <col min="2203" max="2203" width="12" bestFit="1" customWidth="1"/>
    <col min="2204" max="2204" width="10.33203125" bestFit="1" customWidth="1"/>
    <col min="2205" max="2206" width="9.77734375" bestFit="1" customWidth="1"/>
    <col min="2207" max="2207" width="10.88671875" bestFit="1" customWidth="1"/>
    <col min="2208" max="2210" width="9.77734375" bestFit="1" customWidth="1"/>
    <col min="2211" max="2211" width="8.6640625" bestFit="1" customWidth="1"/>
    <col min="2212" max="2212" width="9.77734375" bestFit="1" customWidth="1"/>
    <col min="2213" max="2213" width="10.88671875" bestFit="1" customWidth="1"/>
    <col min="2214" max="2214" width="12" bestFit="1" customWidth="1"/>
    <col min="2215" max="2215" width="10.88671875" bestFit="1" customWidth="1"/>
    <col min="2216" max="2216" width="11.33203125" bestFit="1" customWidth="1"/>
    <col min="2217" max="2220" width="10.88671875" bestFit="1" customWidth="1"/>
    <col min="2221" max="2221" width="9.77734375" bestFit="1" customWidth="1"/>
    <col min="2222" max="2225" width="10.88671875" bestFit="1" customWidth="1"/>
    <col min="2226" max="2226" width="12" bestFit="1" customWidth="1"/>
    <col min="2227" max="2227" width="11.33203125" bestFit="1" customWidth="1"/>
    <col min="2228" max="2228" width="10.88671875" bestFit="1" customWidth="1"/>
    <col min="2229" max="2229" width="12" bestFit="1" customWidth="1"/>
    <col min="2230" max="2230" width="9.77734375" bestFit="1" customWidth="1"/>
    <col min="2231" max="2233" width="10.88671875" bestFit="1" customWidth="1"/>
    <col min="2234" max="2234" width="12" bestFit="1" customWidth="1"/>
    <col min="2235" max="2237" width="9.77734375" bestFit="1" customWidth="1"/>
    <col min="2238" max="2238" width="10.33203125" bestFit="1" customWidth="1"/>
    <col min="2239" max="2239" width="10.88671875" bestFit="1" customWidth="1"/>
    <col min="2240" max="2240" width="11.33203125" bestFit="1" customWidth="1"/>
    <col min="2241" max="2241" width="10.88671875" bestFit="1" customWidth="1"/>
    <col min="2242" max="2242" width="9.21875" bestFit="1" customWidth="1"/>
    <col min="2243" max="2244" width="10.88671875" bestFit="1" customWidth="1"/>
    <col min="2245" max="2245" width="8.6640625" bestFit="1" customWidth="1"/>
    <col min="2246" max="2246" width="12" bestFit="1" customWidth="1"/>
    <col min="2247" max="2247" width="11.33203125" bestFit="1" customWidth="1"/>
    <col min="2248" max="2249" width="10.88671875" bestFit="1" customWidth="1"/>
    <col min="2250" max="2251" width="9.77734375" bestFit="1" customWidth="1"/>
    <col min="2252" max="2253" width="10.88671875" bestFit="1" customWidth="1"/>
    <col min="2254" max="2254" width="9.77734375" bestFit="1" customWidth="1"/>
    <col min="2255" max="2258" width="10.88671875" bestFit="1" customWidth="1"/>
    <col min="2259" max="2259" width="9.77734375" bestFit="1" customWidth="1"/>
    <col min="2260" max="2260" width="10.88671875" bestFit="1" customWidth="1"/>
    <col min="2261" max="2262" width="12" bestFit="1" customWidth="1"/>
    <col min="2263" max="2264" width="10.88671875" bestFit="1" customWidth="1"/>
    <col min="2265" max="2265" width="11.33203125" bestFit="1" customWidth="1"/>
    <col min="2266" max="2266" width="12" bestFit="1" customWidth="1"/>
    <col min="2267" max="2267" width="9.77734375" bestFit="1" customWidth="1"/>
    <col min="2268" max="2270" width="10.88671875" bestFit="1" customWidth="1"/>
    <col min="2271" max="2271" width="9.77734375" bestFit="1" customWidth="1"/>
    <col min="2272" max="2272" width="10.88671875" bestFit="1" customWidth="1"/>
    <col min="2273" max="2275" width="9.77734375" bestFit="1" customWidth="1"/>
    <col min="2276" max="2276" width="11.33203125" bestFit="1" customWidth="1"/>
    <col min="2277" max="2278" width="10.88671875" bestFit="1" customWidth="1"/>
    <col min="2279" max="2279" width="10.33203125" bestFit="1" customWidth="1"/>
    <col min="2280" max="2280" width="11.33203125" bestFit="1" customWidth="1"/>
    <col min="2281" max="2281" width="9.77734375" bestFit="1" customWidth="1"/>
    <col min="2282" max="2282" width="10.88671875" bestFit="1" customWidth="1"/>
    <col min="2283" max="2283" width="12" bestFit="1" customWidth="1"/>
    <col min="2284" max="2284" width="8.6640625" bestFit="1" customWidth="1"/>
    <col min="2285" max="2286" width="10.88671875" bestFit="1" customWidth="1"/>
    <col min="2287" max="2287" width="9.21875" bestFit="1" customWidth="1"/>
    <col min="2288" max="2290" width="10.88671875" bestFit="1" customWidth="1"/>
    <col min="2291" max="2291" width="9.77734375" bestFit="1" customWidth="1"/>
    <col min="2292" max="2293" width="10.88671875" bestFit="1" customWidth="1"/>
    <col min="2294" max="2294" width="9.77734375" bestFit="1" customWidth="1"/>
    <col min="2295" max="2295" width="12" bestFit="1" customWidth="1"/>
    <col min="2296" max="2296" width="9.77734375" bestFit="1" customWidth="1"/>
    <col min="2297" max="2297" width="10.88671875" bestFit="1" customWidth="1"/>
    <col min="2298" max="2298" width="8.6640625" bestFit="1" customWidth="1"/>
    <col min="2299" max="2299" width="10.88671875" bestFit="1" customWidth="1"/>
    <col min="2300" max="2300" width="12" bestFit="1" customWidth="1"/>
    <col min="2301" max="2301" width="9.77734375" bestFit="1" customWidth="1"/>
    <col min="2302" max="2303" width="10.88671875" bestFit="1" customWidth="1"/>
    <col min="2304" max="2304" width="8.6640625" bestFit="1" customWidth="1"/>
    <col min="2305" max="2305" width="11.33203125" bestFit="1" customWidth="1"/>
    <col min="2306" max="2306" width="10.88671875" bestFit="1" customWidth="1"/>
    <col min="2307" max="2307" width="9.77734375" bestFit="1" customWidth="1"/>
    <col min="2308" max="2308" width="12" bestFit="1" customWidth="1"/>
    <col min="2309" max="2309" width="8.6640625" bestFit="1" customWidth="1"/>
    <col min="2310" max="2311" width="9.77734375" bestFit="1" customWidth="1"/>
    <col min="2312" max="2312" width="11.33203125" bestFit="1" customWidth="1"/>
    <col min="2313" max="2314" width="10.88671875" bestFit="1" customWidth="1"/>
    <col min="2315" max="2315" width="9.77734375" bestFit="1" customWidth="1"/>
    <col min="2316" max="2316" width="11.33203125" bestFit="1" customWidth="1"/>
    <col min="2317" max="2317" width="10.88671875" bestFit="1" customWidth="1"/>
    <col min="2318" max="2320" width="9.77734375" bestFit="1" customWidth="1"/>
    <col min="2321" max="2323" width="10.88671875" bestFit="1" customWidth="1"/>
    <col min="2324" max="2324" width="8.6640625" bestFit="1" customWidth="1"/>
    <col min="2325" max="2325" width="11.33203125" bestFit="1" customWidth="1"/>
    <col min="2326" max="2328" width="10.88671875" bestFit="1" customWidth="1"/>
    <col min="2329" max="2329" width="12" bestFit="1" customWidth="1"/>
    <col min="2330" max="2330" width="7.6640625" bestFit="1" customWidth="1"/>
    <col min="2331" max="2333" width="10.88671875" bestFit="1" customWidth="1"/>
    <col min="2334" max="2334" width="9.77734375" bestFit="1" customWidth="1"/>
    <col min="2335" max="2335" width="8.6640625" bestFit="1" customWidth="1"/>
    <col min="2336" max="2340" width="10.88671875" bestFit="1" customWidth="1"/>
    <col min="2341" max="2341" width="10.33203125" bestFit="1" customWidth="1"/>
    <col min="2342" max="2342" width="9.77734375" bestFit="1" customWidth="1"/>
    <col min="2343" max="2344" width="10.88671875" bestFit="1" customWidth="1"/>
    <col min="2345" max="2345" width="9.77734375" bestFit="1" customWidth="1"/>
    <col min="2346" max="2346" width="10.33203125" bestFit="1" customWidth="1"/>
    <col min="2347" max="2347" width="10.88671875" bestFit="1" customWidth="1"/>
    <col min="2348" max="2349" width="9.77734375" bestFit="1" customWidth="1"/>
    <col min="2350" max="2350" width="10.33203125" bestFit="1" customWidth="1"/>
    <col min="2351" max="2351" width="9.77734375" bestFit="1" customWidth="1"/>
    <col min="2352" max="2352" width="10.33203125" bestFit="1" customWidth="1"/>
    <col min="2353" max="2353" width="10.88671875" bestFit="1" customWidth="1"/>
    <col min="2354" max="2355" width="9.77734375" bestFit="1" customWidth="1"/>
    <col min="2356" max="2357" width="10.88671875" bestFit="1" customWidth="1"/>
    <col min="2358" max="2358" width="9.77734375" bestFit="1" customWidth="1"/>
    <col min="2359" max="2360" width="10.88671875" bestFit="1" customWidth="1"/>
    <col min="2361" max="2361" width="8.6640625" bestFit="1" customWidth="1"/>
    <col min="2362" max="2362" width="10.88671875" bestFit="1" customWidth="1"/>
    <col min="2363" max="2363" width="9.77734375" bestFit="1" customWidth="1"/>
    <col min="2364" max="2367" width="10.88671875" bestFit="1" customWidth="1"/>
    <col min="2368" max="2369" width="9.77734375" bestFit="1" customWidth="1"/>
    <col min="2370" max="2370" width="10.88671875" bestFit="1" customWidth="1"/>
    <col min="2371" max="2371" width="10.33203125" bestFit="1" customWidth="1"/>
    <col min="2372" max="2375" width="10.88671875" bestFit="1" customWidth="1"/>
    <col min="2376" max="2376" width="9.77734375" bestFit="1" customWidth="1"/>
    <col min="2377" max="2378" width="10.88671875" bestFit="1" customWidth="1"/>
    <col min="2379" max="2379" width="9.21875" bestFit="1" customWidth="1"/>
    <col min="2380" max="2381" width="10.88671875" bestFit="1" customWidth="1"/>
    <col min="2382" max="2382" width="9.77734375" bestFit="1" customWidth="1"/>
    <col min="2383" max="2383" width="10.88671875" bestFit="1" customWidth="1"/>
    <col min="2384" max="2385" width="9.77734375" bestFit="1" customWidth="1"/>
    <col min="2386" max="2386" width="8.6640625" bestFit="1" customWidth="1"/>
    <col min="2387" max="2387" width="9.77734375" bestFit="1" customWidth="1"/>
    <col min="2388" max="2390" width="10.88671875" bestFit="1" customWidth="1"/>
    <col min="2391" max="2391" width="9.77734375" bestFit="1" customWidth="1"/>
    <col min="2392" max="2392" width="7.6640625" bestFit="1" customWidth="1"/>
    <col min="2393" max="2395" width="10.88671875" bestFit="1" customWidth="1"/>
    <col min="2396" max="2396" width="9.77734375" bestFit="1" customWidth="1"/>
    <col min="2397" max="2399" width="10.88671875" bestFit="1" customWidth="1"/>
    <col min="2400" max="2400" width="8.6640625" bestFit="1" customWidth="1"/>
    <col min="2401" max="2401" width="10.88671875" bestFit="1" customWidth="1"/>
    <col min="2402" max="2402" width="9.77734375" bestFit="1" customWidth="1"/>
    <col min="2403" max="2403" width="10.88671875" bestFit="1" customWidth="1"/>
    <col min="2404" max="2404" width="9.77734375" bestFit="1" customWidth="1"/>
    <col min="2405" max="2405" width="10.88671875" bestFit="1" customWidth="1"/>
    <col min="2406" max="2407" width="9.77734375" bestFit="1" customWidth="1"/>
    <col min="2408" max="2410" width="10.88671875" bestFit="1" customWidth="1"/>
    <col min="2411" max="2411" width="10.33203125" bestFit="1" customWidth="1"/>
    <col min="2412" max="2413" width="10.88671875" bestFit="1" customWidth="1"/>
    <col min="2414" max="2415" width="9.77734375" bestFit="1" customWidth="1"/>
    <col min="2416" max="2416" width="9.21875" bestFit="1" customWidth="1"/>
    <col min="2417" max="2418" width="10.88671875" bestFit="1" customWidth="1"/>
    <col min="2419" max="2419" width="9.21875" bestFit="1" customWidth="1"/>
    <col min="2420" max="2420" width="9.77734375" bestFit="1" customWidth="1"/>
    <col min="2421" max="2421" width="10.33203125" bestFit="1" customWidth="1"/>
    <col min="2422" max="2422" width="10.88671875" bestFit="1" customWidth="1"/>
    <col min="2423" max="2423" width="9.77734375" bestFit="1" customWidth="1"/>
    <col min="2424" max="2424" width="10.88671875" bestFit="1" customWidth="1"/>
    <col min="2425" max="2425" width="9.77734375" bestFit="1" customWidth="1"/>
    <col min="2426" max="2426" width="10.88671875" bestFit="1" customWidth="1"/>
    <col min="2427" max="2427" width="8.6640625" bestFit="1" customWidth="1"/>
    <col min="2428" max="2428" width="10.88671875" bestFit="1" customWidth="1"/>
    <col min="2429" max="2429" width="8.6640625" bestFit="1" customWidth="1"/>
    <col min="2430" max="2430" width="8.109375" bestFit="1" customWidth="1"/>
    <col min="2431" max="2432" width="9.77734375" bestFit="1" customWidth="1"/>
    <col min="2433" max="2433" width="10.88671875" bestFit="1" customWidth="1"/>
    <col min="2434" max="2434" width="9.77734375" bestFit="1" customWidth="1"/>
    <col min="2435" max="2436" width="10.88671875" bestFit="1" customWidth="1"/>
    <col min="2437" max="2437" width="9.77734375" bestFit="1" customWidth="1"/>
    <col min="2438" max="2439" width="10.88671875" bestFit="1" customWidth="1"/>
    <col min="2440" max="2441" width="9.77734375" bestFit="1" customWidth="1"/>
    <col min="2442" max="2442" width="10.88671875" bestFit="1" customWidth="1"/>
    <col min="2443" max="2443" width="9.77734375" bestFit="1" customWidth="1"/>
    <col min="2444" max="2446" width="10.88671875" bestFit="1" customWidth="1"/>
    <col min="2447" max="2447" width="9.77734375" bestFit="1" customWidth="1"/>
    <col min="2448" max="2448" width="10.88671875" bestFit="1" customWidth="1"/>
    <col min="2449" max="2449" width="9.77734375" bestFit="1" customWidth="1"/>
    <col min="2450" max="2450" width="10.88671875" bestFit="1" customWidth="1"/>
    <col min="2451" max="2452" width="10.33203125" bestFit="1" customWidth="1"/>
    <col min="2453" max="2453" width="10.88671875" bestFit="1" customWidth="1"/>
    <col min="2454" max="2454" width="9.77734375" bestFit="1" customWidth="1"/>
    <col min="2455" max="2455" width="10.33203125" bestFit="1" customWidth="1"/>
    <col min="2456" max="2457" width="10.88671875" bestFit="1" customWidth="1"/>
    <col min="2458" max="2458" width="9.77734375" bestFit="1" customWidth="1"/>
    <col min="2459" max="2460" width="10.88671875" bestFit="1" customWidth="1"/>
    <col min="2461" max="2461" width="8.6640625" bestFit="1" customWidth="1"/>
    <col min="2462" max="2462" width="10.88671875" bestFit="1" customWidth="1"/>
    <col min="2463" max="2465" width="9.77734375" bestFit="1" customWidth="1"/>
    <col min="2466" max="2466" width="10.88671875" bestFit="1" customWidth="1"/>
    <col min="2467" max="2467" width="9.77734375" bestFit="1" customWidth="1"/>
    <col min="2468" max="2472" width="10.88671875" bestFit="1" customWidth="1"/>
    <col min="2473" max="2473" width="9.21875" bestFit="1" customWidth="1"/>
    <col min="2474" max="2474" width="9.77734375" bestFit="1" customWidth="1"/>
    <col min="2475" max="2475" width="8.6640625" bestFit="1" customWidth="1"/>
    <col min="2476" max="2476" width="9.77734375" bestFit="1" customWidth="1"/>
    <col min="2477" max="2477" width="10.88671875" bestFit="1" customWidth="1"/>
    <col min="2478" max="2478" width="9.21875" bestFit="1" customWidth="1"/>
    <col min="2479" max="2479" width="10.33203125" bestFit="1" customWidth="1"/>
    <col min="2480" max="2483" width="10.88671875" bestFit="1" customWidth="1"/>
    <col min="2484" max="2486" width="9.77734375" bestFit="1" customWidth="1"/>
    <col min="2487" max="2489" width="10.88671875" bestFit="1" customWidth="1"/>
    <col min="2490" max="2490" width="8.6640625" bestFit="1" customWidth="1"/>
    <col min="2491" max="2491" width="10.33203125" bestFit="1" customWidth="1"/>
    <col min="2492" max="2492" width="9.77734375" bestFit="1" customWidth="1"/>
    <col min="2493" max="2493" width="10.88671875" bestFit="1" customWidth="1"/>
    <col min="2494" max="2494" width="9.77734375" bestFit="1" customWidth="1"/>
    <col min="2495" max="2495" width="10.33203125" bestFit="1" customWidth="1"/>
    <col min="2496" max="2497" width="10.88671875" bestFit="1" customWidth="1"/>
    <col min="2498" max="2499" width="9.77734375" bestFit="1" customWidth="1"/>
    <col min="2500" max="2500" width="10.33203125" bestFit="1" customWidth="1"/>
    <col min="2501" max="2502" width="10.88671875" bestFit="1" customWidth="1"/>
    <col min="2503" max="2504" width="9.77734375" bestFit="1" customWidth="1"/>
    <col min="2505" max="2509" width="10.88671875" bestFit="1" customWidth="1"/>
    <col min="2510" max="2510" width="8.6640625" bestFit="1" customWidth="1"/>
    <col min="2511" max="2513" width="10.88671875" bestFit="1" customWidth="1"/>
    <col min="2514" max="2514" width="9.77734375" bestFit="1" customWidth="1"/>
    <col min="2515" max="2515" width="10.33203125" bestFit="1" customWidth="1"/>
    <col min="2516" max="2523" width="10.88671875" bestFit="1" customWidth="1"/>
    <col min="2524" max="2526" width="9.77734375" bestFit="1" customWidth="1"/>
    <col min="2527" max="2527" width="8.6640625" bestFit="1" customWidth="1"/>
    <col min="2528" max="2528" width="10.33203125" bestFit="1" customWidth="1"/>
    <col min="2529" max="2530" width="9.77734375" bestFit="1" customWidth="1"/>
    <col min="2531" max="2531" width="10.88671875" bestFit="1" customWidth="1"/>
    <col min="2532" max="2532" width="8.6640625" bestFit="1" customWidth="1"/>
    <col min="2533" max="2534" width="10.88671875" bestFit="1" customWidth="1"/>
    <col min="2535" max="2537" width="9.77734375" bestFit="1" customWidth="1"/>
    <col min="2538" max="2538" width="7.6640625" bestFit="1" customWidth="1"/>
    <col min="2539" max="2541" width="10.88671875" bestFit="1" customWidth="1"/>
    <col min="2542" max="2542" width="9.77734375" bestFit="1" customWidth="1"/>
    <col min="2543" max="2545" width="10.88671875" bestFit="1" customWidth="1"/>
    <col min="2546" max="2546" width="8.6640625" bestFit="1" customWidth="1"/>
    <col min="2547" max="2549" width="10.88671875" bestFit="1" customWidth="1"/>
    <col min="2550" max="2550" width="9.77734375" bestFit="1" customWidth="1"/>
    <col min="2551" max="2551" width="9.21875" bestFit="1" customWidth="1"/>
    <col min="2552" max="2552" width="10.88671875" bestFit="1" customWidth="1"/>
    <col min="2553" max="2553" width="10.33203125" bestFit="1" customWidth="1"/>
    <col min="2554" max="2555" width="9.77734375" bestFit="1" customWidth="1"/>
    <col min="2556" max="2563" width="10.88671875" bestFit="1" customWidth="1"/>
    <col min="2564" max="2564" width="9.77734375" bestFit="1" customWidth="1"/>
    <col min="2565" max="2565" width="10.88671875" bestFit="1" customWidth="1"/>
    <col min="2566" max="2566" width="9.77734375" bestFit="1" customWidth="1"/>
    <col min="2567" max="2567" width="10.88671875" bestFit="1" customWidth="1"/>
    <col min="2568" max="2568" width="9.77734375" bestFit="1" customWidth="1"/>
    <col min="2569" max="2571" width="10.88671875" bestFit="1" customWidth="1"/>
    <col min="2572" max="2572" width="9.77734375" bestFit="1" customWidth="1"/>
    <col min="2573" max="2575" width="10.88671875" bestFit="1" customWidth="1"/>
    <col min="2576" max="2576" width="8.6640625" bestFit="1" customWidth="1"/>
    <col min="2577" max="2582" width="10.88671875" bestFit="1" customWidth="1"/>
    <col min="2583" max="2583" width="9.77734375" bestFit="1" customWidth="1"/>
    <col min="2584" max="2584" width="10.88671875" bestFit="1" customWidth="1"/>
    <col min="2585" max="2585" width="9.21875" bestFit="1" customWidth="1"/>
    <col min="2586" max="2588" width="10.88671875" bestFit="1" customWidth="1"/>
    <col min="2589" max="2589" width="7.6640625" bestFit="1" customWidth="1"/>
    <col min="2590" max="2592" width="10.88671875" bestFit="1" customWidth="1"/>
    <col min="2593" max="2593" width="9.77734375" bestFit="1" customWidth="1"/>
    <col min="2594" max="2596" width="10.88671875" bestFit="1" customWidth="1"/>
    <col min="2597" max="2597" width="9.77734375" bestFit="1" customWidth="1"/>
    <col min="2598" max="2599" width="10.88671875" bestFit="1" customWidth="1"/>
    <col min="2600" max="2600" width="9.77734375" bestFit="1" customWidth="1"/>
    <col min="2601" max="2601" width="10.88671875" bestFit="1" customWidth="1"/>
    <col min="2602" max="2602" width="9.77734375" bestFit="1" customWidth="1"/>
    <col min="2603" max="2605" width="10.88671875" bestFit="1" customWidth="1"/>
    <col min="2606" max="2606" width="9.77734375" bestFit="1" customWidth="1"/>
    <col min="2607" max="2610" width="10.88671875" bestFit="1" customWidth="1"/>
    <col min="2611" max="2611" width="9.77734375" bestFit="1" customWidth="1"/>
    <col min="2612" max="2613" width="10.88671875" bestFit="1" customWidth="1"/>
    <col min="2614" max="2614" width="9.77734375" bestFit="1" customWidth="1"/>
    <col min="2615" max="2615" width="10.88671875" bestFit="1" customWidth="1"/>
    <col min="2616" max="2616" width="9.77734375" bestFit="1" customWidth="1"/>
    <col min="2617" max="2618" width="10.88671875" bestFit="1" customWidth="1"/>
    <col min="2619" max="2620" width="9.77734375" bestFit="1" customWidth="1"/>
    <col min="2621" max="2621" width="10.88671875" bestFit="1" customWidth="1"/>
    <col min="2622" max="2622" width="8.6640625" bestFit="1" customWidth="1"/>
    <col min="2623" max="2623" width="10.33203125" bestFit="1" customWidth="1"/>
    <col min="2624" max="2624" width="9.77734375" bestFit="1" customWidth="1"/>
    <col min="2625" max="2625" width="8.6640625" bestFit="1" customWidth="1"/>
    <col min="2626" max="2626" width="10.88671875" bestFit="1" customWidth="1"/>
    <col min="2627" max="2627" width="9.77734375" bestFit="1" customWidth="1"/>
    <col min="2628" max="2628" width="8.6640625" bestFit="1" customWidth="1"/>
    <col min="2629" max="2630" width="10.88671875" bestFit="1" customWidth="1"/>
    <col min="2631" max="2631" width="8.6640625" bestFit="1" customWidth="1"/>
    <col min="2632" max="2632" width="9.21875" bestFit="1" customWidth="1"/>
    <col min="2633" max="2633" width="10.88671875" bestFit="1" customWidth="1"/>
    <col min="2634" max="2634" width="9.77734375" bestFit="1" customWidth="1"/>
    <col min="2635" max="2638" width="10.88671875" bestFit="1" customWidth="1"/>
    <col min="2639" max="2639" width="7.6640625" bestFit="1" customWidth="1"/>
    <col min="2640" max="2640" width="9.77734375" bestFit="1" customWidth="1"/>
    <col min="2641" max="2642" width="10.88671875" bestFit="1" customWidth="1"/>
    <col min="2643" max="2643" width="10.33203125" bestFit="1" customWidth="1"/>
    <col min="2644" max="2646" width="10.88671875" bestFit="1" customWidth="1"/>
    <col min="2647" max="2649" width="9.77734375" bestFit="1" customWidth="1"/>
    <col min="2650" max="2652" width="10.88671875" bestFit="1" customWidth="1"/>
    <col min="2653" max="2653" width="9.77734375" bestFit="1" customWidth="1"/>
    <col min="2654" max="2656" width="10.88671875" bestFit="1" customWidth="1"/>
    <col min="2657" max="2658" width="9.77734375" bestFit="1" customWidth="1"/>
    <col min="2659" max="2660" width="10.88671875" bestFit="1" customWidth="1"/>
    <col min="2661" max="2661" width="24.21875" bestFit="1" customWidth="1"/>
    <col min="2662" max="2662" width="21.109375" bestFit="1" customWidth="1"/>
  </cols>
  <sheetData>
    <row r="2" spans="1:64" x14ac:dyDescent="0.3">
      <c r="Y2" s="2" t="s">
        <v>1411</v>
      </c>
      <c r="Z2" t="s">
        <v>1416</v>
      </c>
      <c r="AF2" s="2" t="s">
        <v>1411</v>
      </c>
      <c r="AG2" t="s">
        <v>1415</v>
      </c>
      <c r="AH2" t="s">
        <v>1416</v>
      </c>
      <c r="AI2" t="s">
        <v>1417</v>
      </c>
      <c r="AK2" s="2" t="s">
        <v>1411</v>
      </c>
      <c r="AL2" t="s">
        <v>1435</v>
      </c>
      <c r="AQ2" s="2" t="s">
        <v>1416</v>
      </c>
      <c r="AR2" s="2" t="s">
        <v>1413</v>
      </c>
      <c r="BB2" s="2" t="s">
        <v>1419</v>
      </c>
      <c r="BC2" s="2" t="s">
        <v>1413</v>
      </c>
    </row>
    <row r="3" spans="1:64" x14ac:dyDescent="0.3">
      <c r="A3" s="2" t="s">
        <v>1411</v>
      </c>
      <c r="B3" t="s">
        <v>1415</v>
      </c>
      <c r="C3" t="s">
        <v>1416</v>
      </c>
      <c r="D3" t="s">
        <v>1417</v>
      </c>
      <c r="H3" s="2" t="s">
        <v>1411</v>
      </c>
      <c r="I3" t="s">
        <v>1415</v>
      </c>
      <c r="J3" t="s">
        <v>1416</v>
      </c>
      <c r="L3" s="2" t="s">
        <v>1411</v>
      </c>
      <c r="M3" t="s">
        <v>1416</v>
      </c>
      <c r="N3" t="s">
        <v>1415</v>
      </c>
      <c r="O3" t="s">
        <v>1417</v>
      </c>
      <c r="Q3" s="2" t="s">
        <v>1411</v>
      </c>
      <c r="R3" t="s">
        <v>1415</v>
      </c>
      <c r="S3" t="s">
        <v>1416</v>
      </c>
      <c r="T3" t="s">
        <v>1417</v>
      </c>
      <c r="Y3" s="3" t="s">
        <v>157</v>
      </c>
      <c r="Z3" s="1">
        <v>1876328.22</v>
      </c>
      <c r="AF3" s="3" t="s">
        <v>52</v>
      </c>
      <c r="AG3" s="1">
        <v>804073.68</v>
      </c>
      <c r="AH3" s="1">
        <v>2141288.64</v>
      </c>
      <c r="AI3" s="1">
        <v>1337214.96</v>
      </c>
      <c r="AK3" s="3" t="s">
        <v>18</v>
      </c>
      <c r="AL3" s="1">
        <v>56</v>
      </c>
      <c r="AQ3" s="2" t="s">
        <v>1411</v>
      </c>
      <c r="AR3" t="s">
        <v>17</v>
      </c>
      <c r="AS3" t="s">
        <v>22</v>
      </c>
      <c r="AT3" t="s">
        <v>1412</v>
      </c>
      <c r="BB3" s="2" t="s">
        <v>1411</v>
      </c>
      <c r="BC3" t="s">
        <v>157</v>
      </c>
      <c r="BD3" t="s">
        <v>81</v>
      </c>
      <c r="BE3" t="s">
        <v>15</v>
      </c>
      <c r="BF3" t="s">
        <v>94</v>
      </c>
      <c r="BG3" t="s">
        <v>32</v>
      </c>
      <c r="BH3" t="s">
        <v>44</v>
      </c>
      <c r="BI3" t="s">
        <v>116</v>
      </c>
      <c r="BJ3" t="s">
        <v>232</v>
      </c>
      <c r="BK3" t="s">
        <v>137</v>
      </c>
      <c r="BL3" t="s">
        <v>1412</v>
      </c>
    </row>
    <row r="4" spans="1:64" x14ac:dyDescent="0.3">
      <c r="A4" s="3" t="s">
        <v>1433</v>
      </c>
      <c r="B4" s="1">
        <v>8094262.3300000001</v>
      </c>
      <c r="C4" s="1">
        <v>24191499.559999999</v>
      </c>
      <c r="D4" s="1">
        <v>16097237.23</v>
      </c>
      <c r="F4" s="8">
        <f>GETPIVOTDATA("[Measures].[Sum of Total Profit]",$A$3)</f>
        <v>8094262.3300000001</v>
      </c>
      <c r="H4" s="3" t="s">
        <v>116</v>
      </c>
      <c r="I4" s="1">
        <v>2324257.0499999998</v>
      </c>
      <c r="J4" s="1">
        <v>5809889.7400000002</v>
      </c>
      <c r="L4" s="3" t="s">
        <v>52</v>
      </c>
      <c r="M4" s="1">
        <v>143647587.67999998</v>
      </c>
      <c r="N4" s="1">
        <v>53940997.160000011</v>
      </c>
      <c r="O4" s="1">
        <v>89706590.520000011</v>
      </c>
      <c r="Q4" s="3" t="s">
        <v>1421</v>
      </c>
      <c r="R4" s="1">
        <v>5544551.1399999997</v>
      </c>
      <c r="S4" s="1">
        <v>18624151.780000001</v>
      </c>
      <c r="T4" s="1">
        <v>13079600.640000001</v>
      </c>
      <c r="Y4" s="3" t="s">
        <v>81</v>
      </c>
      <c r="Z4" s="1">
        <v>1981439.4</v>
      </c>
      <c r="AF4" s="3" t="s">
        <v>16</v>
      </c>
      <c r="AG4" s="1">
        <v>444744</v>
      </c>
      <c r="AH4" s="1">
        <v>1347580</v>
      </c>
      <c r="AI4" s="1">
        <v>902836</v>
      </c>
      <c r="AK4" s="3" t="s">
        <v>45</v>
      </c>
      <c r="AL4" s="1">
        <v>129</v>
      </c>
      <c r="AQ4" s="3" t="s">
        <v>52</v>
      </c>
      <c r="AR4" s="1"/>
      <c r="AS4" s="1">
        <v>2141288.64</v>
      </c>
      <c r="AT4" s="1">
        <v>2141288.64</v>
      </c>
      <c r="BB4" s="3" t="s">
        <v>48</v>
      </c>
      <c r="BC4" s="1"/>
      <c r="BD4" s="1"/>
      <c r="BE4" s="1"/>
      <c r="BF4" s="1"/>
      <c r="BG4" s="1"/>
      <c r="BH4" s="1"/>
      <c r="BI4" s="1">
        <v>8538</v>
      </c>
      <c r="BJ4" s="1"/>
      <c r="BK4" s="1"/>
      <c r="BL4" s="1">
        <v>8538</v>
      </c>
    </row>
    <row r="5" spans="1:64" x14ac:dyDescent="0.3">
      <c r="A5" s="3" t="s">
        <v>1412</v>
      </c>
      <c r="B5" s="1">
        <v>8094262.3300000001</v>
      </c>
      <c r="C5" s="1">
        <v>24191499.559999999</v>
      </c>
      <c r="D5" s="1">
        <v>16097237.23</v>
      </c>
      <c r="H5" s="3" t="s">
        <v>137</v>
      </c>
      <c r="I5" s="1">
        <v>1543925.74</v>
      </c>
      <c r="J5" s="1">
        <v>5471502.2699999996</v>
      </c>
      <c r="L5" s="3" t="s">
        <v>16</v>
      </c>
      <c r="M5" s="1">
        <v>29093160.850000001</v>
      </c>
      <c r="N5" s="1">
        <v>9601662.7799999993</v>
      </c>
      <c r="O5" s="1">
        <v>19491498.07</v>
      </c>
      <c r="Q5" s="3" t="s">
        <v>1422</v>
      </c>
      <c r="R5" s="1">
        <v>4270949.17</v>
      </c>
      <c r="S5" s="1">
        <v>11319835.73</v>
      </c>
      <c r="T5" s="1">
        <v>7048886.5599999996</v>
      </c>
      <c r="Y5" s="3" t="s">
        <v>15</v>
      </c>
      <c r="Z5" s="1">
        <v>1775727.68</v>
      </c>
      <c r="AF5" s="3" t="s">
        <v>26</v>
      </c>
      <c r="AG5" s="1">
        <v>1668326.88</v>
      </c>
      <c r="AH5" s="1">
        <v>3873742.4</v>
      </c>
      <c r="AI5" s="1">
        <v>2205415.52</v>
      </c>
      <c r="AK5" s="3" t="s">
        <v>30</v>
      </c>
      <c r="AL5" s="1">
        <v>124</v>
      </c>
      <c r="AQ5" s="3" t="s">
        <v>16</v>
      </c>
      <c r="AR5" s="1">
        <v>390133.9</v>
      </c>
      <c r="AS5" s="1">
        <v>957446.1</v>
      </c>
      <c r="AT5" s="1">
        <v>1347580</v>
      </c>
      <c r="BB5" s="3" t="s">
        <v>52</v>
      </c>
      <c r="BC5" s="1"/>
      <c r="BD5" s="1">
        <v>153</v>
      </c>
      <c r="BE5" s="1">
        <v>6956</v>
      </c>
      <c r="BF5" s="1">
        <v>1279</v>
      </c>
      <c r="BG5" s="1"/>
      <c r="BH5" s="1"/>
      <c r="BI5" s="1"/>
      <c r="BJ5" s="1"/>
      <c r="BK5" s="1"/>
      <c r="BL5" s="1">
        <v>8388</v>
      </c>
    </row>
    <row r="6" spans="1:64" x14ac:dyDescent="0.3">
      <c r="F6" s="8">
        <f>GETPIVOTDATA("[Measures].[Sum of Total Revenue]",$A$3)</f>
        <v>24191499.559999999</v>
      </c>
      <c r="H6" s="3" t="s">
        <v>32</v>
      </c>
      <c r="I6" s="1">
        <v>1393138.17</v>
      </c>
      <c r="J6" s="1">
        <v>4573757.7300000004</v>
      </c>
      <c r="L6" s="3" t="s">
        <v>26</v>
      </c>
      <c r="M6" s="1">
        <v>95791404.49999997</v>
      </c>
      <c r="N6" s="1">
        <v>41255034.150000013</v>
      </c>
      <c r="O6" s="1">
        <v>54536370.349999994</v>
      </c>
      <c r="Q6" s="3" t="s">
        <v>1423</v>
      </c>
      <c r="R6" s="1">
        <v>4305044.2300000004</v>
      </c>
      <c r="S6" s="1">
        <v>14585478.34</v>
      </c>
      <c r="T6" s="1">
        <v>10280434.109999999</v>
      </c>
      <c r="Y6" s="3" t="s">
        <v>94</v>
      </c>
      <c r="Z6" s="1">
        <v>1457349.55</v>
      </c>
      <c r="AF6" s="3" t="s">
        <v>21</v>
      </c>
      <c r="AG6" s="1">
        <v>1183191.8400000001</v>
      </c>
      <c r="AH6" s="1">
        <v>1760610.08</v>
      </c>
      <c r="AI6" s="1">
        <v>577418.23999999999</v>
      </c>
      <c r="AK6" s="3" t="s">
        <v>23</v>
      </c>
      <c r="AL6" s="1">
        <v>268</v>
      </c>
      <c r="AQ6" s="3" t="s">
        <v>26</v>
      </c>
      <c r="AR6" s="1">
        <v>3873742.4</v>
      </c>
      <c r="AS6" s="1"/>
      <c r="AT6" s="1">
        <v>3873742.4</v>
      </c>
      <c r="BB6" s="3" t="s">
        <v>16</v>
      </c>
      <c r="BC6" s="1"/>
      <c r="BD6" s="1"/>
      <c r="BE6" s="1"/>
      <c r="BF6" s="1">
        <v>9276</v>
      </c>
      <c r="BG6" s="1">
        <v>19124</v>
      </c>
      <c r="BH6" s="1"/>
      <c r="BI6" s="1"/>
      <c r="BJ6" s="1"/>
      <c r="BK6" s="1"/>
      <c r="BL6" s="1">
        <v>28400</v>
      </c>
    </row>
    <row r="7" spans="1:64" x14ac:dyDescent="0.3">
      <c r="H7" s="3" t="s">
        <v>157</v>
      </c>
      <c r="I7" s="1">
        <v>875007.3</v>
      </c>
      <c r="J7" s="1">
        <v>1876328.22</v>
      </c>
      <c r="L7" s="3" t="s">
        <v>21</v>
      </c>
      <c r="M7" s="1">
        <v>64626552.799999982</v>
      </c>
      <c r="N7" s="1">
        <v>43431314.400000013</v>
      </c>
      <c r="O7" s="1">
        <v>21195238.399999995</v>
      </c>
      <c r="Q7" s="3" t="s">
        <v>1424</v>
      </c>
      <c r="R7" s="1">
        <v>1871382.32</v>
      </c>
      <c r="S7" s="1">
        <v>6029783.3099999996</v>
      </c>
      <c r="T7" s="1">
        <v>4158400.99</v>
      </c>
      <c r="Y7" s="3" t="s">
        <v>32</v>
      </c>
      <c r="Z7" s="1">
        <v>4573757.7300000004</v>
      </c>
      <c r="AF7" s="3" t="s">
        <v>60</v>
      </c>
      <c r="AG7" s="1">
        <v>1056781.8600000001</v>
      </c>
      <c r="AH7" s="1">
        <v>2657301.6</v>
      </c>
      <c r="AI7" s="1">
        <v>1600519.74</v>
      </c>
      <c r="AK7" s="3" t="s">
        <v>1412</v>
      </c>
      <c r="AL7" s="1">
        <v>577</v>
      </c>
      <c r="AQ7" s="3" t="s">
        <v>21</v>
      </c>
      <c r="AR7" s="1">
        <v>794465.6</v>
      </c>
      <c r="AS7" s="1">
        <v>966144.48</v>
      </c>
      <c r="AT7" s="1">
        <v>1760610.08</v>
      </c>
      <c r="BB7" s="3" t="s">
        <v>26</v>
      </c>
      <c r="BC7" s="1"/>
      <c r="BD7" s="1"/>
      <c r="BE7" s="1"/>
      <c r="BF7" s="1"/>
      <c r="BG7" s="1"/>
      <c r="BH7" s="1"/>
      <c r="BI7" s="1">
        <v>8993</v>
      </c>
      <c r="BJ7" s="1">
        <v>5972</v>
      </c>
      <c r="BK7" s="1">
        <v>3867</v>
      </c>
      <c r="BL7" s="1">
        <v>18832</v>
      </c>
    </row>
    <row r="8" spans="1:64" x14ac:dyDescent="0.3">
      <c r="H8" s="3" t="s">
        <v>15</v>
      </c>
      <c r="I8" s="1">
        <v>666802.16</v>
      </c>
      <c r="J8" s="1">
        <v>1775727.68</v>
      </c>
      <c r="L8" s="3" t="s">
        <v>60</v>
      </c>
      <c r="M8" s="1">
        <v>233154825.20000008</v>
      </c>
      <c r="N8" s="1">
        <v>92723306.170000046</v>
      </c>
      <c r="O8" s="1">
        <v>140431519.02999994</v>
      </c>
      <c r="Q8" s="3" t="s">
        <v>1425</v>
      </c>
      <c r="R8" s="1">
        <v>4108188.02</v>
      </c>
      <c r="S8" s="1">
        <v>17288918.23</v>
      </c>
      <c r="T8" s="1">
        <v>13180730.210000001</v>
      </c>
      <c r="Y8" s="3" t="s">
        <v>44</v>
      </c>
      <c r="Z8" s="1">
        <v>503.82</v>
      </c>
      <c r="AF8" s="3" t="s">
        <v>33</v>
      </c>
      <c r="AG8" s="1">
        <v>16356.67</v>
      </c>
      <c r="AH8" s="1">
        <v>63322.71</v>
      </c>
      <c r="AI8" s="1">
        <v>46966.04</v>
      </c>
      <c r="AQ8" s="3" t="s">
        <v>60</v>
      </c>
      <c r="AR8" s="1"/>
      <c r="AS8" s="1">
        <v>2657301.6</v>
      </c>
      <c r="AT8" s="1">
        <v>2657301.6</v>
      </c>
      <c r="BB8" s="3" t="s">
        <v>21</v>
      </c>
      <c r="BC8" s="1">
        <v>8841</v>
      </c>
      <c r="BD8" s="1"/>
      <c r="BE8" s="1"/>
      <c r="BF8" s="1"/>
      <c r="BG8" s="1">
        <v>7270</v>
      </c>
      <c r="BH8" s="1"/>
      <c r="BI8" s="1"/>
      <c r="BJ8" s="1"/>
      <c r="BK8" s="1"/>
      <c r="BL8" s="1">
        <v>16111</v>
      </c>
    </row>
    <row r="9" spans="1:64" x14ac:dyDescent="0.3">
      <c r="F9" s="8">
        <f>GETPIVOTDATA("[Measures].[Sum of Total Cost]",$A$3)</f>
        <v>16097237.23</v>
      </c>
      <c r="H9" s="3" t="s">
        <v>232</v>
      </c>
      <c r="I9" s="1">
        <v>533337.23</v>
      </c>
      <c r="J9" s="1">
        <v>1245001.1499999999</v>
      </c>
      <c r="L9" s="3" t="s">
        <v>33</v>
      </c>
      <c r="M9" s="1">
        <v>5520299.7600000007</v>
      </c>
      <c r="N9" s="1">
        <v>1425929.52</v>
      </c>
      <c r="O9" s="1">
        <v>4094370.2400000007</v>
      </c>
      <c r="Q9" s="3" t="s">
        <v>1426</v>
      </c>
      <c r="R9" s="1">
        <v>4679181.68</v>
      </c>
      <c r="S9" s="1">
        <v>13558548.060000001</v>
      </c>
      <c r="T9" s="1">
        <v>8879366.3800000008</v>
      </c>
      <c r="Y9" s="3" t="s">
        <v>116</v>
      </c>
      <c r="Z9" s="1">
        <v>5809889.7400000002</v>
      </c>
      <c r="AF9" s="3" t="s">
        <v>57</v>
      </c>
      <c r="AG9" s="1">
        <v>1209000.3500000001</v>
      </c>
      <c r="AH9" s="1">
        <v>4875029.6500000004</v>
      </c>
      <c r="AI9" s="1">
        <v>3666029.3</v>
      </c>
      <c r="AQ9" s="3" t="s">
        <v>33</v>
      </c>
      <c r="AR9" s="1">
        <v>503.82</v>
      </c>
      <c r="AS9" s="1">
        <v>62818.89</v>
      </c>
      <c r="AT9" s="1">
        <v>63322.71</v>
      </c>
      <c r="BB9" s="3" t="s">
        <v>60</v>
      </c>
      <c r="BC9" s="1"/>
      <c r="BD9" s="1"/>
      <c r="BE9" s="1"/>
      <c r="BF9" s="1"/>
      <c r="BG9" s="1"/>
      <c r="BH9" s="1"/>
      <c r="BI9" s="1">
        <v>6078</v>
      </c>
      <c r="BJ9" s="1"/>
      <c r="BK9" s="1"/>
      <c r="BL9" s="1">
        <v>6078</v>
      </c>
    </row>
    <row r="10" spans="1:64" x14ac:dyDescent="0.3">
      <c r="H10" s="3" t="s">
        <v>94</v>
      </c>
      <c r="I10" s="1">
        <v>479649.16</v>
      </c>
      <c r="J10" s="1">
        <v>1457349.55</v>
      </c>
      <c r="L10" s="3" t="s">
        <v>57</v>
      </c>
      <c r="M10" s="1">
        <v>294205199.23000008</v>
      </c>
      <c r="N10" s="1">
        <v>72962466.769999996</v>
      </c>
      <c r="O10" s="1">
        <v>221242732.45999995</v>
      </c>
      <c r="Q10" s="3" t="s">
        <v>1427</v>
      </c>
      <c r="R10" s="1">
        <v>9545484.2599999998</v>
      </c>
      <c r="S10" s="1">
        <v>32853571.68</v>
      </c>
      <c r="T10" s="1">
        <v>23308087.420000002</v>
      </c>
      <c r="Y10" s="3" t="s">
        <v>232</v>
      </c>
      <c r="Z10" s="1">
        <v>1245001.1499999999</v>
      </c>
      <c r="AF10" s="3" t="s">
        <v>42</v>
      </c>
      <c r="AG10" s="1">
        <v>263348.8</v>
      </c>
      <c r="AH10" s="1">
        <v>1942381.56</v>
      </c>
      <c r="AI10" s="1">
        <v>1679032.76</v>
      </c>
      <c r="AQ10" s="3" t="s">
        <v>57</v>
      </c>
      <c r="AR10" s="1">
        <v>3964845.91</v>
      </c>
      <c r="AS10" s="1">
        <v>910183.74</v>
      </c>
      <c r="AT10" s="1">
        <v>4875029.6500000004</v>
      </c>
      <c r="BB10" s="3" t="s">
        <v>33</v>
      </c>
      <c r="BC10" s="1"/>
      <c r="BD10" s="1"/>
      <c r="BE10" s="1"/>
      <c r="BF10" s="1"/>
      <c r="BG10" s="1">
        <v>4958</v>
      </c>
      <c r="BH10" s="1">
        <v>54</v>
      </c>
      <c r="BI10" s="1"/>
      <c r="BJ10" s="1">
        <v>1775</v>
      </c>
      <c r="BK10" s="1"/>
      <c r="BL10" s="1">
        <v>6787</v>
      </c>
    </row>
    <row r="11" spans="1:64" x14ac:dyDescent="0.3">
      <c r="H11" s="3" t="s">
        <v>81</v>
      </c>
      <c r="I11" s="1">
        <v>278015.38</v>
      </c>
      <c r="J11" s="1">
        <v>1981439.4</v>
      </c>
      <c r="L11" s="3" t="s">
        <v>42</v>
      </c>
      <c r="M11" s="1">
        <v>225026000.63999993</v>
      </c>
      <c r="N11" s="1">
        <v>30509107.200000007</v>
      </c>
      <c r="O11" s="1">
        <v>194516893.44</v>
      </c>
      <c r="Q11" s="3" t="s">
        <v>1428</v>
      </c>
      <c r="R11" s="1">
        <v>5979201.9800000004</v>
      </c>
      <c r="S11" s="1">
        <v>20769776.859999999</v>
      </c>
      <c r="T11" s="1">
        <v>14790574.880000001</v>
      </c>
      <c r="Y11" s="3" t="s">
        <v>137</v>
      </c>
      <c r="Z11" s="1">
        <v>5471502.2699999996</v>
      </c>
      <c r="AF11" s="3" t="s">
        <v>29</v>
      </c>
      <c r="AG11" s="1">
        <v>547798.75</v>
      </c>
      <c r="AH11" s="1">
        <v>2825600.19</v>
      </c>
      <c r="AI11" s="1">
        <v>2277801.44</v>
      </c>
      <c r="AQ11" s="3" t="s">
        <v>42</v>
      </c>
      <c r="AR11" s="1"/>
      <c r="AS11" s="1">
        <v>1942381.56</v>
      </c>
      <c r="AT11" s="1">
        <v>1942381.56</v>
      </c>
      <c r="BB11" s="3" t="s">
        <v>57</v>
      </c>
      <c r="BC11" s="1">
        <v>1362</v>
      </c>
      <c r="BD11" s="1"/>
      <c r="BE11" s="1"/>
      <c r="BF11" s="1"/>
      <c r="BG11" s="1"/>
      <c r="BH11" s="1"/>
      <c r="BI11" s="1"/>
      <c r="BJ11" s="1"/>
      <c r="BK11" s="1">
        <v>5933</v>
      </c>
      <c r="BL11" s="1">
        <v>7295</v>
      </c>
    </row>
    <row r="12" spans="1:64" x14ac:dyDescent="0.3">
      <c r="F12" s="9">
        <f>GETPIVOTDATA("[Measures].[Sum of Units Sold]",$BB$2)</f>
        <v>126525</v>
      </c>
      <c r="H12" s="3" t="s">
        <v>44</v>
      </c>
      <c r="I12" s="1">
        <v>130.13999999999999</v>
      </c>
      <c r="J12" s="1">
        <v>503.82</v>
      </c>
      <c r="L12" s="3" t="s">
        <v>29</v>
      </c>
      <c r="M12" s="1">
        <v>402213995.61000013</v>
      </c>
      <c r="N12" s="1">
        <v>77977176.25</v>
      </c>
      <c r="O12" s="1">
        <v>324236819.36000019</v>
      </c>
      <c r="Q12" s="3" t="s">
        <v>1429</v>
      </c>
      <c r="R12" s="1">
        <v>5494411.75</v>
      </c>
      <c r="S12" s="1">
        <v>17442612.949999999</v>
      </c>
      <c r="T12" s="1">
        <v>11948201.199999999</v>
      </c>
      <c r="Y12" s="3" t="s">
        <v>1412</v>
      </c>
      <c r="Z12" s="1">
        <v>24191499.559999999</v>
      </c>
      <c r="AF12" s="3" t="s">
        <v>79</v>
      </c>
      <c r="AG12" s="1">
        <v>429854.18</v>
      </c>
      <c r="AH12" s="1">
        <v>1401914.69</v>
      </c>
      <c r="AI12" s="1">
        <v>972060.51</v>
      </c>
      <c r="AQ12" s="3" t="s">
        <v>29</v>
      </c>
      <c r="AR12" s="1">
        <v>2825600.19</v>
      </c>
      <c r="AS12" s="1"/>
      <c r="AT12" s="1">
        <v>2825600.19</v>
      </c>
      <c r="BB12" s="3" t="s">
        <v>42</v>
      </c>
      <c r="BC12" s="1"/>
      <c r="BD12" s="1">
        <v>4604</v>
      </c>
      <c r="BE12" s="1"/>
      <c r="BF12" s="1"/>
      <c r="BG12" s="1"/>
      <c r="BH12" s="1"/>
      <c r="BI12" s="1"/>
      <c r="BJ12" s="1"/>
      <c r="BK12" s="1"/>
      <c r="BL12" s="1">
        <v>4604</v>
      </c>
    </row>
    <row r="13" spans="1:64" x14ac:dyDescent="0.3">
      <c r="H13" s="3" t="s">
        <v>1412</v>
      </c>
      <c r="I13" s="1">
        <v>8094262.3300000001</v>
      </c>
      <c r="J13" s="1">
        <v>24191499.559999999</v>
      </c>
      <c r="L13" s="3" t="s">
        <v>79</v>
      </c>
      <c r="M13" s="1">
        <v>45808030.399999999</v>
      </c>
      <c r="N13" s="1">
        <v>14045628.800000008</v>
      </c>
      <c r="O13" s="1">
        <v>31762401.600000001</v>
      </c>
      <c r="Q13" s="3" t="s">
        <v>1430</v>
      </c>
      <c r="R13" s="1">
        <v>2712306.24</v>
      </c>
      <c r="S13" s="1">
        <v>6984585.4000000004</v>
      </c>
      <c r="T13" s="1">
        <v>4272279.16</v>
      </c>
      <c r="AF13" s="3" t="s">
        <v>48</v>
      </c>
      <c r="AG13" s="1">
        <v>470785.32</v>
      </c>
      <c r="AH13" s="1">
        <v>1302728.04</v>
      </c>
      <c r="AI13" s="1">
        <v>831942.72</v>
      </c>
      <c r="AQ13" s="3" t="s">
        <v>79</v>
      </c>
      <c r="AR13" s="1">
        <v>711214.46</v>
      </c>
      <c r="AS13" s="1">
        <v>690700.23</v>
      </c>
      <c r="AT13" s="1">
        <v>1401914.69</v>
      </c>
      <c r="BB13" s="3" t="s">
        <v>29</v>
      </c>
      <c r="BC13" s="1"/>
      <c r="BD13" s="1"/>
      <c r="BE13" s="1"/>
      <c r="BF13" s="1"/>
      <c r="BG13" s="1">
        <v>4339</v>
      </c>
      <c r="BH13" s="1"/>
      <c r="BI13" s="1"/>
      <c r="BJ13" s="1"/>
      <c r="BK13" s="1"/>
      <c r="BL13" s="1">
        <v>4339</v>
      </c>
    </row>
    <row r="14" spans="1:64" x14ac:dyDescent="0.3">
      <c r="L14" s="3" t="s">
        <v>48</v>
      </c>
      <c r="M14" s="1">
        <v>74788612.799999982</v>
      </c>
      <c r="N14" s="1">
        <v>27027422.399999995</v>
      </c>
      <c r="O14" s="1">
        <v>47761190.400000021</v>
      </c>
      <c r="Q14" s="3" t="s">
        <v>1431</v>
      </c>
      <c r="R14" s="1">
        <v>5132690.0199999996</v>
      </c>
      <c r="S14" s="1">
        <v>15783807.18</v>
      </c>
      <c r="T14" s="1">
        <v>10651117.16</v>
      </c>
      <c r="AF14" s="3" t="s">
        <v>1412</v>
      </c>
      <c r="AG14" s="1">
        <v>8094262.3300000001</v>
      </c>
      <c r="AH14" s="1">
        <v>24191499.559999999</v>
      </c>
      <c r="AI14" s="1">
        <v>16097237.23</v>
      </c>
      <c r="AQ14" s="3" t="s">
        <v>48</v>
      </c>
      <c r="AR14" s="1">
        <v>1302728.04</v>
      </c>
      <c r="AS14" s="1"/>
      <c r="AT14" s="1">
        <v>1302728.04</v>
      </c>
      <c r="BB14" s="3" t="s">
        <v>79</v>
      </c>
      <c r="BC14" s="1"/>
      <c r="BD14" s="1"/>
      <c r="BE14" s="1"/>
      <c r="BF14" s="1">
        <v>8451</v>
      </c>
      <c r="BG14" s="1"/>
      <c r="BH14" s="1"/>
      <c r="BI14" s="1"/>
      <c r="BJ14" s="1"/>
      <c r="BK14" s="1">
        <v>8702</v>
      </c>
      <c r="BL14" s="1">
        <v>17153</v>
      </c>
    </row>
    <row r="15" spans="1:64" x14ac:dyDescent="0.3">
      <c r="L15" s="3" t="s">
        <v>39</v>
      </c>
      <c r="M15" s="1">
        <v>89746728.64000003</v>
      </c>
      <c r="N15" s="1">
        <v>36776002.719999991</v>
      </c>
      <c r="O15" s="1">
        <v>52970725.920000017</v>
      </c>
      <c r="Q15" s="3" t="s">
        <v>1432</v>
      </c>
      <c r="R15" s="1">
        <v>4128530.04</v>
      </c>
      <c r="S15" s="1">
        <v>16279887.25</v>
      </c>
      <c r="T15" s="1">
        <v>12151357.210000001</v>
      </c>
      <c r="AQ15" s="3" t="s">
        <v>1412</v>
      </c>
      <c r="AR15" s="1">
        <v>13863234.32</v>
      </c>
      <c r="AS15" s="1">
        <v>10328265.24</v>
      </c>
      <c r="AT15" s="1">
        <v>24191499.559999999</v>
      </c>
      <c r="BB15" s="3" t="s">
        <v>1412</v>
      </c>
      <c r="BC15" s="1">
        <v>10203</v>
      </c>
      <c r="BD15" s="1">
        <v>4757</v>
      </c>
      <c r="BE15" s="1">
        <v>6956</v>
      </c>
      <c r="BF15" s="1">
        <v>19006</v>
      </c>
      <c r="BG15" s="1">
        <v>35691</v>
      </c>
      <c r="BH15" s="1">
        <v>54</v>
      </c>
      <c r="BI15" s="1">
        <v>23609</v>
      </c>
      <c r="BJ15" s="1">
        <v>7747</v>
      </c>
      <c r="BK15" s="1">
        <v>18502</v>
      </c>
      <c r="BL15" s="1">
        <v>126525</v>
      </c>
    </row>
    <row r="16" spans="1:64" x14ac:dyDescent="0.3">
      <c r="L16" s="3" t="s">
        <v>1412</v>
      </c>
      <c r="M16" s="1">
        <v>1703622398.1100001</v>
      </c>
      <c r="N16" s="1">
        <v>501676048.32000005</v>
      </c>
      <c r="O16" s="1">
        <v>1201946349.7900002</v>
      </c>
      <c r="Q16" s="3" t="s">
        <v>1412</v>
      </c>
      <c r="R16" s="1">
        <v>57771920.850000001</v>
      </c>
      <c r="S16" s="1">
        <v>191520956.77000001</v>
      </c>
      <c r="T16" s="1">
        <v>133749035.92</v>
      </c>
    </row>
    <row r="18" spans="1:18" x14ac:dyDescent="0.3">
      <c r="A18" s="2" t="s">
        <v>1416</v>
      </c>
      <c r="B18" s="2" t="s">
        <v>1413</v>
      </c>
    </row>
    <row r="19" spans="1:18" x14ac:dyDescent="0.3">
      <c r="A19" s="2" t="s">
        <v>1411</v>
      </c>
      <c r="B19" t="s">
        <v>18</v>
      </c>
      <c r="C19" t="s">
        <v>45</v>
      </c>
      <c r="D19" t="s">
        <v>30</v>
      </c>
      <c r="E19" t="s">
        <v>23</v>
      </c>
      <c r="F19" t="s">
        <v>1412</v>
      </c>
    </row>
    <row r="20" spans="1:18" x14ac:dyDescent="0.3">
      <c r="A20" s="3" t="s">
        <v>48</v>
      </c>
      <c r="B20" s="1"/>
      <c r="C20" s="1"/>
      <c r="D20" s="1"/>
      <c r="E20" s="1">
        <v>1302728.04</v>
      </c>
      <c r="F20" s="1">
        <v>1302728.04</v>
      </c>
      <c r="L20" s="2" t="s">
        <v>1411</v>
      </c>
      <c r="M20" t="s">
        <v>1436</v>
      </c>
      <c r="N20" t="s">
        <v>1438</v>
      </c>
      <c r="O20" t="s">
        <v>1434</v>
      </c>
    </row>
    <row r="21" spans="1:18" x14ac:dyDescent="0.3">
      <c r="A21" s="3" t="s">
        <v>52</v>
      </c>
      <c r="B21" s="1">
        <v>1775727.68</v>
      </c>
      <c r="C21" s="1"/>
      <c r="D21" s="1">
        <v>326503.12</v>
      </c>
      <c r="E21" s="1">
        <v>39057.839999999997</v>
      </c>
      <c r="F21" s="1">
        <v>2141288.64</v>
      </c>
      <c r="L21" s="3" t="s">
        <v>48</v>
      </c>
      <c r="M21" s="1">
        <v>97.44</v>
      </c>
      <c r="N21" s="1">
        <v>152.58000000000001</v>
      </c>
      <c r="O21" s="1">
        <v>55.140000000000015</v>
      </c>
      <c r="Q21" s="2" t="s">
        <v>1411</v>
      </c>
      <c r="R21" t="s">
        <v>1439</v>
      </c>
    </row>
    <row r="22" spans="1:18" x14ac:dyDescent="0.3">
      <c r="A22" s="3" t="s">
        <v>16</v>
      </c>
      <c r="B22" s="1"/>
      <c r="C22" s="1">
        <v>496516.8</v>
      </c>
      <c r="D22" s="1">
        <v>802332.05</v>
      </c>
      <c r="E22" s="1">
        <v>48731.15</v>
      </c>
      <c r="F22" s="1">
        <v>1347580</v>
      </c>
      <c r="L22" s="3" t="s">
        <v>52</v>
      </c>
      <c r="M22" s="1">
        <v>478.26</v>
      </c>
      <c r="N22" s="1">
        <v>765.84</v>
      </c>
      <c r="O22" s="1">
        <v>287.58000000000004</v>
      </c>
      <c r="Q22" s="3" t="s">
        <v>50</v>
      </c>
      <c r="R22" s="1">
        <v>40</v>
      </c>
    </row>
    <row r="23" spans="1:18" x14ac:dyDescent="0.3">
      <c r="A23" s="3" t="s">
        <v>26</v>
      </c>
      <c r="B23" s="1"/>
      <c r="C23" s="1">
        <v>3078300.5</v>
      </c>
      <c r="D23" s="1"/>
      <c r="E23" s="1">
        <v>795441.9</v>
      </c>
      <c r="F23" s="1">
        <v>3873742.4</v>
      </c>
      <c r="L23" s="3" t="s">
        <v>16</v>
      </c>
      <c r="M23" s="1">
        <v>158.94999999999999</v>
      </c>
      <c r="N23" s="1">
        <v>237.25</v>
      </c>
      <c r="O23" s="1">
        <v>78.300000000000011</v>
      </c>
      <c r="Q23" s="3" t="s">
        <v>150</v>
      </c>
      <c r="R23" s="1">
        <v>40</v>
      </c>
    </row>
    <row r="24" spans="1:18" x14ac:dyDescent="0.3">
      <c r="A24" s="3" t="s">
        <v>21</v>
      </c>
      <c r="B24" s="1">
        <v>979585.92</v>
      </c>
      <c r="C24" s="1"/>
      <c r="D24" s="1">
        <v>781024.16</v>
      </c>
      <c r="E24" s="1"/>
      <c r="F24" s="1">
        <v>1760610.08</v>
      </c>
      <c r="L24" s="3" t="s">
        <v>26</v>
      </c>
      <c r="M24" s="1">
        <v>351.33</v>
      </c>
      <c r="N24" s="1">
        <v>617.09999999999991</v>
      </c>
      <c r="O24" s="1">
        <v>265.77</v>
      </c>
      <c r="Q24" s="3" t="s">
        <v>97</v>
      </c>
      <c r="R24" s="1">
        <v>35</v>
      </c>
    </row>
    <row r="25" spans="1:18" x14ac:dyDescent="0.3">
      <c r="A25" s="3" t="s">
        <v>60</v>
      </c>
      <c r="B25" s="1"/>
      <c r="C25" s="1"/>
      <c r="D25" s="1"/>
      <c r="E25" s="1">
        <v>2657301.6</v>
      </c>
      <c r="F25" s="1">
        <v>2657301.6</v>
      </c>
      <c r="L25" s="3" t="s">
        <v>21</v>
      </c>
      <c r="M25" s="1">
        <v>107.52000000000001</v>
      </c>
      <c r="N25" s="1">
        <v>327.84000000000003</v>
      </c>
      <c r="O25" s="1">
        <v>220.32</v>
      </c>
      <c r="Q25" s="3" t="s">
        <v>219</v>
      </c>
      <c r="R25" s="1">
        <v>34</v>
      </c>
    </row>
    <row r="26" spans="1:18" x14ac:dyDescent="0.3">
      <c r="A26" s="3" t="s">
        <v>33</v>
      </c>
      <c r="B26" s="1"/>
      <c r="C26" s="1">
        <v>503.82</v>
      </c>
      <c r="D26" s="1">
        <v>46258.14</v>
      </c>
      <c r="E26" s="1">
        <v>16560.75</v>
      </c>
      <c r="F26" s="1">
        <v>63322.71</v>
      </c>
      <c r="L26" s="3" t="s">
        <v>60</v>
      </c>
      <c r="M26" s="1">
        <v>263.33</v>
      </c>
      <c r="N26" s="1">
        <v>437.2</v>
      </c>
      <c r="O26" s="1">
        <v>173.87</v>
      </c>
      <c r="Q26" s="3" t="s">
        <v>20</v>
      </c>
      <c r="R26" s="1">
        <v>33</v>
      </c>
    </row>
    <row r="27" spans="1:18" x14ac:dyDescent="0.3">
      <c r="A27" s="3" t="s">
        <v>57</v>
      </c>
      <c r="B27" s="1"/>
      <c r="C27" s="1"/>
      <c r="D27" s="1">
        <v>910183.74</v>
      </c>
      <c r="E27" s="1">
        <v>3964845.91</v>
      </c>
      <c r="F27" s="1">
        <v>4875029.6500000004</v>
      </c>
      <c r="L27" s="3" t="s">
        <v>33</v>
      </c>
      <c r="M27" s="1">
        <v>20.759999999999998</v>
      </c>
      <c r="N27" s="1">
        <v>27.990000000000002</v>
      </c>
      <c r="O27" s="1">
        <v>7.23</v>
      </c>
      <c r="Q27" s="3" t="s">
        <v>59</v>
      </c>
      <c r="R27" s="1">
        <v>33</v>
      </c>
    </row>
    <row r="28" spans="1:18" x14ac:dyDescent="0.3">
      <c r="A28" s="3" t="s">
        <v>42</v>
      </c>
      <c r="B28" s="1"/>
      <c r="C28" s="1"/>
      <c r="D28" s="1">
        <v>1942381.56</v>
      </c>
      <c r="E28" s="1"/>
      <c r="F28" s="1">
        <v>1942381.56</v>
      </c>
      <c r="L28" s="3" t="s">
        <v>57</v>
      </c>
      <c r="M28" s="1">
        <v>1005.08</v>
      </c>
      <c r="N28" s="1">
        <v>1336.54</v>
      </c>
      <c r="O28" s="1">
        <v>331.45999999999992</v>
      </c>
      <c r="Q28" s="3" t="s">
        <v>56</v>
      </c>
      <c r="R28" s="1">
        <v>32</v>
      </c>
    </row>
    <row r="29" spans="1:18" x14ac:dyDescent="0.3">
      <c r="A29" s="3" t="s">
        <v>29</v>
      </c>
      <c r="B29" s="1"/>
      <c r="C29" s="1"/>
      <c r="D29" s="1"/>
      <c r="E29" s="1">
        <v>2825600.19</v>
      </c>
      <c r="F29" s="1">
        <v>2825600.19</v>
      </c>
      <c r="L29" s="3" t="s">
        <v>42</v>
      </c>
      <c r="M29" s="1">
        <v>364.69</v>
      </c>
      <c r="N29" s="1">
        <v>421.89</v>
      </c>
      <c r="O29" s="1">
        <v>57.199999999999989</v>
      </c>
      <c r="Q29" s="3" t="s">
        <v>129</v>
      </c>
      <c r="R29" s="1">
        <v>32</v>
      </c>
    </row>
    <row r="30" spans="1:18" x14ac:dyDescent="0.3">
      <c r="A30" s="3" t="s">
        <v>79</v>
      </c>
      <c r="B30" s="1"/>
      <c r="C30" s="1">
        <v>711214.46</v>
      </c>
      <c r="D30" s="1">
        <v>690700.23</v>
      </c>
      <c r="E30" s="1"/>
      <c r="F30" s="1">
        <v>1401914.69</v>
      </c>
      <c r="L30" s="3" t="s">
        <v>29</v>
      </c>
      <c r="M30" s="1">
        <v>524.96</v>
      </c>
      <c r="N30" s="1">
        <v>651.21</v>
      </c>
      <c r="O30" s="1">
        <v>126.25</v>
      </c>
      <c r="Q30" s="3" t="s">
        <v>77</v>
      </c>
      <c r="R30" s="1">
        <v>32</v>
      </c>
    </row>
    <row r="31" spans="1:18" x14ac:dyDescent="0.3">
      <c r="A31" s="3" t="s">
        <v>1412</v>
      </c>
      <c r="B31" s="1">
        <v>2755313.6</v>
      </c>
      <c r="C31" s="1">
        <v>4286535.58</v>
      </c>
      <c r="D31" s="1">
        <v>5499383</v>
      </c>
      <c r="E31" s="1">
        <v>11650267.380000001</v>
      </c>
      <c r="F31" s="1">
        <v>24191499.559999999</v>
      </c>
      <c r="L31" s="3" t="s">
        <v>79</v>
      </c>
      <c r="M31" s="1">
        <v>113.34</v>
      </c>
      <c r="N31" s="1">
        <v>163.46</v>
      </c>
      <c r="O31" s="1">
        <v>50.120000000000005</v>
      </c>
      <c r="Q31" s="3" t="s">
        <v>127</v>
      </c>
      <c r="R31" s="1">
        <v>32</v>
      </c>
    </row>
    <row r="32" spans="1:18" x14ac:dyDescent="0.3">
      <c r="L32" s="3" t="s">
        <v>1412</v>
      </c>
      <c r="M32" s="1">
        <v>3485.6600000000003</v>
      </c>
      <c r="N32" s="1">
        <v>5138.8999999999978</v>
      </c>
      <c r="O32" s="1">
        <v>1653.2400000000002</v>
      </c>
      <c r="Q32" s="3" t="s">
        <v>1412</v>
      </c>
      <c r="R32" s="1">
        <v>343</v>
      </c>
    </row>
    <row r="36" spans="12:13" x14ac:dyDescent="0.3">
      <c r="L36" s="2" t="s">
        <v>1411</v>
      </c>
      <c r="M36" t="s">
        <v>1435</v>
      </c>
    </row>
    <row r="37" spans="12:13" x14ac:dyDescent="0.3">
      <c r="L37" s="3" t="s">
        <v>18</v>
      </c>
      <c r="M37" s="1">
        <v>7274</v>
      </c>
    </row>
    <row r="38" spans="12:13" x14ac:dyDescent="0.3">
      <c r="L38" s="3" t="s">
        <v>45</v>
      </c>
      <c r="M38" s="1">
        <v>8147</v>
      </c>
    </row>
    <row r="39" spans="12:13" x14ac:dyDescent="0.3">
      <c r="L39" s="3" t="s">
        <v>30</v>
      </c>
      <c r="M39" s="1">
        <v>8383</v>
      </c>
    </row>
    <row r="40" spans="12:13" x14ac:dyDescent="0.3">
      <c r="L40" s="3" t="s">
        <v>23</v>
      </c>
      <c r="M40" s="1">
        <v>9148</v>
      </c>
    </row>
    <row r="41" spans="12:13" x14ac:dyDescent="0.3">
      <c r="L41" s="3" t="s">
        <v>1412</v>
      </c>
      <c r="M41" s="1">
        <v>32952</v>
      </c>
    </row>
    <row r="44" spans="12:13" x14ac:dyDescent="0.3">
      <c r="L44" s="3" t="s">
        <v>1440</v>
      </c>
      <c r="M44" t="s">
        <v>1441</v>
      </c>
    </row>
    <row r="45" spans="12:13" x14ac:dyDescent="0.3">
      <c r="L45" t="s">
        <v>103</v>
      </c>
      <c r="M45">
        <v>32224853.870000001</v>
      </c>
    </row>
    <row r="46" spans="12:13" x14ac:dyDescent="0.3">
      <c r="L46" t="s">
        <v>150</v>
      </c>
      <c r="M46">
        <v>47756693.170000002</v>
      </c>
    </row>
    <row r="47" spans="12:13" x14ac:dyDescent="0.3">
      <c r="L47" t="s">
        <v>91</v>
      </c>
      <c r="M47">
        <v>37519840.210000001</v>
      </c>
    </row>
    <row r="48" spans="12:13" x14ac:dyDescent="0.3">
      <c r="L48" t="s">
        <v>25</v>
      </c>
      <c r="M48">
        <v>35740871.490000002</v>
      </c>
    </row>
    <row r="49" spans="2:13" x14ac:dyDescent="0.3">
      <c r="L49" t="s">
        <v>176</v>
      </c>
      <c r="M49">
        <v>34236260.770000003</v>
      </c>
    </row>
    <row r="50" spans="2:13" x14ac:dyDescent="0.3">
      <c r="L50" t="s">
        <v>47</v>
      </c>
      <c r="M50">
        <v>25852572.300000001</v>
      </c>
    </row>
    <row r="51" spans="2:13" x14ac:dyDescent="0.3">
      <c r="L51" t="s">
        <v>20</v>
      </c>
      <c r="M51">
        <v>50117508.490000002</v>
      </c>
    </row>
    <row r="52" spans="2:13" x14ac:dyDescent="0.3">
      <c r="L52" t="s">
        <v>28</v>
      </c>
      <c r="M52">
        <v>38161555.700000003</v>
      </c>
    </row>
    <row r="53" spans="2:13" x14ac:dyDescent="0.3">
      <c r="L53" t="s">
        <v>157</v>
      </c>
      <c r="M53">
        <v>27348195.699999999</v>
      </c>
    </row>
    <row r="54" spans="2:13" x14ac:dyDescent="0.3">
      <c r="B54" s="2" t="s">
        <v>1411</v>
      </c>
      <c r="C54" t="s">
        <v>1416</v>
      </c>
      <c r="E54" t="s">
        <v>1440</v>
      </c>
      <c r="F54" t="s">
        <v>1441</v>
      </c>
      <c r="L54" t="s">
        <v>81</v>
      </c>
      <c r="M54">
        <v>33008851.5</v>
      </c>
    </row>
    <row r="55" spans="2:13" x14ac:dyDescent="0.3">
      <c r="B55" s="3" t="s">
        <v>157</v>
      </c>
      <c r="C55" s="1">
        <v>1876328.22</v>
      </c>
      <c r="E55" t="str">
        <f>B55</f>
        <v>Croatia</v>
      </c>
      <c r="F55">
        <f>C55</f>
        <v>1876328.22</v>
      </c>
      <c r="L55" t="s">
        <v>15</v>
      </c>
      <c r="M55">
        <v>53543932.140000001</v>
      </c>
    </row>
    <row r="56" spans="2:13" x14ac:dyDescent="0.3">
      <c r="B56" s="3" t="s">
        <v>81</v>
      </c>
      <c r="C56" s="1">
        <v>1981439.4</v>
      </c>
      <c r="E56" t="str">
        <f t="shared" ref="E56:E102" si="0">B56</f>
        <v>Cyprus</v>
      </c>
      <c r="F56">
        <f t="shared" ref="F56:F103" si="1">C56</f>
        <v>1981439.4</v>
      </c>
      <c r="L56" t="s">
        <v>94</v>
      </c>
      <c r="M56">
        <v>26968532.52</v>
      </c>
    </row>
    <row r="57" spans="2:13" x14ac:dyDescent="0.3">
      <c r="B57" s="3" t="s">
        <v>15</v>
      </c>
      <c r="C57" s="1">
        <v>1775727.68</v>
      </c>
      <c r="E57" t="str">
        <f t="shared" si="0"/>
        <v>Czech Republic</v>
      </c>
      <c r="F57">
        <f t="shared" si="1"/>
        <v>1775727.68</v>
      </c>
      <c r="L57" t="s">
        <v>32</v>
      </c>
      <c r="M57">
        <v>23410001.789999999</v>
      </c>
    </row>
    <row r="58" spans="2:13" x14ac:dyDescent="0.3">
      <c r="B58" s="3" t="s">
        <v>94</v>
      </c>
      <c r="C58" s="1">
        <v>1457349.55</v>
      </c>
      <c r="E58" t="str">
        <f t="shared" si="0"/>
        <v>Denmark</v>
      </c>
      <c r="F58">
        <f t="shared" si="1"/>
        <v>1457349.55</v>
      </c>
      <c r="L58" t="s">
        <v>44</v>
      </c>
      <c r="M58">
        <v>26027948.98</v>
      </c>
    </row>
    <row r="59" spans="2:13" x14ac:dyDescent="0.3">
      <c r="B59" s="3" t="s">
        <v>32</v>
      </c>
      <c r="C59" s="1">
        <v>4573757.7300000004</v>
      </c>
      <c r="E59" t="str">
        <f t="shared" si="0"/>
        <v>Estonia</v>
      </c>
      <c r="F59">
        <f t="shared" si="1"/>
        <v>4573757.7300000004</v>
      </c>
      <c r="L59" t="s">
        <v>116</v>
      </c>
      <c r="M59">
        <v>39362112.149999999</v>
      </c>
    </row>
    <row r="60" spans="2:13" x14ac:dyDescent="0.3">
      <c r="B60" s="3" t="s">
        <v>44</v>
      </c>
      <c r="C60" s="1">
        <v>503.82</v>
      </c>
      <c r="E60" t="str">
        <f t="shared" si="0"/>
        <v>Finland</v>
      </c>
      <c r="F60">
        <f t="shared" si="1"/>
        <v>503.82</v>
      </c>
      <c r="L60" t="s">
        <v>232</v>
      </c>
      <c r="M60">
        <v>22802195.66</v>
      </c>
    </row>
    <row r="61" spans="2:13" x14ac:dyDescent="0.3">
      <c r="B61" s="3" t="s">
        <v>116</v>
      </c>
      <c r="C61" s="1">
        <v>5809889.7400000002</v>
      </c>
      <c r="E61" t="str">
        <f t="shared" si="0"/>
        <v>France</v>
      </c>
      <c r="F61">
        <f t="shared" si="1"/>
        <v>5809889.7400000002</v>
      </c>
      <c r="L61" t="s">
        <v>137</v>
      </c>
      <c r="M61">
        <v>38055087.560000002</v>
      </c>
    </row>
    <row r="62" spans="2:13" x14ac:dyDescent="0.3">
      <c r="B62" s="3" t="s">
        <v>232</v>
      </c>
      <c r="C62" s="1">
        <v>1245001.1499999999</v>
      </c>
      <c r="E62" t="str">
        <f t="shared" si="0"/>
        <v>Georgia</v>
      </c>
      <c r="F62">
        <f t="shared" si="1"/>
        <v>1245001.1499999999</v>
      </c>
      <c r="L62" t="s">
        <v>129</v>
      </c>
      <c r="M62">
        <v>38699541.700000003</v>
      </c>
    </row>
    <row r="63" spans="2:13" x14ac:dyDescent="0.3">
      <c r="B63" s="3" t="s">
        <v>137</v>
      </c>
      <c r="C63" s="1">
        <v>5471502.2699999996</v>
      </c>
      <c r="E63" t="str">
        <f t="shared" si="0"/>
        <v>Germany</v>
      </c>
      <c r="F63">
        <f t="shared" si="1"/>
        <v>5471502.2699999996</v>
      </c>
      <c r="L63" t="s">
        <v>99</v>
      </c>
      <c r="M63">
        <v>42408249.119999997</v>
      </c>
    </row>
    <row r="64" spans="2:13" x14ac:dyDescent="0.3">
      <c r="E64">
        <f t="shared" si="0"/>
        <v>0</v>
      </c>
      <c r="F64">
        <f t="shared" si="1"/>
        <v>0</v>
      </c>
      <c r="L64" t="s">
        <v>152</v>
      </c>
      <c r="M64">
        <v>25570227.399999999</v>
      </c>
    </row>
    <row r="65" spans="5:13" x14ac:dyDescent="0.3">
      <c r="E65">
        <f t="shared" si="0"/>
        <v>0</v>
      </c>
      <c r="F65">
        <f>C65</f>
        <v>0</v>
      </c>
      <c r="L65" t="s">
        <v>180</v>
      </c>
      <c r="M65">
        <v>33022223.309999999</v>
      </c>
    </row>
    <row r="66" spans="5:13" x14ac:dyDescent="0.3">
      <c r="E66">
        <f t="shared" si="0"/>
        <v>0</v>
      </c>
      <c r="F66">
        <f t="shared" si="1"/>
        <v>0</v>
      </c>
      <c r="L66" t="s">
        <v>131</v>
      </c>
      <c r="M66">
        <v>35878352.119999997</v>
      </c>
    </row>
    <row r="67" spans="5:13" x14ac:dyDescent="0.3">
      <c r="E67">
        <f t="shared" si="0"/>
        <v>0</v>
      </c>
      <c r="F67">
        <f t="shared" si="1"/>
        <v>0</v>
      </c>
      <c r="L67" t="s">
        <v>97</v>
      </c>
      <c r="M67">
        <v>53833142.789999999</v>
      </c>
    </row>
    <row r="68" spans="5:13" x14ac:dyDescent="0.3">
      <c r="E68">
        <f t="shared" si="0"/>
        <v>0</v>
      </c>
      <c r="F68">
        <f t="shared" si="1"/>
        <v>0</v>
      </c>
      <c r="L68" t="s">
        <v>63</v>
      </c>
      <c r="M68">
        <v>38722084.149999999</v>
      </c>
    </row>
    <row r="69" spans="5:13" x14ac:dyDescent="0.3">
      <c r="E69">
        <f t="shared" si="0"/>
        <v>0</v>
      </c>
      <c r="F69">
        <f t="shared" si="1"/>
        <v>0</v>
      </c>
      <c r="L69" t="s">
        <v>71</v>
      </c>
      <c r="M69">
        <v>29872564.41</v>
      </c>
    </row>
    <row r="70" spans="5:13" x14ac:dyDescent="0.3">
      <c r="E70">
        <f t="shared" si="0"/>
        <v>0</v>
      </c>
      <c r="F70">
        <f t="shared" si="1"/>
        <v>0</v>
      </c>
      <c r="L70" t="s">
        <v>101</v>
      </c>
      <c r="M70">
        <v>29031942.100000001</v>
      </c>
    </row>
    <row r="71" spans="5:13" x14ac:dyDescent="0.3">
      <c r="E71">
        <f t="shared" si="0"/>
        <v>0</v>
      </c>
      <c r="F71">
        <f t="shared" si="1"/>
        <v>0</v>
      </c>
      <c r="L71" t="s">
        <v>38</v>
      </c>
      <c r="M71">
        <v>33075377.210000001</v>
      </c>
    </row>
    <row r="72" spans="5:13" x14ac:dyDescent="0.3">
      <c r="E72">
        <f t="shared" si="0"/>
        <v>0</v>
      </c>
      <c r="F72">
        <f t="shared" si="1"/>
        <v>0</v>
      </c>
      <c r="L72" t="s">
        <v>127</v>
      </c>
      <c r="M72">
        <v>49222085.25</v>
      </c>
    </row>
    <row r="73" spans="5:13" x14ac:dyDescent="0.3">
      <c r="E73">
        <f t="shared" si="0"/>
        <v>0</v>
      </c>
      <c r="F73">
        <f t="shared" si="1"/>
        <v>0</v>
      </c>
      <c r="L73" t="s">
        <v>77</v>
      </c>
      <c r="M73">
        <v>47145320.810000002</v>
      </c>
    </row>
    <row r="74" spans="5:13" x14ac:dyDescent="0.3">
      <c r="E74">
        <f t="shared" si="0"/>
        <v>0</v>
      </c>
      <c r="F74">
        <f t="shared" si="1"/>
        <v>0</v>
      </c>
      <c r="L74" t="s">
        <v>1414</v>
      </c>
      <c r="M74">
        <v>27031700.059999999</v>
      </c>
    </row>
    <row r="75" spans="5:13" x14ac:dyDescent="0.3">
      <c r="E75">
        <f t="shared" si="0"/>
        <v>0</v>
      </c>
      <c r="F75">
        <f t="shared" si="1"/>
        <v>0</v>
      </c>
      <c r="L75" t="s">
        <v>84</v>
      </c>
      <c r="M75">
        <v>13828738.16</v>
      </c>
    </row>
    <row r="76" spans="5:13" x14ac:dyDescent="0.3">
      <c r="E76">
        <f t="shared" si="0"/>
        <v>0</v>
      </c>
      <c r="F76">
        <f t="shared" si="1"/>
        <v>0</v>
      </c>
      <c r="L76" t="s">
        <v>35</v>
      </c>
      <c r="M76">
        <v>31346476.899999999</v>
      </c>
    </row>
    <row r="77" spans="5:13" x14ac:dyDescent="0.3">
      <c r="E77">
        <f t="shared" si="0"/>
        <v>0</v>
      </c>
      <c r="F77">
        <f t="shared" si="1"/>
        <v>0</v>
      </c>
      <c r="L77" t="s">
        <v>54</v>
      </c>
      <c r="M77">
        <v>20860788.789999999</v>
      </c>
    </row>
    <row r="78" spans="5:13" x14ac:dyDescent="0.3">
      <c r="E78">
        <f t="shared" si="0"/>
        <v>0</v>
      </c>
      <c r="F78">
        <f t="shared" si="1"/>
        <v>0</v>
      </c>
      <c r="L78" t="s">
        <v>87</v>
      </c>
      <c r="M78">
        <v>31520698.5</v>
      </c>
    </row>
    <row r="79" spans="5:13" x14ac:dyDescent="0.3">
      <c r="E79">
        <f t="shared" si="0"/>
        <v>0</v>
      </c>
      <c r="F79">
        <f t="shared" si="1"/>
        <v>0</v>
      </c>
      <c r="L79" t="s">
        <v>69</v>
      </c>
      <c r="M79">
        <v>33805403.219999999</v>
      </c>
    </row>
    <row r="80" spans="5:13" x14ac:dyDescent="0.3">
      <c r="E80">
        <f t="shared" si="0"/>
        <v>0</v>
      </c>
      <c r="F80">
        <f t="shared" si="1"/>
        <v>0</v>
      </c>
      <c r="L80" t="s">
        <v>67</v>
      </c>
      <c r="M80">
        <v>47172189.840000004</v>
      </c>
    </row>
    <row r="81" spans="5:13" x14ac:dyDescent="0.3">
      <c r="E81">
        <f t="shared" si="0"/>
        <v>0</v>
      </c>
      <c r="F81">
        <f t="shared" si="1"/>
        <v>0</v>
      </c>
      <c r="L81" t="s">
        <v>219</v>
      </c>
      <c r="M81">
        <v>34286150.850000001</v>
      </c>
    </row>
    <row r="82" spans="5:13" x14ac:dyDescent="0.3">
      <c r="E82">
        <f t="shared" si="0"/>
        <v>0</v>
      </c>
      <c r="F82">
        <f t="shared" si="1"/>
        <v>0</v>
      </c>
      <c r="L82" t="s">
        <v>56</v>
      </c>
      <c r="M82">
        <v>46051659.810000002</v>
      </c>
    </row>
    <row r="83" spans="5:13" x14ac:dyDescent="0.3">
      <c r="E83">
        <f t="shared" si="0"/>
        <v>0</v>
      </c>
      <c r="F83">
        <f t="shared" si="1"/>
        <v>0</v>
      </c>
      <c r="L83" t="s">
        <v>50</v>
      </c>
      <c r="M83">
        <v>47883708.479999997</v>
      </c>
    </row>
    <row r="84" spans="5:13" x14ac:dyDescent="0.3">
      <c r="E84">
        <f t="shared" si="0"/>
        <v>0</v>
      </c>
      <c r="F84">
        <f t="shared" si="1"/>
        <v>0</v>
      </c>
      <c r="L84" t="s">
        <v>65</v>
      </c>
      <c r="M84">
        <v>42193537.740000002</v>
      </c>
    </row>
    <row r="85" spans="5:13" x14ac:dyDescent="0.3">
      <c r="E85">
        <f t="shared" si="0"/>
        <v>0</v>
      </c>
      <c r="F85">
        <f t="shared" si="1"/>
        <v>0</v>
      </c>
      <c r="L85" t="s">
        <v>164</v>
      </c>
      <c r="M85">
        <v>42940998.32</v>
      </c>
    </row>
    <row r="86" spans="5:13" x14ac:dyDescent="0.3">
      <c r="E86">
        <f t="shared" si="0"/>
        <v>0</v>
      </c>
      <c r="F86">
        <f t="shared" si="1"/>
        <v>0</v>
      </c>
      <c r="L86" t="s">
        <v>75</v>
      </c>
      <c r="M86">
        <v>38892531.270000003</v>
      </c>
    </row>
    <row r="87" spans="5:13" x14ac:dyDescent="0.3">
      <c r="E87">
        <f t="shared" si="0"/>
        <v>0</v>
      </c>
      <c r="F87">
        <f t="shared" si="1"/>
        <v>0</v>
      </c>
      <c r="L87" t="s">
        <v>118</v>
      </c>
      <c r="M87">
        <v>27644278.670000002</v>
      </c>
    </row>
    <row r="88" spans="5:13" x14ac:dyDescent="0.3">
      <c r="E88">
        <f t="shared" si="0"/>
        <v>0</v>
      </c>
      <c r="F88">
        <f t="shared" si="1"/>
        <v>0</v>
      </c>
      <c r="L88" t="s">
        <v>120</v>
      </c>
      <c r="M88">
        <v>35482128.020000003</v>
      </c>
    </row>
    <row r="89" spans="5:13" x14ac:dyDescent="0.3">
      <c r="E89">
        <f t="shared" si="0"/>
        <v>0</v>
      </c>
      <c r="F89">
        <f t="shared" si="1"/>
        <v>0</v>
      </c>
      <c r="L89" t="s">
        <v>41</v>
      </c>
      <c r="M89">
        <v>31875174</v>
      </c>
    </row>
    <row r="90" spans="5:13" x14ac:dyDescent="0.3">
      <c r="E90">
        <f t="shared" si="0"/>
        <v>0</v>
      </c>
      <c r="F90">
        <f t="shared" si="1"/>
        <v>0</v>
      </c>
      <c r="L90" t="s">
        <v>59</v>
      </c>
      <c r="M90">
        <v>53252317.539999999</v>
      </c>
    </row>
    <row r="91" spans="5:13" x14ac:dyDescent="0.3">
      <c r="E91">
        <f t="shared" si="0"/>
        <v>0</v>
      </c>
      <c r="F91">
        <f t="shared" si="1"/>
        <v>0</v>
      </c>
      <c r="L91" t="s">
        <v>73</v>
      </c>
      <c r="M91">
        <v>26654989.469999999</v>
      </c>
    </row>
    <row r="92" spans="5:13" x14ac:dyDescent="0.3">
      <c r="E92">
        <f t="shared" si="0"/>
        <v>0</v>
      </c>
      <c r="F92">
        <f t="shared" si="1"/>
        <v>0</v>
      </c>
      <c r="L92" t="s">
        <v>172</v>
      </c>
      <c r="M92">
        <v>22280804.100000001</v>
      </c>
    </row>
    <row r="93" spans="5:13" x14ac:dyDescent="0.3">
      <c r="E93">
        <f t="shared" si="0"/>
        <v>0</v>
      </c>
      <c r="F93">
        <f t="shared" si="1"/>
        <v>0</v>
      </c>
    </row>
    <row r="94" spans="5:13" x14ac:dyDescent="0.3">
      <c r="E94">
        <f t="shared" si="0"/>
        <v>0</v>
      </c>
      <c r="F94">
        <f t="shared" si="1"/>
        <v>0</v>
      </c>
    </row>
    <row r="95" spans="5:13" x14ac:dyDescent="0.3">
      <c r="E95">
        <f t="shared" si="0"/>
        <v>0</v>
      </c>
      <c r="F95">
        <f t="shared" si="1"/>
        <v>0</v>
      </c>
    </row>
    <row r="96" spans="5:13" x14ac:dyDescent="0.3">
      <c r="E96">
        <f t="shared" si="0"/>
        <v>0</v>
      </c>
      <c r="F96">
        <f t="shared" si="1"/>
        <v>0</v>
      </c>
    </row>
    <row r="97" spans="5:6" x14ac:dyDescent="0.3">
      <c r="E97">
        <f t="shared" si="0"/>
        <v>0</v>
      </c>
      <c r="F97">
        <f t="shared" si="1"/>
        <v>0</v>
      </c>
    </row>
    <row r="98" spans="5:6" x14ac:dyDescent="0.3">
      <c r="E98">
        <f t="shared" si="0"/>
        <v>0</v>
      </c>
      <c r="F98">
        <f t="shared" si="1"/>
        <v>0</v>
      </c>
    </row>
    <row r="99" spans="5:6" x14ac:dyDescent="0.3">
      <c r="E99">
        <f t="shared" si="0"/>
        <v>0</v>
      </c>
      <c r="F99">
        <f t="shared" si="1"/>
        <v>0</v>
      </c>
    </row>
    <row r="100" spans="5:6" x14ac:dyDescent="0.3">
      <c r="E100">
        <f>B100</f>
        <v>0</v>
      </c>
      <c r="F100">
        <f t="shared" si="1"/>
        <v>0</v>
      </c>
    </row>
    <row r="101" spans="5:6" x14ac:dyDescent="0.3">
      <c r="E101">
        <f t="shared" si="0"/>
        <v>0</v>
      </c>
      <c r="F101">
        <f t="shared" si="1"/>
        <v>0</v>
      </c>
    </row>
    <row r="102" spans="5:6" x14ac:dyDescent="0.3">
      <c r="E102">
        <f t="shared" si="0"/>
        <v>0</v>
      </c>
      <c r="F102">
        <f t="shared" si="1"/>
        <v>0</v>
      </c>
    </row>
    <row r="103" spans="5:6" x14ac:dyDescent="0.3">
      <c r="E103">
        <f>B103</f>
        <v>0</v>
      </c>
      <c r="F103">
        <f t="shared" si="1"/>
        <v>0</v>
      </c>
    </row>
  </sheetData>
  <pageMargins left="0.7" right="0.7" top="0.75" bottom="0.75" header="0.3" footer="0.3"/>
  <tableParts count="1">
    <tablePart r:id="rId1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A10B9-2515-4244-BA4E-D7260320CDD0}">
  <dimension ref="A1:AF50"/>
  <sheetViews>
    <sheetView showGridLines="0" topLeftCell="A12" zoomScale="42" zoomScaleNormal="172" workbookViewId="0">
      <selection activeCell="AT23" sqref="AT23"/>
    </sheetView>
  </sheetViews>
  <sheetFormatPr defaultRowHeight="13.8" x14ac:dyDescent="0.25"/>
  <cols>
    <col min="1" max="16384" width="8.88671875" style="12"/>
  </cols>
  <sheetData>
    <row r="1" spans="1:32" x14ac:dyDescent="0.25">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1"/>
      <c r="AE1" s="11"/>
      <c r="AF1" s="11"/>
    </row>
    <row r="2" spans="1:32" x14ac:dyDescent="0.2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1"/>
      <c r="AE2" s="11"/>
      <c r="AF2" s="11"/>
    </row>
    <row r="3" spans="1:32" x14ac:dyDescent="0.25">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1"/>
      <c r="AE3" s="11"/>
      <c r="AF3" s="11"/>
    </row>
    <row r="4" spans="1:32" x14ac:dyDescent="0.25">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1"/>
      <c r="AE4" s="11"/>
      <c r="AF4" s="11"/>
    </row>
    <row r="5" spans="1:32" x14ac:dyDescent="0.2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1"/>
      <c r="AE5" s="11"/>
      <c r="AF5" s="11"/>
    </row>
    <row r="6" spans="1:32" x14ac:dyDescent="0.25">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1"/>
      <c r="AE6" s="11"/>
      <c r="AF6" s="11"/>
    </row>
    <row r="7" spans="1:32" x14ac:dyDescent="0.25">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1"/>
      <c r="AE7" s="11"/>
      <c r="AF7" s="11"/>
    </row>
    <row r="8" spans="1:32" x14ac:dyDescent="0.25">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1"/>
      <c r="AE8" s="11"/>
      <c r="AF8" s="11"/>
    </row>
    <row r="9" spans="1:32" x14ac:dyDescent="0.25">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1"/>
      <c r="AE9" s="11"/>
      <c r="AF9" s="11"/>
    </row>
    <row r="10" spans="1:32" x14ac:dyDescent="0.25">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1"/>
      <c r="AE10" s="11"/>
      <c r="AF10" s="11"/>
    </row>
    <row r="11" spans="1:32" x14ac:dyDescent="0.2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1"/>
      <c r="AE11" s="11"/>
      <c r="AF11" s="11"/>
    </row>
    <row r="12" spans="1:32" x14ac:dyDescent="0.25">
      <c r="A12" s="10"/>
      <c r="B12" s="10"/>
      <c r="C12" s="10"/>
      <c r="G12" s="10"/>
      <c r="H12" s="10"/>
      <c r="I12" s="10"/>
      <c r="J12" s="10"/>
      <c r="K12" s="10"/>
      <c r="L12" s="10"/>
      <c r="M12" s="10"/>
      <c r="N12" s="10"/>
      <c r="O12" s="10"/>
      <c r="P12" s="10"/>
      <c r="Q12" s="10"/>
      <c r="R12" s="10"/>
      <c r="S12" s="10"/>
      <c r="T12" s="10"/>
      <c r="U12" s="10"/>
      <c r="V12" s="10"/>
      <c r="W12" s="10"/>
      <c r="X12" s="10"/>
      <c r="Y12" s="10"/>
      <c r="Z12" s="10"/>
      <c r="AA12" s="10"/>
      <c r="AB12" s="10"/>
      <c r="AC12" s="10"/>
      <c r="AD12" s="11"/>
      <c r="AE12" s="11"/>
      <c r="AF12" s="11"/>
    </row>
    <row r="13" spans="1:32" x14ac:dyDescent="0.25">
      <c r="A13" s="10"/>
      <c r="B13" s="10"/>
      <c r="C13" s="10"/>
      <c r="G13" s="10"/>
      <c r="H13" s="10"/>
      <c r="I13" s="10"/>
      <c r="J13" s="10"/>
      <c r="K13" s="10"/>
      <c r="L13" s="10"/>
      <c r="M13" s="10"/>
      <c r="N13" s="10"/>
      <c r="O13" s="10"/>
      <c r="P13" s="10"/>
      <c r="Q13" s="10"/>
      <c r="R13" s="10"/>
      <c r="S13" s="10"/>
      <c r="T13" s="10"/>
      <c r="U13" s="10"/>
      <c r="V13" s="10"/>
      <c r="W13" s="10"/>
      <c r="X13" s="10"/>
      <c r="Y13" s="10"/>
      <c r="Z13" s="10"/>
      <c r="AA13" s="10"/>
      <c r="AB13" s="10"/>
      <c r="AC13" s="10"/>
      <c r="AD13" s="11"/>
      <c r="AE13" s="11"/>
      <c r="AF13" s="11"/>
    </row>
    <row r="14" spans="1:32" x14ac:dyDescent="0.2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1"/>
      <c r="AE14" s="11"/>
      <c r="AF14" s="11"/>
    </row>
    <row r="15" spans="1:32" x14ac:dyDescent="0.2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1"/>
      <c r="AE15" s="11"/>
      <c r="AF15" s="11"/>
    </row>
    <row r="16" spans="1:32" x14ac:dyDescent="0.2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1"/>
      <c r="AE16" s="11"/>
      <c r="AF16" s="11"/>
    </row>
    <row r="17" spans="1:32" x14ac:dyDescent="0.2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1"/>
      <c r="AE17" s="11"/>
      <c r="AF17" s="11"/>
    </row>
    <row r="18" spans="1:32" x14ac:dyDescent="0.2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1"/>
      <c r="AE18" s="11"/>
      <c r="AF18" s="11"/>
    </row>
    <row r="19" spans="1:32" x14ac:dyDescent="0.2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1"/>
      <c r="AE19" s="11"/>
      <c r="AF19" s="11"/>
    </row>
    <row r="20" spans="1:32" x14ac:dyDescent="0.2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1"/>
      <c r="AE20" s="11"/>
      <c r="AF20" s="11"/>
    </row>
    <row r="21" spans="1:32" x14ac:dyDescent="0.2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1"/>
      <c r="AE21" s="11"/>
      <c r="AF21" s="11"/>
    </row>
    <row r="22" spans="1:32"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1"/>
      <c r="AE22" s="11"/>
      <c r="AF22" s="11"/>
    </row>
    <row r="23" spans="1:32" x14ac:dyDescent="0.2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1"/>
      <c r="AE23" s="11"/>
      <c r="AF23" s="11"/>
    </row>
    <row r="24" spans="1:32" x14ac:dyDescent="0.2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1"/>
      <c r="AE24" s="11"/>
      <c r="AF24" s="11"/>
    </row>
    <row r="25" spans="1:32"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1"/>
      <c r="AE25" s="11"/>
      <c r="AF25" s="11"/>
    </row>
    <row r="26" spans="1:32"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1"/>
      <c r="AE26" s="11"/>
      <c r="AF26" s="11"/>
    </row>
    <row r="27" spans="1:32"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1"/>
      <c r="AE27" s="11"/>
      <c r="AF27" s="11"/>
    </row>
    <row r="28" spans="1:32"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1"/>
      <c r="AE28" s="11"/>
      <c r="AF28" s="11"/>
    </row>
    <row r="29" spans="1:32"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1"/>
      <c r="AE29" s="11"/>
      <c r="AF29" s="11"/>
    </row>
    <row r="30" spans="1:32"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1"/>
      <c r="AE30" s="11"/>
      <c r="AF30" s="11"/>
    </row>
    <row r="31" spans="1:32"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1"/>
      <c r="AE31" s="11"/>
      <c r="AF31" s="11"/>
    </row>
    <row r="32" spans="1:32"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1"/>
      <c r="AE32" s="11"/>
      <c r="AF32" s="11"/>
    </row>
    <row r="33" spans="1:32"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1"/>
      <c r="AE33" s="11"/>
      <c r="AF33" s="11"/>
    </row>
    <row r="34" spans="1:32"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1"/>
      <c r="AE34" s="11"/>
      <c r="AF34" s="11"/>
    </row>
    <row r="35" spans="1:32"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1"/>
      <c r="AE35" s="11"/>
      <c r="AF35" s="11"/>
    </row>
    <row r="36" spans="1:32"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1"/>
      <c r="AE36" s="11"/>
      <c r="AF36" s="11"/>
    </row>
    <row r="37" spans="1:32"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1"/>
      <c r="AE37" s="11"/>
      <c r="AF37" s="11"/>
    </row>
    <row r="38" spans="1:32"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1"/>
      <c r="AE38" s="11"/>
      <c r="AF38" s="11"/>
    </row>
    <row r="39" spans="1:32"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1"/>
      <c r="AE39" s="11"/>
      <c r="AF39" s="11"/>
    </row>
    <row r="40" spans="1:32"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1"/>
      <c r="AE40" s="11"/>
      <c r="AF40" s="11"/>
    </row>
    <row r="41" spans="1:32"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1"/>
      <c r="AE41" s="11"/>
      <c r="AF41" s="11"/>
    </row>
    <row r="42" spans="1:32"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1"/>
      <c r="AE42" s="11"/>
      <c r="AF42" s="11"/>
    </row>
    <row r="43" spans="1:32" x14ac:dyDescent="0.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1"/>
      <c r="AE43" s="11"/>
      <c r="AF43" s="11"/>
    </row>
    <row r="44" spans="1:32" x14ac:dyDescent="0.2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1"/>
      <c r="AE44" s="11"/>
      <c r="AF44" s="11"/>
    </row>
    <row r="45" spans="1:32"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1"/>
      <c r="AE45" s="11"/>
      <c r="AF45" s="11"/>
    </row>
    <row r="46" spans="1:32"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1"/>
      <c r="AE46" s="11"/>
      <c r="AF46" s="11"/>
    </row>
    <row r="47" spans="1:32" x14ac:dyDescent="0.25">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row>
    <row r="48" spans="1:32" x14ac:dyDescent="0.25">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row>
    <row r="49" spans="1:32" x14ac:dyDescent="0.25">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row>
    <row r="50" spans="1:32" x14ac:dyDescent="0.25">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6CBA0565E5B704D8D505DE30A7AE843" ma:contentTypeVersion="5" ma:contentTypeDescription="Create a new document." ma:contentTypeScope="" ma:versionID="b962d554aaad39ebb2d8a4dbd68f1b85">
  <xsd:schema xmlns:xsd="http://www.w3.org/2001/XMLSchema" xmlns:xs="http://www.w3.org/2001/XMLSchema" xmlns:p="http://schemas.microsoft.com/office/2006/metadata/properties" xmlns:ns3="239f4edd-bb0d-46bf-aa2e-4abf8eab7aff" targetNamespace="http://schemas.microsoft.com/office/2006/metadata/properties" ma:root="true" ma:fieldsID="400ad5b7363b7697baf8acbda0b869cc" ns3:_="">
    <xsd:import namespace="239f4edd-bb0d-46bf-aa2e-4abf8eab7af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9f4edd-bb0d-46bf-aa2e-4abf8eab7af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
</file>

<file path=customXml/itemProps1.xml><?xml version="1.0" encoding="utf-8"?>
<ds:datastoreItem xmlns:ds="http://schemas.openxmlformats.org/officeDocument/2006/customXml" ds:itemID="{E26F6747-B915-4C63-87D5-BFF70AAAE0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39f4edd-bb0d-46bf-aa2e-4abf8eab7a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EA09742-EDE7-434A-A5E0-F3C664F60B3B}">
  <ds:schemaRefs>
    <ds:schemaRef ds:uri="http://schemas.microsoft.com/sharepoint/v3/contenttype/forms"/>
  </ds:schemaRefs>
</ds:datastoreItem>
</file>

<file path=customXml/itemProps3.xml><?xml version="1.0" encoding="utf-8"?>
<ds:datastoreItem xmlns:ds="http://schemas.openxmlformats.org/officeDocument/2006/customXml" ds:itemID="{34D5536F-0FC3-4B2F-BCAA-D14B3ECF1D9C}">
  <ds:schemaRefs>
    <ds:schemaRef ds:uri="http://schemas.microsoft.com/office/2006/metadata/properties"/>
    <ds:schemaRef ds:uri="http://www.w3.org/XML/1998/namespace"/>
    <ds:schemaRef ds:uri="http://schemas.microsoft.com/office/2006/documentManagement/types"/>
    <ds:schemaRef ds:uri="http://purl.org/dc/elements/1.1/"/>
    <ds:schemaRef ds:uri="http://purl.org/dc/terms/"/>
    <ds:schemaRef ds:uri="http://purl.org/dc/dcmitype/"/>
    <ds:schemaRef ds:uri="http://schemas.microsoft.com/office/infopath/2007/PartnerControls"/>
    <ds:schemaRef ds:uri="http://schemas.openxmlformats.org/package/2006/metadata/core-properties"/>
    <ds:schemaRef ds:uri="239f4edd-bb0d-46bf-aa2e-4abf8eab7aff"/>
  </ds:schemaRefs>
</ds:datastoreItem>
</file>

<file path=customXml/itemProps4.xml><?xml version="1.0" encoding="utf-8"?>
<ds:datastoreItem xmlns:ds="http://schemas.openxmlformats.org/officeDocument/2006/customXml" ds:itemID="{D4B76DA2-1CB5-478E-9EEA-472ED58F6BD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Europe Sales Records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ESSAM FATHY</dc:creator>
  <cp:lastModifiedBy>MARIA ESSAM FATHY</cp:lastModifiedBy>
  <dcterms:created xsi:type="dcterms:W3CDTF">2026-05-02T12:36:36Z</dcterms:created>
  <dcterms:modified xsi:type="dcterms:W3CDTF">2026-05-04T00:35:45Z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0x010100B6CBA0565E5B704D8D505DE30A7AE843</vt:lpwstr>
  </property>
</Properties>
</file>